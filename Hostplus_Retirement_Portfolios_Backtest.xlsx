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DATA" sheetId="2" state="visible" r:id="rId2"/>
    <sheet name="ENGINE" sheetId="3" state="visible" r:id="rId3"/>
    <sheet name="COMPARISO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"/>
    <numFmt numFmtId="167" formatCode="YYYY-MM-DD"/>
    <numFmt numFmtId="168" formatCode="0.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3366"/>
      <sz val="11"/>
    </font>
    <font>
      <name val="Calibri"/>
      <b val="1"/>
      <color rgb="00003366"/>
      <sz val="12"/>
    </font>
    <font>
      <name val="Calibri"/>
      <b val="1"/>
      <color rgb="00ED7D31"/>
      <sz val="12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5" fillId="4" borderId="1" pivotButton="0" quotePrefix="0" xfId="0"/>
    <xf numFmtId="0" fontId="2" fillId="3" borderId="1" pivotButton="0" quotePrefix="0" xfId="0"/>
    <xf numFmtId="165" fontId="5" fillId="4" borderId="1" pivotButton="0" quotePrefix="0" xfId="0"/>
    <xf numFmtId="0" fontId="5" fillId="4" borderId="1" pivotButton="0" quotePrefix="0" xfId="0"/>
    <xf numFmtId="0" fontId="4" fillId="0" borderId="0" pivotButton="0" quotePrefix="0" xfId="0"/>
    <xf numFmtId="0" fontId="2" fillId="5" borderId="1" pivotButton="0" quotePrefix="0" xfId="0"/>
    <xf numFmtId="164" fontId="2" fillId="5" borderId="0" pivotButton="0" quotePrefix="0" xfId="0"/>
    <xf numFmtId="0" fontId="2" fillId="0" borderId="1" pivotButton="0" quotePrefix="0" xfId="0"/>
    <xf numFmtId="167" fontId="2" fillId="0" borderId="1" pivotButton="0" quotePrefix="0" xfId="0"/>
    <xf numFmtId="0" fontId="1" fillId="0" borderId="0" pivotButton="0" quotePrefix="0" xfId="0"/>
    <xf numFmtId="10" fontId="2" fillId="0" borderId="1" pivotButton="0" quotePrefix="0" xfId="0"/>
    <xf numFmtId="168" fontId="2" fillId="0" borderId="1" pivotButton="0" quotePrefix="0" xfId="0"/>
    <xf numFmtId="0" fontId="6" fillId="0" borderId="0" applyAlignment="1" pivotButton="0" quotePrefix="0" xfId="0">
      <alignment horizontal="center" vertical="center"/>
    </xf>
    <xf numFmtId="167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CE4E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Retirement Portfolios — Portfolio Value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'ENGINE'!E3</f>
            </strRef>
          </tx>
          <spPr>
            <a:ln>
              <a:solidFill>
                <a:srgbClr val="0033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'ENGINE'!$E$4:$E$283</f>
            </numRef>
          </val>
        </ser>
        <ser>
          <idx val="1"/>
          <order val="1"/>
          <tx>
            <strRef>
              <f>'ENGINE'!V3</f>
            </strRef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'ENGINE'!$V$4:$V$283</f>
            </numRef>
          </val>
        </ser>
        <ser>
          <idx val="2"/>
          <order val="2"/>
          <tx>
            <strRef>
              <f>'ENGINE'!AM3</f>
            </strRef>
          </tx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'ENGINE'!$AM$4:$AM$283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Growth Portfolio: RP (80/20 CPIplus) vs Benchmark (80/20 Cash)</a:t>
            </a:r>
          </a:p>
        </rich>
      </tx>
    </title>
    <plotArea>
      <lineChart>
        <grouping val="standard"/>
        <ser>
          <idx val="0"/>
          <order val="0"/>
          <tx>
            <strRef>
              <f>'ENGINE'!E3</f>
            </strRef>
          </tx>
          <spPr>
            <a:ln>
              <a:solidFill>
                <a:srgbClr val="0033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'ENGINE'!$E$4:$E$283</f>
            </numRef>
          </val>
        </ser>
        <ser>
          <idx val="1"/>
          <order val="1"/>
          <tx>
            <strRef>
              <f>'COMPARISON'!E3</f>
            </strRef>
          </tx>
          <spPr>
            <a:ln>
              <a:solidFill>
                <a:srgbClr val="ED7D3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'COMPARISON'!$E$4:$E$283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CPIplus Weight — Growth Portfolio (18%/23% Rebalance Thresholds)</a:t>
            </a:r>
          </a:p>
        </rich>
      </tx>
    </title>
    <plotArea>
      <lineChart>
        <grouping val="standard"/>
        <ser>
          <idx val="0"/>
          <order val="0"/>
          <tx>
            <strRef>
              <f>'ENGINE'!M3</f>
            </strRef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'ENGINE'!$M$4:$M$283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3"/>
          <min val="0.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CPIplus Weight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108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>
      <c r="A1" s="1" t="inlineStr">
        <is>
          <t>Hostplus Retirement Portfolios — Back-Test Model</t>
        </is>
      </c>
    </row>
    <row r="2">
      <c r="A2" s="2" t="inlineStr">
        <is>
          <t>Configure inputs below, then view results on the DASHBOARD sheet.</t>
        </is>
      </c>
    </row>
    <row r="4">
      <c r="A4" s="3" t="inlineStr">
        <is>
          <t>Input 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Starting Balance ($)</t>
        </is>
      </c>
      <c r="B5" s="5" t="n">
        <v>500000</v>
      </c>
      <c r="C5" s="6" t="inlineStr">
        <is>
          <t>Total portfolio balance at start of scenario</t>
        </is>
      </c>
    </row>
    <row r="6">
      <c r="A6" s="4" t="inlineStr">
        <is>
          <t>Annual Drawdown Rate (%)</t>
        </is>
      </c>
      <c r="B6" s="7" t="n">
        <v>0.05</v>
      </c>
      <c r="C6" s="6" t="inlineStr">
        <is>
          <t>Percentage of balance drawn as pension each year</t>
        </is>
      </c>
    </row>
    <row r="7">
      <c r="A7" s="4" t="inlineStr">
        <is>
          <t>CPIplus Spread (%)</t>
        </is>
      </c>
      <c r="B7" s="7" t="n">
        <v>0.025</v>
      </c>
      <c r="C7" s="6" t="inlineStr">
        <is>
          <t>Return above CPI for CPIplus option (currently 2.5%)</t>
        </is>
      </c>
    </row>
    <row r="8">
      <c r="A8" s="4" t="inlineStr">
        <is>
          <t>Rebalance Lower Threshold (%)</t>
        </is>
      </c>
      <c r="B8" s="7" t="n">
        <v>0.18</v>
      </c>
      <c r="C8" s="6" t="inlineStr">
        <is>
          <t>Rebalance if CPIplus weight falls below this</t>
        </is>
      </c>
    </row>
    <row r="9">
      <c r="A9" s="4" t="inlineStr">
        <is>
          <t>Rebalance Upper Threshold (%)</t>
        </is>
      </c>
      <c r="B9" s="7" t="n">
        <v>0.23</v>
      </c>
      <c r="C9" s="6" t="inlineStr">
        <is>
          <t>Rebalance if CPIplus weight rises above this</t>
        </is>
      </c>
    </row>
    <row r="10">
      <c r="A10" s="4" t="inlineStr">
        <is>
          <t>Scenario</t>
        </is>
      </c>
      <c r="B10" s="8" t="inlineStr">
        <is>
          <t>Full Period</t>
        </is>
      </c>
      <c r="C10" s="6" t="inlineStr">
        <is>
          <t>Select market period to back-test</t>
        </is>
      </c>
    </row>
    <row r="11">
      <c r="A11" s="4" t="inlineStr">
        <is>
          <t>Drawdown Recalculation</t>
        </is>
      </c>
      <c r="B11" s="8" t="inlineStr">
        <is>
          <t>Annual</t>
        </is>
      </c>
      <c r="C11" s="6" t="inlineStr">
        <is>
          <t>Annual: recalculate on 1 July each year. Fixed: use starting balance only.</t>
        </is>
      </c>
    </row>
    <row r="13">
      <c r="A13" s="9" t="inlineStr">
        <is>
          <t>Derived Values (calculated)</t>
        </is>
      </c>
    </row>
    <row r="14">
      <c r="A14" s="10" t="inlineStr">
        <is>
          <t>Monthly Payment ($)</t>
        </is>
      </c>
      <c r="B14" s="11">
        <f>B5*B6/12</f>
        <v/>
      </c>
    </row>
    <row r="15">
      <c r="A15" s="10" t="inlineStr">
        <is>
          <t>Annual Payment ($)</t>
        </is>
      </c>
      <c r="B15" s="11">
        <f>B5*B6</f>
        <v/>
      </c>
    </row>
    <row r="17">
      <c r="A17" s="9" t="inlineStr">
        <is>
          <t>Scenario Date Lookup</t>
        </is>
      </c>
    </row>
    <row r="18">
      <c r="A18" s="3" t="inlineStr">
        <is>
          <t>Scenario</t>
        </is>
      </c>
      <c r="B18" s="3" t="inlineStr">
        <is>
          <t>Start Date</t>
        </is>
      </c>
      <c r="C18" s="3" t="inlineStr">
        <is>
          <t>End Date</t>
        </is>
      </c>
    </row>
    <row r="19">
      <c r="A19" s="12" t="inlineStr">
        <is>
          <t>Full Period</t>
        </is>
      </c>
      <c r="B19" s="13" t="n">
        <v>37135</v>
      </c>
      <c r="C19" s="13" t="n">
        <v>45627</v>
      </c>
    </row>
    <row r="20">
      <c r="A20" s="12" t="inlineStr">
        <is>
          <t>GFC</t>
        </is>
      </c>
      <c r="B20" s="13" t="n">
        <v>39083</v>
      </c>
      <c r="C20" s="13" t="n">
        <v>41244</v>
      </c>
    </row>
    <row r="21">
      <c r="A21" s="12" t="inlineStr">
        <is>
          <t>COVID</t>
        </is>
      </c>
      <c r="B21" s="13" t="n">
        <v>43466</v>
      </c>
      <c r="C21" s="13" t="n">
        <v>44896</v>
      </c>
    </row>
    <row r="22">
      <c r="A22" s="12" t="inlineStr">
        <is>
          <t>Rising Rates</t>
        </is>
      </c>
      <c r="B22" s="13" t="n">
        <v>44562</v>
      </c>
      <c r="C22" s="13" t="n">
        <v>45627</v>
      </c>
    </row>
    <row r="23">
      <c r="A23" s="12" t="inlineStr">
        <is>
          <t>Bull Market</t>
        </is>
      </c>
      <c r="B23" s="13" t="n">
        <v>40909</v>
      </c>
      <c r="C23" s="13" t="n">
        <v>43800</v>
      </c>
    </row>
  </sheetData>
  <mergeCells count="3">
    <mergeCell ref="A2:F2"/>
    <mergeCell ref="A13:C13"/>
    <mergeCell ref="A1:F1"/>
  </mergeCells>
  <dataValidations count="2">
    <dataValidation sqref="B10" showDropDown="0" showInputMessage="0" showErrorMessage="0" allowBlank="0" errorTitle="Invalid Scenario" error="Please select a valid scenario" type="list">
      <formula1>"Full Period,GFC,COVID,Rising Rates,Bull Market"</formula1>
    </dataValidation>
    <dataValidation sqref="B11" showDropDown="0" showInputMessage="0" showErrorMessage="0" allowBlank="0" type="list">
      <formula1>"Annual,Fixed at Start"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4" t="inlineStr">
        <is>
          <t>Historical Return Data</t>
        </is>
      </c>
    </row>
    <row r="3">
      <c r="A3" s="3" t="inlineStr">
        <is>
          <t>Date</t>
        </is>
      </c>
      <c r="B3" s="3" t="inlineStr">
        <is>
          <t>Month #</t>
        </is>
      </c>
      <c r="C3" s="3" t="inlineStr">
        <is>
          <t>Growth Return</t>
        </is>
      </c>
      <c r="D3" s="3" t="inlineStr">
        <is>
          <t>Balanced Return</t>
        </is>
      </c>
      <c r="E3" s="3" t="inlineStr">
        <is>
          <t>Conservative Return</t>
        </is>
      </c>
      <c r="F3" s="3" t="inlineStr">
        <is>
          <t>CPIplus Return</t>
        </is>
      </c>
      <c r="G3" s="3" t="inlineStr">
        <is>
          <t>Cash Return</t>
        </is>
      </c>
      <c r="H3" s="3" t="inlineStr">
        <is>
          <t>CPI Index</t>
        </is>
      </c>
      <c r="I3" s="3" t="inlineStr">
        <is>
          <t>CPI Quarterly Change</t>
        </is>
      </c>
      <c r="J3" s="3" t="inlineStr">
        <is>
          <t>CPI 2Q Average</t>
        </is>
      </c>
      <c r="K3" s="3" t="inlineStr">
        <is>
          <t>CPI Annualised</t>
        </is>
      </c>
    </row>
    <row r="4">
      <c r="A4" s="13" t="n">
        <v>37135</v>
      </c>
      <c r="B4" s="12" t="n">
        <v>1</v>
      </c>
      <c r="C4" s="15" t="n">
        <v>-0.05429736237899191</v>
      </c>
      <c r="D4" s="15" t="n">
        <v>-0.03997640014234709</v>
      </c>
      <c r="E4" s="15" t="n">
        <v>-0.02822294291451377</v>
      </c>
      <c r="F4" s="15" t="n">
        <v>0.003178969767656303</v>
      </c>
      <c r="G4" s="15" t="n">
        <v>0.003674809400436851</v>
      </c>
      <c r="H4" s="16" t="n">
        <v>73.5</v>
      </c>
      <c r="I4" s="15" t="n">
        <v>-0.002713704206241507</v>
      </c>
      <c r="J4" s="15" t="n">
        <v>0.003437668444824515</v>
      </c>
      <c r="K4" s="15" t="n">
        <v>0.01382174180444418</v>
      </c>
    </row>
    <row r="5">
      <c r="A5" s="13" t="n">
        <v>37165</v>
      </c>
      <c r="B5" s="12" t="n">
        <v>2</v>
      </c>
      <c r="C5" s="15" t="n">
        <v>0.03838247674614633</v>
      </c>
      <c r="D5" s="15" t="n">
        <v>0.0302066936821798</v>
      </c>
      <c r="E5" s="15" t="n">
        <v>0.02342418308498548</v>
      </c>
      <c r="F5" s="15" t="n">
        <v>0.003178969767656303</v>
      </c>
      <c r="G5" s="15" t="n">
        <v>0.003674809400436851</v>
      </c>
    </row>
    <row r="6">
      <c r="A6" s="13" t="n">
        <v>37196</v>
      </c>
      <c r="B6" s="12" t="n">
        <v>3</v>
      </c>
      <c r="C6" s="15" t="n">
        <v>0.02018615687188325</v>
      </c>
      <c r="D6" s="15" t="n">
        <v>0.01634407893588241</v>
      </c>
      <c r="E6" s="15" t="n">
        <v>0.01318480716178556</v>
      </c>
      <c r="F6" s="15" t="n">
        <v>0.003178969767656303</v>
      </c>
      <c r="G6" s="15" t="n">
        <v>0.003474495003497502</v>
      </c>
    </row>
    <row r="7">
      <c r="A7" s="13" t="n">
        <v>37226</v>
      </c>
      <c r="B7" s="12" t="n">
        <v>4</v>
      </c>
      <c r="C7" s="15" t="n">
        <v>0.01581714573379538</v>
      </c>
      <c r="D7" s="15" t="n">
        <v>0.01305911459322596</v>
      </c>
      <c r="E7" s="15" t="n">
        <v>0.01077364504674668</v>
      </c>
      <c r="F7" s="15" t="n">
        <v>0.002725693727877454</v>
      </c>
      <c r="G7" s="15" t="n">
        <v>0.003474495003497502</v>
      </c>
      <c r="H7" s="16" t="n">
        <v>74</v>
      </c>
      <c r="I7" s="15" t="n">
        <v>0.006802721088435382</v>
      </c>
      <c r="J7" s="15" t="n">
        <v>0.002044508441096937</v>
      </c>
      <c r="K7" s="15" t="n">
        <v>0.008203148054756415</v>
      </c>
    </row>
    <row r="8">
      <c r="A8" s="13" t="n">
        <v>37257</v>
      </c>
      <c r="B8" s="12" t="n">
        <v>5</v>
      </c>
      <c r="C8" s="15" t="n">
        <v>-0.01790811468082602</v>
      </c>
      <c r="D8" s="15" t="n">
        <v>-0.01229982265841753</v>
      </c>
      <c r="E8" s="15" t="n">
        <v>-0.007840240121972526</v>
      </c>
      <c r="F8" s="15" t="n">
        <v>0.002725693727877454</v>
      </c>
      <c r="G8" s="15" t="n">
        <v>0.003474495003497502</v>
      </c>
    </row>
    <row r="9">
      <c r="A9" s="13" t="n">
        <v>37288</v>
      </c>
      <c r="B9" s="12" t="n">
        <v>6</v>
      </c>
      <c r="C9" s="15" t="n">
        <v>-0.007603459101259546</v>
      </c>
      <c r="D9" s="15" t="n">
        <v>-0.00470456923200327</v>
      </c>
      <c r="E9" s="15" t="n">
        <v>-0.002305917811471561</v>
      </c>
      <c r="F9" s="15" t="n">
        <v>0.002725693727877454</v>
      </c>
      <c r="G9" s="15" t="n">
        <v>0.003474495003497502</v>
      </c>
    </row>
    <row r="10">
      <c r="A10" s="13" t="n">
        <v>37316</v>
      </c>
      <c r="B10" s="12" t="n">
        <v>7</v>
      </c>
      <c r="C10" s="15" t="n">
        <v>0.0220239084184071</v>
      </c>
      <c r="D10" s="15" t="n">
        <v>0.01758871088286455</v>
      </c>
      <c r="E10" s="15" t="n">
        <v>0.01406188879946293</v>
      </c>
      <c r="F10" s="15" t="n">
        <v>0.004264857324121962</v>
      </c>
      <c r="G10" s="15" t="n">
        <v>0.003474495003497502</v>
      </c>
      <c r="H10" s="16" t="n">
        <v>74.5</v>
      </c>
      <c r="I10" s="15" t="n">
        <v>0.006756756756756799</v>
      </c>
      <c r="J10" s="15" t="n">
        <v>0.00677973892259609</v>
      </c>
      <c r="K10" s="15" t="n">
        <v>0.02739599348130195</v>
      </c>
    </row>
    <row r="11">
      <c r="A11" s="13" t="n">
        <v>37347</v>
      </c>
      <c r="B11" s="12" t="n">
        <v>8</v>
      </c>
      <c r="C11" s="15" t="n">
        <v>-0.007487762305293686</v>
      </c>
      <c r="D11" s="15" t="n">
        <v>-0.004640655550323143</v>
      </c>
      <c r="E11" s="15" t="n">
        <v>-0.002265143488984605</v>
      </c>
      <c r="F11" s="15" t="n">
        <v>0.004264857324121962</v>
      </c>
      <c r="G11" s="15" t="n">
        <v>0.003474495003497502</v>
      </c>
    </row>
    <row r="12">
      <c r="A12" s="13" t="n">
        <v>37377</v>
      </c>
      <c r="B12" s="12" t="n">
        <v>9</v>
      </c>
      <c r="C12" s="15" t="n">
        <v>-0.003779918178714836</v>
      </c>
      <c r="D12" s="15" t="n">
        <v>-0.001707131883467702</v>
      </c>
      <c r="E12" s="15" t="n">
        <v>-5.716349568978701e-05</v>
      </c>
      <c r="F12" s="15" t="n">
        <v>0.004264857324121962</v>
      </c>
      <c r="G12" s="15" t="n">
        <v>0.003674809400436851</v>
      </c>
    </row>
    <row r="13">
      <c r="A13" s="13" t="n">
        <v>37408</v>
      </c>
      <c r="B13" s="12" t="n">
        <v>10</v>
      </c>
      <c r="C13" s="15" t="n">
        <v>-0.04071384790270111</v>
      </c>
      <c r="D13" s="15" t="n">
        <v>-0.02965389570997028</v>
      </c>
      <c r="E13" s="15" t="n">
        <v>-0.02060115133005973</v>
      </c>
      <c r="F13" s="15" t="n">
        <v>0.003596079824158105</v>
      </c>
      <c r="G13" s="15" t="n">
        <v>0.003874684992129174</v>
      </c>
      <c r="H13" s="16" t="n">
        <v>74.7</v>
      </c>
      <c r="I13" s="15" t="n">
        <v>0.002684563758389213</v>
      </c>
      <c r="J13" s="15" t="n">
        <v>0.004720660257573006</v>
      </c>
      <c r="K13" s="15" t="n">
        <v>0.01901677011923142</v>
      </c>
    </row>
    <row r="14">
      <c r="A14" s="13" t="n">
        <v>37438</v>
      </c>
      <c r="B14" s="12" t="n">
        <v>11</v>
      </c>
      <c r="C14" s="15" t="n">
        <v>-0.05302309419771041</v>
      </c>
      <c r="D14" s="15" t="n">
        <v>-0.03885405547850305</v>
      </c>
      <c r="E14" s="15" t="n">
        <v>-0.02733946183959064</v>
      </c>
      <c r="F14" s="15" t="n">
        <v>0.003596079824158105</v>
      </c>
      <c r="G14" s="15" t="n">
        <v>0.003874684992129174</v>
      </c>
    </row>
    <row r="15">
      <c r="A15" s="13" t="n">
        <v>37469</v>
      </c>
      <c r="B15" s="12" t="n">
        <v>12</v>
      </c>
      <c r="C15" s="15" t="n">
        <v>0.01401798695091079</v>
      </c>
      <c r="D15" s="15" t="n">
        <v>0.01168348109009485</v>
      </c>
      <c r="E15" s="15" t="n">
        <v>0.009789858499283021</v>
      </c>
      <c r="F15" s="15" t="n">
        <v>0.003596079824158105</v>
      </c>
      <c r="G15" s="15" t="n">
        <v>0.003874684992129174</v>
      </c>
    </row>
    <row r="16">
      <c r="A16" s="13" t="n">
        <v>37500</v>
      </c>
      <c r="B16" s="12" t="n">
        <v>13</v>
      </c>
      <c r="C16" s="15" t="n">
        <v>-0.0620409337582226</v>
      </c>
      <c r="D16" s="15" t="n">
        <v>-0.04565472679669753</v>
      </c>
      <c r="E16" s="15" t="n">
        <v>-0.03233656524568267</v>
      </c>
      <c r="F16" s="15" t="n">
        <v>0.003803281495633692</v>
      </c>
      <c r="G16" s="15" t="n">
        <v>0.003874684992129174</v>
      </c>
      <c r="H16" s="16" t="n">
        <v>75.3</v>
      </c>
      <c r="I16" s="15" t="n">
        <v>0.008032128514056103</v>
      </c>
      <c r="J16" s="15" t="n">
        <v>0.005358346136222658</v>
      </c>
      <c r="K16" s="15" t="n">
        <v>0.02160627200177712</v>
      </c>
    </row>
    <row r="17">
      <c r="A17" s="13" t="n">
        <v>37530</v>
      </c>
      <c r="B17" s="12" t="n">
        <v>14</v>
      </c>
      <c r="C17" s="15" t="n">
        <v>0.02622309647274444</v>
      </c>
      <c r="D17" s="15" t="n">
        <v>0.02090356648821619</v>
      </c>
      <c r="E17" s="15" t="n">
        <v>0.01656892199303764</v>
      </c>
      <c r="F17" s="15" t="n">
        <v>0.003803281495633692</v>
      </c>
      <c r="G17" s="15" t="n">
        <v>0.003874684992129174</v>
      </c>
    </row>
    <row r="18">
      <c r="A18" s="13" t="n">
        <v>37561</v>
      </c>
      <c r="B18" s="12" t="n">
        <v>15</v>
      </c>
      <c r="C18" s="15" t="n">
        <v>0.02002394627115702</v>
      </c>
      <c r="D18" s="15" t="n">
        <v>0.01616342706550766</v>
      </c>
      <c r="E18" s="15" t="n">
        <v>0.01306861261064659</v>
      </c>
      <c r="F18" s="15" t="n">
        <v>0.003803281495633692</v>
      </c>
      <c r="G18" s="15" t="n">
        <v>0.003874684992129174</v>
      </c>
    </row>
    <row r="19">
      <c r="A19" s="13" t="n">
        <v>37591</v>
      </c>
      <c r="B19" s="12" t="n">
        <v>16</v>
      </c>
      <c r="C19" s="15" t="n">
        <v>-0.02256565867487339</v>
      </c>
      <c r="D19" s="15" t="n">
        <v>-0.01589785987710887</v>
      </c>
      <c r="E19" s="15" t="n">
        <v>-0.01047475334276386</v>
      </c>
      <c r="F19" s="15" t="n">
        <v>0.00422991862168387</v>
      </c>
      <c r="G19" s="15" t="n">
        <v>0.003874684992129174</v>
      </c>
      <c r="H19" s="16" t="n">
        <v>75.7</v>
      </c>
      <c r="I19" s="15" t="n">
        <v>0.005312084993359889</v>
      </c>
      <c r="J19" s="15" t="n">
        <v>0.006672106753707996</v>
      </c>
      <c r="K19" s="15" t="n">
        <v>0.02695671913672681</v>
      </c>
    </row>
    <row r="20">
      <c r="A20" s="13" t="n">
        <v>37622</v>
      </c>
      <c r="B20" s="12" t="n">
        <v>17</v>
      </c>
      <c r="C20" s="15" t="n">
        <v>-0.04188752997178979</v>
      </c>
      <c r="D20" s="15" t="n">
        <v>-0.03044008986234476</v>
      </c>
      <c r="E20" s="15" t="n">
        <v>-0.02120260906861647</v>
      </c>
      <c r="F20" s="15" t="n">
        <v>0.00422991862168387</v>
      </c>
      <c r="G20" s="15" t="n">
        <v>0.003874684992129174</v>
      </c>
    </row>
    <row r="21">
      <c r="A21" s="13" t="n">
        <v>37653</v>
      </c>
      <c r="B21" s="12" t="n">
        <v>18</v>
      </c>
      <c r="C21" s="15" t="n">
        <v>-0.03774162433298533</v>
      </c>
      <c r="D21" s="15" t="n">
        <v>-0.02751098097667353</v>
      </c>
      <c r="E21" s="15" t="n">
        <v>-0.01910268131070613</v>
      </c>
      <c r="F21" s="15" t="n">
        <v>0.00422991862168387</v>
      </c>
      <c r="G21" s="15" t="n">
        <v>0.003874684992129174</v>
      </c>
    </row>
    <row r="22">
      <c r="A22" s="13" t="n">
        <v>37681</v>
      </c>
      <c r="B22" s="12" t="n">
        <v>19</v>
      </c>
      <c r="C22" s="15" t="n">
        <v>0.01082081001861776</v>
      </c>
      <c r="D22" s="15" t="n">
        <v>0.009325122011343735</v>
      </c>
      <c r="E22" s="15" t="n">
        <v>0.008020934806990516</v>
      </c>
      <c r="F22" s="15" t="n">
        <v>0.00528377889912357</v>
      </c>
      <c r="G22" s="15" t="n">
        <v>0.003874684992129174</v>
      </c>
      <c r="H22" s="16" t="n">
        <v>76.8</v>
      </c>
      <c r="I22" s="15" t="n">
        <v>0.01453104359313073</v>
      </c>
      <c r="J22" s="15" t="n">
        <v>0.009921564293245311</v>
      </c>
      <c r="K22" s="15" t="n">
        <v>0.04028079810454144</v>
      </c>
    </row>
    <row r="23">
      <c r="A23" s="13" t="n">
        <v>37712</v>
      </c>
      <c r="B23" s="12" t="n">
        <v>20</v>
      </c>
      <c r="C23" s="15" t="n">
        <v>0.04723422102320481</v>
      </c>
      <c r="D23" s="15" t="n">
        <v>0.03669663662996414</v>
      </c>
      <c r="E23" s="15" t="n">
        <v>0.02810976722469352</v>
      </c>
      <c r="F23" s="15" t="n">
        <v>0.00528377889912357</v>
      </c>
      <c r="G23" s="15" t="n">
        <v>0.003874684992129174</v>
      </c>
    </row>
    <row r="24">
      <c r="A24" s="13" t="n">
        <v>37742</v>
      </c>
      <c r="B24" s="12" t="n">
        <v>21</v>
      </c>
      <c r="C24" s="15" t="n">
        <v>0.01092899554008495</v>
      </c>
      <c r="D24" s="15" t="n">
        <v>0.009261592503045655</v>
      </c>
      <c r="E24" s="15" t="n">
        <v>0.007935768194399001</v>
      </c>
      <c r="F24" s="15" t="n">
        <v>0.00528377889912357</v>
      </c>
      <c r="G24" s="15" t="n">
        <v>0.003874684992129174</v>
      </c>
    </row>
    <row r="25">
      <c r="A25" s="13" t="n">
        <v>37773</v>
      </c>
      <c r="B25" s="12" t="n">
        <v>22</v>
      </c>
      <c r="C25" s="15" t="n">
        <v>0.001145721338616051</v>
      </c>
      <c r="D25" s="15" t="n">
        <v>0.001944721091720294</v>
      </c>
      <c r="E25" s="15" t="n">
        <v>0.002575551623367417</v>
      </c>
      <c r="F25" s="15" t="n">
        <v>0.0044225213843605</v>
      </c>
      <c r="G25" s="15" t="n">
        <v>0.003874684992129174</v>
      </c>
      <c r="H25" s="16" t="n">
        <v>76.8</v>
      </c>
      <c r="I25" s="15" t="n">
        <v>0</v>
      </c>
      <c r="J25" s="15" t="n">
        <v>0.007265521796565366</v>
      </c>
      <c r="K25" s="15" t="n">
        <v>0.02938035093852087</v>
      </c>
    </row>
    <row r="26">
      <c r="A26" s="13" t="n">
        <v>37803</v>
      </c>
      <c r="B26" s="12" t="n">
        <v>23</v>
      </c>
      <c r="C26" s="15" t="n">
        <v>0.02586427453275134</v>
      </c>
      <c r="D26" s="15" t="n">
        <v>0.0206148201784007</v>
      </c>
      <c r="E26" s="15" t="n">
        <v>0.01630194007122076</v>
      </c>
      <c r="F26" s="15" t="n">
        <v>0.0044225213843605</v>
      </c>
      <c r="G26" s="15" t="n">
        <v>0.003874684992129174</v>
      </c>
    </row>
    <row r="27">
      <c r="A27" s="13" t="n">
        <v>37834</v>
      </c>
      <c r="B27" s="12" t="n">
        <v>24</v>
      </c>
      <c r="C27" s="15" t="n">
        <v>0.03151282644516973</v>
      </c>
      <c r="D27" s="15" t="n">
        <v>0.02481759382745437</v>
      </c>
      <c r="E27" s="15" t="n">
        <v>0.01937500333779076</v>
      </c>
      <c r="F27" s="15" t="n">
        <v>0.0044225213843605</v>
      </c>
      <c r="G27" s="15" t="n">
        <v>0.003874684992129174</v>
      </c>
    </row>
    <row r="28">
      <c r="A28" s="13" t="n">
        <v>37865</v>
      </c>
      <c r="B28" s="12" t="n">
        <v>25</v>
      </c>
      <c r="C28" s="15" t="n">
        <v>-0.00251878241404036</v>
      </c>
      <c r="D28" s="15" t="n">
        <v>-0.0008772515975776952</v>
      </c>
      <c r="E28" s="15" t="n">
        <v>0.0004864796846007104</v>
      </c>
      <c r="F28" s="15" t="n">
        <v>0.002695948646748603</v>
      </c>
      <c r="G28" s="15" t="n">
        <v>0.003874684992129174</v>
      </c>
      <c r="H28" s="16" t="n">
        <v>77.09999999999999</v>
      </c>
      <c r="I28" s="15" t="n">
        <v>0.00390625</v>
      </c>
      <c r="J28" s="15" t="n">
        <v>0.001953125</v>
      </c>
      <c r="K28" s="15" t="n">
        <v>0.007835418000468053</v>
      </c>
    </row>
    <row r="29">
      <c r="A29" s="13" t="n">
        <v>37895</v>
      </c>
      <c r="B29" s="12" t="n">
        <v>26</v>
      </c>
      <c r="C29" s="15" t="n">
        <v>0.02547125657254109</v>
      </c>
      <c r="D29" s="15" t="n">
        <v>0.02032416691963685</v>
      </c>
      <c r="E29" s="15" t="n">
        <v>0.01608989040449897</v>
      </c>
      <c r="F29" s="15" t="n">
        <v>0.002695948646748603</v>
      </c>
      <c r="G29" s="15" t="n">
        <v>0.003874684992129174</v>
      </c>
    </row>
    <row r="30">
      <c r="A30" s="13" t="n">
        <v>37926</v>
      </c>
      <c r="B30" s="12" t="n">
        <v>27</v>
      </c>
      <c r="C30" s="15" t="n">
        <v>-0.01162580130930652</v>
      </c>
      <c r="D30" s="15" t="n">
        <v>-0.007768694051515434</v>
      </c>
      <c r="E30" s="15" t="n">
        <v>-0.004567603886962261</v>
      </c>
      <c r="F30" s="15" t="n">
        <v>0.002695948646748603</v>
      </c>
      <c r="G30" s="15" t="n">
        <v>0.004074123783648353</v>
      </c>
    </row>
    <row r="31">
      <c r="A31" s="13" t="n">
        <v>37956</v>
      </c>
      <c r="B31" s="12" t="n">
        <v>28</v>
      </c>
      <c r="C31" s="15" t="n">
        <v>0.04322069500453506</v>
      </c>
      <c r="D31" s="15" t="n">
        <v>0.03369731712339059</v>
      </c>
      <c r="E31" s="15" t="n">
        <v>0.02594502834377622</v>
      </c>
      <c r="F31" s="15" t="n">
        <v>0.003539691231698061</v>
      </c>
      <c r="G31" s="15" t="n">
        <v>0.004273127766158069</v>
      </c>
      <c r="H31" s="16" t="n">
        <v>77.5</v>
      </c>
      <c r="I31" s="15" t="n">
        <v>0.005188067444876765</v>
      </c>
      <c r="J31" s="15" t="n">
        <v>0.004547158722438382</v>
      </c>
      <c r="K31" s="15" t="n">
        <v>0.01831307131204185</v>
      </c>
    </row>
    <row r="32">
      <c r="A32" s="13" t="n">
        <v>37987</v>
      </c>
      <c r="B32" s="12" t="n">
        <v>29</v>
      </c>
      <c r="C32" s="15" t="n">
        <v>-0.01055597398930411</v>
      </c>
      <c r="D32" s="15" t="n">
        <v>-0.006856085790058474</v>
      </c>
      <c r="E32" s="15" t="n">
        <v>-0.003853040770905007</v>
      </c>
      <c r="F32" s="15" t="n">
        <v>0.003539691231698061</v>
      </c>
      <c r="G32" s="15" t="n">
        <v>0.004273127766158069</v>
      </c>
    </row>
    <row r="33">
      <c r="A33" s="13" t="n">
        <v>38018</v>
      </c>
      <c r="B33" s="12" t="n">
        <v>30</v>
      </c>
      <c r="C33" s="15" t="n">
        <v>0.02275446666048985</v>
      </c>
      <c r="D33" s="15" t="n">
        <v>0.01830425988300106</v>
      </c>
      <c r="E33" s="15" t="n">
        <v>0.01464521677219574</v>
      </c>
      <c r="F33" s="15" t="n">
        <v>0.003539691231698061</v>
      </c>
      <c r="G33" s="15" t="n">
        <v>0.004273127766158069</v>
      </c>
    </row>
    <row r="34">
      <c r="A34" s="13" t="n">
        <v>38047</v>
      </c>
      <c r="B34" s="12" t="n">
        <v>31</v>
      </c>
      <c r="C34" s="15" t="n">
        <v>0.01934219410772217</v>
      </c>
      <c r="D34" s="15" t="n">
        <v>0.01569104832275547</v>
      </c>
      <c r="E34" s="15" t="n">
        <v>0.01271445972250368</v>
      </c>
      <c r="F34" s="15" t="n">
        <v>0.003953186131577802</v>
      </c>
      <c r="G34" s="15" t="n">
        <v>0.004273127766158069</v>
      </c>
      <c r="H34" s="16" t="n">
        <v>78</v>
      </c>
      <c r="I34" s="15" t="n">
        <v>0.006451612903225712</v>
      </c>
      <c r="J34" s="15" t="n">
        <v>0.005819840174051238</v>
      </c>
      <c r="K34" s="15" t="n">
        <v>0.02348337356583685</v>
      </c>
    </row>
    <row r="35">
      <c r="A35" s="13" t="n">
        <v>38078</v>
      </c>
      <c r="B35" s="12" t="n">
        <v>32</v>
      </c>
      <c r="C35" s="15" t="n">
        <v>-0.008457084223440684</v>
      </c>
      <c r="D35" s="15" t="n">
        <v>-0.005261022630314051</v>
      </c>
      <c r="E35" s="15" t="n">
        <v>-0.002677755564333268</v>
      </c>
      <c r="F35" s="15" t="n">
        <v>0.003953186131577802</v>
      </c>
      <c r="G35" s="15" t="n">
        <v>0.004273127766158069</v>
      </c>
    </row>
    <row r="36">
      <c r="A36" s="13" t="n">
        <v>38108</v>
      </c>
      <c r="B36" s="12" t="n">
        <v>33</v>
      </c>
      <c r="C36" s="15" t="n">
        <v>0.02975706020338819</v>
      </c>
      <c r="D36" s="15" t="n">
        <v>0.02350814594044661</v>
      </c>
      <c r="E36" s="15" t="n">
        <v>0.01844858412106161</v>
      </c>
      <c r="F36" s="15" t="n">
        <v>0.003953186131577802</v>
      </c>
      <c r="G36" s="15" t="n">
        <v>0.004273127766158069</v>
      </c>
    </row>
    <row r="37">
      <c r="A37" s="13" t="n">
        <v>38139</v>
      </c>
      <c r="B37" s="12" t="n">
        <v>34</v>
      </c>
      <c r="C37" s="15" t="n">
        <v>0.03419901446596614</v>
      </c>
      <c r="D37" s="15" t="n">
        <v>0.02685733105187349</v>
      </c>
      <c r="E37" s="15" t="n">
        <v>0.0209093783799729</v>
      </c>
      <c r="F37" s="15" t="n">
        <v>0.004359704996856228</v>
      </c>
      <c r="G37" s="15" t="n">
        <v>0.004273127766158069</v>
      </c>
      <c r="H37" s="16" t="n">
        <v>78.59999999999999</v>
      </c>
      <c r="I37" s="15" t="n">
        <v>0.007692307692307665</v>
      </c>
      <c r="J37" s="15" t="n">
        <v>0.007071960297766688</v>
      </c>
      <c r="K37" s="15" t="n">
        <v>0.02858933417616982</v>
      </c>
    </row>
    <row r="38">
      <c r="A38" s="13" t="n">
        <v>38169</v>
      </c>
      <c r="B38" s="12" t="n">
        <v>35</v>
      </c>
      <c r="C38" s="15" t="n">
        <v>-0.01695380861078127</v>
      </c>
      <c r="D38" s="15" t="n">
        <v>-0.0116078087838691</v>
      </c>
      <c r="E38" s="15" t="n">
        <v>-0.007325196840420205</v>
      </c>
      <c r="F38" s="15" t="n">
        <v>0.004359704996856228</v>
      </c>
      <c r="G38" s="15" t="n">
        <v>0.004273127766158069</v>
      </c>
    </row>
    <row r="39">
      <c r="A39" s="13" t="n">
        <v>38200</v>
      </c>
      <c r="B39" s="12" t="n">
        <v>36</v>
      </c>
      <c r="C39" s="15" t="n">
        <v>0.006252531785704525</v>
      </c>
      <c r="D39" s="15" t="n">
        <v>0.005815889358735137</v>
      </c>
      <c r="E39" s="15" t="n">
        <v>0.005457233222886878</v>
      </c>
      <c r="F39" s="15" t="n">
        <v>0.004359704996856228</v>
      </c>
      <c r="G39" s="15" t="n">
        <v>0.004273127766158069</v>
      </c>
    </row>
    <row r="40">
      <c r="A40" s="13" t="n">
        <v>38231</v>
      </c>
      <c r="B40" s="12" t="n">
        <v>37</v>
      </c>
      <c r="C40" s="15" t="n">
        <v>0.02243522575526903</v>
      </c>
      <c r="D40" s="15" t="n">
        <v>0.01808748673565207</v>
      </c>
      <c r="E40" s="15" t="n">
        <v>0.01449229180589091</v>
      </c>
      <c r="F40" s="15" t="n">
        <v>0.003725331335200588</v>
      </c>
      <c r="G40" s="15" t="n">
        <v>0.004273127766158069</v>
      </c>
      <c r="H40" s="16" t="n">
        <v>78.8</v>
      </c>
      <c r="I40" s="15" t="n">
        <v>0.002544529262086481</v>
      </c>
      <c r="J40" s="15" t="n">
        <v>0.005118418477197073</v>
      </c>
      <c r="K40" s="15" t="n">
        <v>0.02063140021494236</v>
      </c>
    </row>
    <row r="41">
      <c r="A41" s="13" t="n">
        <v>38261</v>
      </c>
      <c r="B41" s="12" t="n">
        <v>38</v>
      </c>
      <c r="C41" s="15" t="n">
        <v>0.0249428298505316</v>
      </c>
      <c r="D41" s="15" t="n">
        <v>0.01996512059763912</v>
      </c>
      <c r="E41" s="15" t="n">
        <v>0.01586840484882544</v>
      </c>
      <c r="F41" s="15" t="n">
        <v>0.003725331335200588</v>
      </c>
      <c r="G41" s="15" t="n">
        <v>0.004273127766158069</v>
      </c>
    </row>
    <row r="42">
      <c r="A42" s="13" t="n">
        <v>38292</v>
      </c>
      <c r="B42" s="12" t="n">
        <v>39</v>
      </c>
      <c r="C42" s="15" t="n">
        <v>0.03125904407653821</v>
      </c>
      <c r="D42" s="15" t="n">
        <v>0.02474936049156691</v>
      </c>
      <c r="E42" s="15" t="n">
        <v>0.01938940189755192</v>
      </c>
      <c r="F42" s="15" t="n">
        <v>0.003725331335200588</v>
      </c>
      <c r="G42" s="15" t="n">
        <v>0.004273127766158069</v>
      </c>
    </row>
    <row r="43">
      <c r="A43" s="13" t="n">
        <v>38322</v>
      </c>
      <c r="B43" s="12" t="n">
        <v>40</v>
      </c>
      <c r="C43" s="15" t="n">
        <v>0.02570756489479937</v>
      </c>
      <c r="D43" s="15" t="n">
        <v>0.02053542325125037</v>
      </c>
      <c r="E43" s="15" t="n">
        <v>0.01628576049358314</v>
      </c>
      <c r="F43" s="15" t="n">
        <v>0.003506439030559028</v>
      </c>
      <c r="G43" s="15" t="n">
        <v>0.004273127766158069</v>
      </c>
      <c r="H43" s="16" t="n">
        <v>79.3</v>
      </c>
      <c r="I43" s="15" t="n">
        <v>0.006345177664974555</v>
      </c>
      <c r="J43" s="15" t="n">
        <v>0.004444853463530518</v>
      </c>
      <c r="K43" s="15" t="n">
        <v>0.01789830584126562</v>
      </c>
    </row>
    <row r="44">
      <c r="A44" s="13" t="n">
        <v>38353</v>
      </c>
      <c r="B44" s="12" t="n">
        <v>41</v>
      </c>
      <c r="C44" s="15" t="n">
        <v>0.002541938873870054</v>
      </c>
      <c r="D44" s="15" t="n">
        <v>0.003079878630270795</v>
      </c>
      <c r="E44" s="15" t="n">
        <v>0.00346334107678943</v>
      </c>
      <c r="F44" s="15" t="n">
        <v>0.003506439030559028</v>
      </c>
      <c r="G44" s="15" t="n">
        <v>0.004273127766158069</v>
      </c>
    </row>
    <row r="45">
      <c r="A45" s="13" t="n">
        <v>38384</v>
      </c>
      <c r="B45" s="12" t="n">
        <v>42</v>
      </c>
      <c r="C45" s="15" t="n">
        <v>0.0213594243530348</v>
      </c>
      <c r="D45" s="15" t="n">
        <v>0.01720273955525691</v>
      </c>
      <c r="E45" s="15" t="n">
        <v>0.0138227049059426</v>
      </c>
      <c r="F45" s="15" t="n">
        <v>0.003506439030559028</v>
      </c>
      <c r="G45" s="15" t="n">
        <v>0.004273127766158069</v>
      </c>
    </row>
    <row r="46">
      <c r="A46" s="13" t="n">
        <v>38412</v>
      </c>
      <c r="B46" s="12" t="n">
        <v>43</v>
      </c>
      <c r="C46" s="15" t="n">
        <v>-0.01744579729054929</v>
      </c>
      <c r="D46" s="15" t="n">
        <v>-0.01203406239031273</v>
      </c>
      <c r="E46" s="15" t="n">
        <v>-0.007637167018839435</v>
      </c>
      <c r="F46" s="15" t="n">
        <v>0.004321968824786415</v>
      </c>
      <c r="G46" s="15" t="n">
        <v>0.004471698917043021</v>
      </c>
      <c r="H46" s="16" t="n">
        <v>79.90000000000001</v>
      </c>
      <c r="I46" s="15" t="n">
        <v>0.007566204287515976</v>
      </c>
      <c r="J46" s="15" t="n">
        <v>0.006955690976245266</v>
      </c>
      <c r="K46" s="15" t="n">
        <v>0.02811440217836791</v>
      </c>
    </row>
    <row r="47">
      <c r="A47" s="13" t="n">
        <v>38443</v>
      </c>
      <c r="B47" s="12" t="n">
        <v>44</v>
      </c>
      <c r="C47" s="15" t="n">
        <v>-0.01810496352450327</v>
      </c>
      <c r="D47" s="15" t="n">
        <v>-0.01260697010451548</v>
      </c>
      <c r="E47" s="15" t="n">
        <v>-0.008078241486251385</v>
      </c>
      <c r="F47" s="15" t="n">
        <v>0.004321968824786415</v>
      </c>
      <c r="G47" s="15" t="n">
        <v>0.004471698917043021</v>
      </c>
    </row>
    <row r="48">
      <c r="A48" s="13" t="n">
        <v>38473</v>
      </c>
      <c r="B48" s="12" t="n">
        <v>45</v>
      </c>
      <c r="C48" s="15" t="n">
        <v>0.01523370432639305</v>
      </c>
      <c r="D48" s="15" t="n">
        <v>0.01270570217491632</v>
      </c>
      <c r="E48" s="15" t="n">
        <v>0.01056669722300115</v>
      </c>
      <c r="F48" s="15" t="n">
        <v>0.004321968824786415</v>
      </c>
      <c r="G48" s="15" t="n">
        <v>0.004471698917043021</v>
      </c>
    </row>
    <row r="49">
      <c r="A49" s="13" t="n">
        <v>38504</v>
      </c>
      <c r="B49" s="12" t="n">
        <v>46</v>
      </c>
      <c r="C49" s="15" t="n">
        <v>0.03306262780892474</v>
      </c>
      <c r="D49" s="15" t="n">
        <v>0.02613107877538941</v>
      </c>
      <c r="E49" s="15" t="n">
        <v>0.02042628912696791</v>
      </c>
      <c r="F49" s="15" t="n">
        <v>0.003698118628708169</v>
      </c>
      <c r="G49" s="15" t="n">
        <v>0.004471698917043021</v>
      </c>
      <c r="H49" s="16" t="n">
        <v>80.09999999999999</v>
      </c>
      <c r="I49" s="15" t="n">
        <v>0.002503128911138797</v>
      </c>
      <c r="J49" s="15" t="n">
        <v>0.005034666599327386</v>
      </c>
      <c r="K49" s="15" t="n">
        <v>0.02029126471867548</v>
      </c>
    </row>
    <row r="50">
      <c r="A50" s="13" t="n">
        <v>38534</v>
      </c>
      <c r="B50" s="12" t="n">
        <v>47</v>
      </c>
      <c r="C50" s="15" t="n">
        <v>0.03161614365713829</v>
      </c>
      <c r="D50" s="15" t="n">
        <v>0.02496798133315334</v>
      </c>
      <c r="E50" s="15" t="n">
        <v>0.01955248851508912</v>
      </c>
      <c r="F50" s="15" t="n">
        <v>0.003698118628708169</v>
      </c>
      <c r="G50" s="15" t="n">
        <v>0.004471698917043021</v>
      </c>
    </row>
    <row r="51">
      <c r="A51" s="13" t="n">
        <v>38565</v>
      </c>
      <c r="B51" s="12" t="n">
        <v>48</v>
      </c>
      <c r="C51" s="15" t="n">
        <v>0.02203580841897141</v>
      </c>
      <c r="D51" s="15" t="n">
        <v>0.0177187080663111</v>
      </c>
      <c r="E51" s="15" t="n">
        <v>0.01421928229588026</v>
      </c>
      <c r="F51" s="15" t="n">
        <v>0.003698118628708169</v>
      </c>
      <c r="G51" s="15" t="n">
        <v>0.004471698917043021</v>
      </c>
    </row>
    <row r="52">
      <c r="A52" s="13" t="n">
        <v>38596</v>
      </c>
      <c r="B52" s="12" t="n">
        <v>49</v>
      </c>
      <c r="C52" s="15" t="n">
        <v>0.03743474103555097</v>
      </c>
      <c r="D52" s="15" t="n">
        <v>0.02942041483738521</v>
      </c>
      <c r="E52" s="15" t="n">
        <v>0.02284120254363846</v>
      </c>
      <c r="F52" s="15" t="n">
        <v>0.003685841468435314</v>
      </c>
      <c r="G52" s="15" t="n">
        <v>0.004471698917043021</v>
      </c>
      <c r="H52" s="16" t="n">
        <v>80.7</v>
      </c>
      <c r="I52" s="15" t="n">
        <v>0.007490636704119868</v>
      </c>
      <c r="J52" s="15" t="n">
        <v>0.004996882807629333</v>
      </c>
      <c r="K52" s="15" t="n">
        <v>0.02013784394614482</v>
      </c>
    </row>
    <row r="53">
      <c r="A53" s="13" t="n">
        <v>38626</v>
      </c>
      <c r="B53" s="12" t="n">
        <v>50</v>
      </c>
      <c r="C53" s="15" t="n">
        <v>-0.02567239602084153</v>
      </c>
      <c r="D53" s="15" t="n">
        <v>-0.01832405387400686</v>
      </c>
      <c r="E53" s="15" t="n">
        <v>-0.01228183875647512</v>
      </c>
      <c r="F53" s="15" t="n">
        <v>0.003685841468435314</v>
      </c>
      <c r="G53" s="15" t="n">
        <v>0.004471698917043021</v>
      </c>
    </row>
    <row r="54">
      <c r="A54" s="13" t="n">
        <v>38657</v>
      </c>
      <c r="B54" s="12" t="n">
        <v>51</v>
      </c>
      <c r="C54" s="15" t="n">
        <v>0.03816334842517968</v>
      </c>
      <c r="D54" s="15" t="n">
        <v>0.02994459898722279</v>
      </c>
      <c r="E54" s="15" t="n">
        <v>0.0232196652155503</v>
      </c>
      <c r="F54" s="15" t="n">
        <v>0.003685841468435314</v>
      </c>
      <c r="G54" s="15" t="n">
        <v>0.004471698917043021</v>
      </c>
    </row>
    <row r="55">
      <c r="A55" s="13" t="n">
        <v>38687</v>
      </c>
      <c r="B55" s="12" t="n">
        <v>52</v>
      </c>
      <c r="C55" s="15" t="n">
        <v>0.03871044632668596</v>
      </c>
      <c r="D55" s="15" t="n">
        <v>0.03029734238062785</v>
      </c>
      <c r="E55" s="15" t="n">
        <v>0.0234629890286541</v>
      </c>
      <c r="F55" s="15" t="n">
        <v>0.003681809952891468</v>
      </c>
      <c r="G55" s="15" t="n">
        <v>0.004471698917043021</v>
      </c>
      <c r="H55" s="16" t="n">
        <v>80.90000000000001</v>
      </c>
      <c r="I55" s="15" t="n">
        <v>0.002478314745972821</v>
      </c>
      <c r="J55" s="15" t="n">
        <v>0.004984475725046345</v>
      </c>
      <c r="K55" s="15" t="n">
        <v>0.02008746886414348</v>
      </c>
    </row>
    <row r="56">
      <c r="A56" s="13" t="n">
        <v>38718</v>
      </c>
      <c r="B56" s="12" t="n">
        <v>53</v>
      </c>
      <c r="C56" s="15" t="n">
        <v>0.04219933854717338</v>
      </c>
      <c r="D56" s="15" t="n">
        <v>0.03283890046819828</v>
      </c>
      <c r="E56" s="15" t="n">
        <v>0.02520676867212705</v>
      </c>
      <c r="F56" s="15" t="n">
        <v>0.003681809952891468</v>
      </c>
      <c r="G56" s="15" t="n">
        <v>0.004471698917043021</v>
      </c>
    </row>
    <row r="57">
      <c r="A57" s="13" t="n">
        <v>38749</v>
      </c>
      <c r="B57" s="12" t="n">
        <v>54</v>
      </c>
      <c r="C57" s="15" t="n">
        <v>0.02391191258910895</v>
      </c>
      <c r="D57" s="15" t="n">
        <v>0.01894045674006932</v>
      </c>
      <c r="E57" s="15" t="n">
        <v>0.01496581013561097</v>
      </c>
      <c r="F57" s="15" t="n">
        <v>0.003681809952891468</v>
      </c>
      <c r="G57" s="15" t="n">
        <v>0.004471698917043021</v>
      </c>
    </row>
    <row r="58">
      <c r="A58" s="13" t="n">
        <v>38777</v>
      </c>
      <c r="B58" s="12" t="n">
        <v>55</v>
      </c>
      <c r="C58" s="15" t="n">
        <v>0.04592710333570636</v>
      </c>
      <c r="D58" s="15" t="n">
        <v>0.03567200170748334</v>
      </c>
      <c r="E58" s="15" t="n">
        <v>0.02729431695370552</v>
      </c>
      <c r="F58" s="15" t="n">
        <v>0.003870570612754642</v>
      </c>
      <c r="G58" s="15" t="n">
        <v>0.004471698917043021</v>
      </c>
      <c r="H58" s="16" t="n">
        <v>81.59999999999999</v>
      </c>
      <c r="I58" s="15" t="n">
        <v>0.008652657601977642</v>
      </c>
      <c r="J58" s="15" t="n">
        <v>0.005565486173975231</v>
      </c>
      <c r="K58" s="15" t="n">
        <v>0.02244848302908631</v>
      </c>
    </row>
    <row r="59">
      <c r="A59" s="13" t="n">
        <v>38808</v>
      </c>
      <c r="B59" s="12" t="n">
        <v>56</v>
      </c>
      <c r="C59" s="15" t="n">
        <v>0.03733733891400724</v>
      </c>
      <c r="D59" s="15" t="n">
        <v>0.02914378074699202</v>
      </c>
      <c r="E59" s="15" t="n">
        <v>0.02248404887755402</v>
      </c>
      <c r="F59" s="15" t="n">
        <v>0.003870570612754642</v>
      </c>
      <c r="G59" s="15" t="n">
        <v>0.004471698917043021</v>
      </c>
    </row>
    <row r="60">
      <c r="A60" s="13" t="n">
        <v>38838</v>
      </c>
      <c r="B60" s="12" t="n">
        <v>57</v>
      </c>
      <c r="C60" s="15" t="n">
        <v>-0.04587836537328891</v>
      </c>
      <c r="D60" s="15" t="n">
        <v>-0.03361598916008942</v>
      </c>
      <c r="E60" s="15" t="n">
        <v>-0.02361672894942878</v>
      </c>
      <c r="F60" s="15" t="n">
        <v>0.003870570612754642</v>
      </c>
      <c r="G60" s="15" t="n">
        <v>0.004669839200035719</v>
      </c>
    </row>
    <row r="61">
      <c r="A61" s="13" t="n">
        <v>38869</v>
      </c>
      <c r="B61" s="12" t="n">
        <v>58</v>
      </c>
      <c r="C61" s="15" t="n">
        <v>0.01428085917596503</v>
      </c>
      <c r="D61" s="15" t="n">
        <v>0.01182005145663372</v>
      </c>
      <c r="E61" s="15" t="n">
        <v>0.009787466757443571</v>
      </c>
      <c r="F61" s="15" t="n">
        <v>0.005654642224081741</v>
      </c>
      <c r="G61" s="15" t="n">
        <v>0.004669839200035719</v>
      </c>
      <c r="H61" s="16" t="n">
        <v>82.7</v>
      </c>
      <c r="I61" s="15" t="n">
        <v>0.01348039215686292</v>
      </c>
      <c r="J61" s="15" t="n">
        <v>0.01106652487942028</v>
      </c>
      <c r="K61" s="15" t="n">
        <v>0.04500634353300326</v>
      </c>
    </row>
    <row r="62">
      <c r="A62" s="13" t="n">
        <v>38899</v>
      </c>
      <c r="B62" s="12" t="n">
        <v>59</v>
      </c>
      <c r="C62" s="15" t="n">
        <v>-0.01565942895869696</v>
      </c>
      <c r="D62" s="15" t="n">
        <v>-0.01079395947439991</v>
      </c>
      <c r="E62" s="15" t="n">
        <v>-0.00683848654665766</v>
      </c>
      <c r="F62" s="15" t="n">
        <v>0.005654642224081741</v>
      </c>
      <c r="G62" s="15" t="n">
        <v>0.004669839200035719</v>
      </c>
    </row>
    <row r="63">
      <c r="A63" s="13" t="n">
        <v>38930</v>
      </c>
      <c r="B63" s="12" t="n">
        <v>60</v>
      </c>
      <c r="C63" s="15" t="n">
        <v>0.02648369681939218</v>
      </c>
      <c r="D63" s="15" t="n">
        <v>0.02105201029255934</v>
      </c>
      <c r="E63" s="15" t="n">
        <v>0.01659467497390834</v>
      </c>
      <c r="F63" s="15" t="n">
        <v>0.005654642224081741</v>
      </c>
      <c r="G63" s="15" t="n">
        <v>0.004867550565343048</v>
      </c>
    </row>
    <row r="64">
      <c r="A64" s="13" t="n">
        <v>38961</v>
      </c>
      <c r="B64" s="12" t="n">
        <v>61</v>
      </c>
      <c r="C64" s="15" t="n">
        <v>0.01562804310721604</v>
      </c>
      <c r="D64" s="15" t="n">
        <v>0.01281833391454555</v>
      </c>
      <c r="E64" s="15" t="n">
        <v>0.01053212933832978</v>
      </c>
      <c r="F64" s="15" t="n">
        <v>0.005428336656792432</v>
      </c>
      <c r="G64" s="15" t="n">
        <v>0.004867550565343048</v>
      </c>
      <c r="H64" s="16" t="n">
        <v>83.3</v>
      </c>
      <c r="I64" s="15" t="n">
        <v>0.007255139056831839</v>
      </c>
      <c r="J64" s="15" t="n">
        <v>0.01036776560684738</v>
      </c>
      <c r="K64" s="15" t="n">
        <v>0.04212047511155825</v>
      </c>
    </row>
    <row r="65">
      <c r="A65" s="13" t="n">
        <v>38991</v>
      </c>
      <c r="B65" s="12" t="n">
        <v>62</v>
      </c>
      <c r="C65" s="15" t="n">
        <v>0.0239958117411548</v>
      </c>
      <c r="D65" s="15" t="n">
        <v>0.01927974741990416</v>
      </c>
      <c r="E65" s="15" t="n">
        <v>0.01531998911690065</v>
      </c>
      <c r="F65" s="15" t="n">
        <v>0.005428336656792432</v>
      </c>
      <c r="G65" s="15" t="n">
        <v>0.004867550565343048</v>
      </c>
    </row>
    <row r="66">
      <c r="A66" s="13" t="n">
        <v>39022</v>
      </c>
      <c r="B66" s="12" t="n">
        <v>63</v>
      </c>
      <c r="C66" s="15" t="n">
        <v>0.01621169743301129</v>
      </c>
      <c r="D66" s="15" t="n">
        <v>0.01333116724719575</v>
      </c>
      <c r="E66" s="15" t="n">
        <v>0.01094401455657516</v>
      </c>
      <c r="F66" s="15" t="n">
        <v>0.005428336656792432</v>
      </c>
      <c r="G66" s="15" t="n">
        <v>0.005064834949770836</v>
      </c>
    </row>
    <row r="67">
      <c r="A67" s="13" t="n">
        <v>39052</v>
      </c>
      <c r="B67" s="12" t="n">
        <v>64</v>
      </c>
      <c r="C67" s="15" t="n">
        <v>0.03172770086120915</v>
      </c>
      <c r="D67" s="15" t="n">
        <v>0.02504872912322414</v>
      </c>
      <c r="E67" s="15" t="n">
        <v>0.01955837574696399</v>
      </c>
      <c r="F67" s="15" t="n">
        <v>0.0026548436231697</v>
      </c>
      <c r="G67" s="15" t="n">
        <v>0.005064834949770836</v>
      </c>
      <c r="H67" s="16" t="n">
        <v>83</v>
      </c>
      <c r="I67" s="15" t="n">
        <v>-0.003601440576230464</v>
      </c>
      <c r="J67" s="15" t="n">
        <v>0.001826849240300688</v>
      </c>
      <c r="K67" s="15" t="n">
        <v>0.007327445628768192</v>
      </c>
    </row>
    <row r="68">
      <c r="A68" s="13" t="n">
        <v>39083</v>
      </c>
      <c r="B68" s="12" t="n">
        <v>65</v>
      </c>
      <c r="C68" s="15" t="n">
        <v>0.02343530592595582</v>
      </c>
      <c r="D68" s="15" t="n">
        <v>0.01874858649555039</v>
      </c>
      <c r="E68" s="15" t="n">
        <v>0.01491671210634089</v>
      </c>
      <c r="F68" s="15" t="n">
        <v>0.0026548436231697</v>
      </c>
      <c r="G68" s="15" t="n">
        <v>0.005064834949770836</v>
      </c>
    </row>
    <row r="69">
      <c r="A69" s="13" t="n">
        <v>39114</v>
      </c>
      <c r="B69" s="12" t="n">
        <v>66</v>
      </c>
      <c r="C69" s="15" t="n">
        <v>0.0006957883879725116</v>
      </c>
      <c r="D69" s="15" t="n">
        <v>0.001653859986678835</v>
      </c>
      <c r="E69" s="15" t="n">
        <v>0.002369889105066</v>
      </c>
      <c r="F69" s="15" t="n">
        <v>0.0026548436231697</v>
      </c>
      <c r="G69" s="15" t="n">
        <v>0.005064834949770836</v>
      </c>
    </row>
    <row r="70">
      <c r="A70" s="13" t="n">
        <v>39142</v>
      </c>
      <c r="B70" s="12" t="n">
        <v>67</v>
      </c>
      <c r="C70" s="15" t="n">
        <v>0.01607966337907368</v>
      </c>
      <c r="D70" s="15" t="n">
        <v>0.01327988874790901</v>
      </c>
      <c r="E70" s="15" t="n">
        <v>0.01091914286807595</v>
      </c>
      <c r="F70" s="15" t="n">
        <v>0.002454437519520569</v>
      </c>
      <c r="G70" s="15" t="n">
        <v>0.005064834949770836</v>
      </c>
      <c r="H70" s="16" t="n">
        <v>83.5</v>
      </c>
      <c r="I70" s="15" t="n">
        <v>0.006024096385542244</v>
      </c>
      <c r="J70" s="15" t="n">
        <v>0.00121132790465589</v>
      </c>
      <c r="K70" s="15" t="n">
        <v>0.00485412262213214</v>
      </c>
    </row>
    <row r="71">
      <c r="A71" s="13" t="n">
        <v>39173</v>
      </c>
      <c r="B71" s="12" t="n">
        <v>68</v>
      </c>
      <c r="C71" s="15" t="n">
        <v>0.02083536982191814</v>
      </c>
      <c r="D71" s="15" t="n">
        <v>0.01684998181399536</v>
      </c>
      <c r="E71" s="15" t="n">
        <v>0.0135380946455934</v>
      </c>
      <c r="F71" s="15" t="n">
        <v>0.002454437519520569</v>
      </c>
      <c r="G71" s="15" t="n">
        <v>0.005064834949770836</v>
      </c>
    </row>
    <row r="72">
      <c r="A72" s="13" t="n">
        <v>39203</v>
      </c>
      <c r="B72" s="12" t="n">
        <v>69</v>
      </c>
      <c r="C72" s="15" t="n">
        <v>0.02398088263308096</v>
      </c>
      <c r="D72" s="15" t="n">
        <v>0.01918610509846446</v>
      </c>
      <c r="E72" s="15" t="n">
        <v>0.01524511536782994</v>
      </c>
      <c r="F72" s="15" t="n">
        <v>0.002454437519520569</v>
      </c>
      <c r="G72" s="15" t="n">
        <v>0.005064834949770836</v>
      </c>
    </row>
    <row r="73">
      <c r="A73" s="13" t="n">
        <v>39234</v>
      </c>
      <c r="B73" s="12" t="n">
        <v>70</v>
      </c>
      <c r="C73" s="15" t="n">
        <v>-0.01176463963151012</v>
      </c>
      <c r="D73" s="15" t="n">
        <v>-0.007773213617202112</v>
      </c>
      <c r="E73" s="15" t="n">
        <v>-0.004565098894918424</v>
      </c>
      <c r="F73" s="15" t="n">
        <v>0.004985121721379659</v>
      </c>
      <c r="G73" s="15" t="n">
        <v>0.005064834949770836</v>
      </c>
      <c r="H73" s="16" t="n">
        <v>84.5</v>
      </c>
      <c r="I73" s="15" t="n">
        <v>0.01197604790419171</v>
      </c>
      <c r="J73" s="15" t="n">
        <v>0.009000072144866977</v>
      </c>
      <c r="K73" s="15" t="n">
        <v>0.03648921900248014</v>
      </c>
    </row>
    <row r="74">
      <c r="A74" s="13" t="n">
        <v>39264</v>
      </c>
      <c r="B74" s="12" t="n">
        <v>71</v>
      </c>
      <c r="C74" s="15" t="n">
        <v>-0.01947581721515656</v>
      </c>
      <c r="D74" s="15" t="n">
        <v>-0.01363017216700485</v>
      </c>
      <c r="E74" s="15" t="n">
        <v>-0.008879821927991872</v>
      </c>
      <c r="F74" s="15" t="n">
        <v>0.004985121721379659</v>
      </c>
      <c r="G74" s="15" t="n">
        <v>0.005064834949770836</v>
      </c>
    </row>
    <row r="75">
      <c r="A75" s="13" t="n">
        <v>39295</v>
      </c>
      <c r="B75" s="12" t="n">
        <v>72</v>
      </c>
      <c r="C75" s="15" t="n">
        <v>0.02498574729651009</v>
      </c>
      <c r="D75" s="15" t="n">
        <v>0.01992611162863413</v>
      </c>
      <c r="E75" s="15" t="n">
        <v>0.01579989771147993</v>
      </c>
      <c r="F75" s="15" t="n">
        <v>0.004985121721379659</v>
      </c>
      <c r="G75" s="15" t="n">
        <v>0.00526169427684775</v>
      </c>
    </row>
    <row r="76">
      <c r="A76" s="13" t="n">
        <v>39326</v>
      </c>
      <c r="B76" s="12" t="n">
        <v>73</v>
      </c>
      <c r="C76" s="15" t="n">
        <v>0.01580918250780726</v>
      </c>
      <c r="D76" s="15" t="n">
        <v>0.01321646378754488</v>
      </c>
      <c r="E76" s="15" t="n">
        <v>0.01092556282813125</v>
      </c>
      <c r="F76" s="15" t="n">
        <v>0.0047759221694752</v>
      </c>
      <c r="G76" s="15" t="n">
        <v>0.00526169427684775</v>
      </c>
      <c r="H76" s="16" t="n">
        <v>84.90000000000001</v>
      </c>
      <c r="I76" s="15" t="n">
        <v>0.004733727810650956</v>
      </c>
      <c r="J76" s="15" t="n">
        <v>0.008354887857421334</v>
      </c>
      <c r="K76" s="15" t="n">
        <v>0.03384071403238331</v>
      </c>
    </row>
    <row r="77">
      <c r="A77" s="13" t="n">
        <v>39356</v>
      </c>
      <c r="B77" s="12" t="n">
        <v>74</v>
      </c>
      <c r="C77" s="15" t="n">
        <v>0.01251014638716308</v>
      </c>
      <c r="D77" s="15" t="n">
        <v>0.01062742060433126</v>
      </c>
      <c r="E77" s="15" t="n">
        <v>0.00899632686904646</v>
      </c>
      <c r="F77" s="15" t="n">
        <v>0.0047759221694752</v>
      </c>
      <c r="G77" s="15" t="n">
        <v>0.00526169427684775</v>
      </c>
    </row>
    <row r="78">
      <c r="A78" s="13" t="n">
        <v>39387</v>
      </c>
      <c r="B78" s="12" t="n">
        <v>75</v>
      </c>
      <c r="C78" s="15" t="n">
        <v>-0.008826510118373505</v>
      </c>
      <c r="D78" s="15" t="n">
        <v>-0.005658405572563678</v>
      </c>
      <c r="E78" s="15" t="n">
        <v>-0.003006453112333237</v>
      </c>
      <c r="F78" s="15" t="n">
        <v>0.0047759221694752</v>
      </c>
      <c r="G78" s="15" t="n">
        <v>0.005458130456946764</v>
      </c>
    </row>
    <row r="79">
      <c r="A79" s="13" t="n">
        <v>39417</v>
      </c>
      <c r="B79" s="12" t="n">
        <v>76</v>
      </c>
      <c r="C79" s="15" t="n">
        <v>-0.01985902500773018</v>
      </c>
      <c r="D79" s="15" t="n">
        <v>-0.01391712659173542</v>
      </c>
      <c r="E79" s="15" t="n">
        <v>-0.009058671153633648</v>
      </c>
      <c r="F79" s="15" t="n">
        <v>0.004170592170761322</v>
      </c>
      <c r="G79" s="15" t="n">
        <v>0.005458130456946764</v>
      </c>
      <c r="H79" s="16" t="n">
        <v>85.59999999999999</v>
      </c>
      <c r="I79" s="15" t="n">
        <v>0.008244994110718329</v>
      </c>
      <c r="J79" s="15" t="n">
        <v>0.006489360960684643</v>
      </c>
      <c r="K79" s="15" t="n">
        <v>0.02621120956504219</v>
      </c>
    </row>
    <row r="80">
      <c r="A80" s="13" t="n">
        <v>39448</v>
      </c>
      <c r="B80" s="12" t="n">
        <v>77</v>
      </c>
      <c r="C80" s="15" t="n">
        <v>-0.09202896228184453</v>
      </c>
      <c r="D80" s="15" t="n">
        <v>-0.06848980225531112</v>
      </c>
      <c r="E80" s="15" t="n">
        <v>-0.04924735936238647</v>
      </c>
      <c r="F80" s="15" t="n">
        <v>0.004170592170761322</v>
      </c>
      <c r="G80" s="15" t="n">
        <v>0.005458130456946764</v>
      </c>
    </row>
    <row r="81">
      <c r="A81" s="13" t="n">
        <v>39479</v>
      </c>
      <c r="B81" s="12" t="n">
        <v>78</v>
      </c>
      <c r="C81" s="15" t="n">
        <v>-0.02316779993334984</v>
      </c>
      <c r="D81" s="15" t="n">
        <v>-0.01634729153589787</v>
      </c>
      <c r="E81" s="15" t="n">
        <v>-0.01086139991823549</v>
      </c>
      <c r="F81" s="15" t="n">
        <v>0.004170592170761322</v>
      </c>
      <c r="G81" s="15" t="n">
        <v>0.005654145387405274</v>
      </c>
    </row>
    <row r="82">
      <c r="A82" s="13" t="n">
        <v>39508</v>
      </c>
      <c r="B82" s="12" t="n">
        <v>79</v>
      </c>
      <c r="C82" s="15" t="n">
        <v>-0.008299754613141398</v>
      </c>
      <c r="D82" s="15" t="n">
        <v>-0.005299235071801405</v>
      </c>
      <c r="E82" s="15" t="n">
        <v>-0.00277130487296147</v>
      </c>
      <c r="F82" s="15" t="n">
        <v>0.005675791961579524</v>
      </c>
      <c r="G82" s="15" t="n">
        <v>0.005849740952645677</v>
      </c>
      <c r="H82" s="16" t="n">
        <v>86.8</v>
      </c>
      <c r="I82" s="15" t="n">
        <v>0.01401869158878499</v>
      </c>
      <c r="J82" s="15" t="n">
        <v>0.01113184284975166</v>
      </c>
      <c r="K82" s="15" t="n">
        <v>0.04527641204552757</v>
      </c>
    </row>
    <row r="83">
      <c r="A83" s="13" t="n">
        <v>39539</v>
      </c>
      <c r="B83" s="12" t="n">
        <v>80</v>
      </c>
      <c r="C83" s="15" t="n">
        <v>0.03321591434959946</v>
      </c>
      <c r="D83" s="15" t="n">
        <v>0.02625547827585334</v>
      </c>
      <c r="E83" s="15" t="n">
        <v>0.02048027468214511</v>
      </c>
      <c r="F83" s="15" t="n">
        <v>0.005675791961579524</v>
      </c>
      <c r="G83" s="15" t="n">
        <v>0.005849740952645677</v>
      </c>
    </row>
    <row r="84">
      <c r="A84" s="13" t="n">
        <v>39569</v>
      </c>
      <c r="B84" s="12" t="n">
        <v>81</v>
      </c>
      <c r="C84" s="15" t="n">
        <v>0.00712087056773592</v>
      </c>
      <c r="D84" s="15" t="n">
        <v>0.006513405668395683</v>
      </c>
      <c r="E84" s="15" t="n">
        <v>0.005957210831060154</v>
      </c>
      <c r="F84" s="15" t="n">
        <v>0.005675791961579524</v>
      </c>
      <c r="G84" s="15" t="n">
        <v>0.005849740952645677</v>
      </c>
    </row>
    <row r="85">
      <c r="A85" s="13" t="n">
        <v>39600</v>
      </c>
      <c r="B85" s="12" t="n">
        <v>82</v>
      </c>
      <c r="C85" s="15" t="n">
        <v>-0.07213395148193699</v>
      </c>
      <c r="D85" s="15" t="n">
        <v>-0.05336922777819665</v>
      </c>
      <c r="E85" s="15" t="n">
        <v>-0.0380744582055976</v>
      </c>
      <c r="F85" s="15" t="n">
        <v>0.006205869861277025</v>
      </c>
      <c r="G85" s="15" t="n">
        <v>0.005849740952645677</v>
      </c>
      <c r="H85" s="16" t="n">
        <v>87.8</v>
      </c>
      <c r="I85" s="15" t="n">
        <v>0.01152073732718883</v>
      </c>
      <c r="J85" s="15" t="n">
        <v>0.01276971445798691</v>
      </c>
      <c r="K85" s="15" t="n">
        <v>0.05206560727134613</v>
      </c>
    </row>
    <row r="86">
      <c r="A86" s="13" t="n">
        <v>39630</v>
      </c>
      <c r="B86" s="12" t="n">
        <v>83</v>
      </c>
      <c r="C86" s="15" t="n">
        <v>-0.02644204717914946</v>
      </c>
      <c r="D86" s="15" t="n">
        <v>-0.01893985169707398</v>
      </c>
      <c r="E86" s="15" t="n">
        <v>-0.01278346298503243</v>
      </c>
      <c r="F86" s="15" t="n">
        <v>0.006205869861277025</v>
      </c>
      <c r="G86" s="15" t="n">
        <v>0.005849740952645677</v>
      </c>
    </row>
    <row r="87">
      <c r="A87" s="13" t="n">
        <v>39661</v>
      </c>
      <c r="B87" s="12" t="n">
        <v>84</v>
      </c>
      <c r="C87" s="15" t="n">
        <v>0.03893356503067991</v>
      </c>
      <c r="D87" s="15" t="n">
        <v>0.03047885480693119</v>
      </c>
      <c r="E87" s="15" t="n">
        <v>0.02356012107700686</v>
      </c>
      <c r="F87" s="15" t="n">
        <v>0.006205869861277025</v>
      </c>
      <c r="G87" s="15" t="n">
        <v>0.005849740952645677</v>
      </c>
    </row>
    <row r="88">
      <c r="A88" s="13" t="n">
        <v>39692</v>
      </c>
      <c r="B88" s="12" t="n">
        <v>85</v>
      </c>
      <c r="C88" s="15" t="n">
        <v>-0.06680935286122196</v>
      </c>
      <c r="D88" s="15" t="n">
        <v>-0.04953022796778177</v>
      </c>
      <c r="E88" s="15" t="n">
        <v>-0.03531602576454496</v>
      </c>
      <c r="F88" s="15" t="n">
        <v>0.00522711764903927</v>
      </c>
      <c r="G88" s="15" t="n">
        <v>0.005654145387405274</v>
      </c>
      <c r="H88" s="16" t="n">
        <v>88.5</v>
      </c>
      <c r="I88" s="15" t="n">
        <v>0.007972665148063829</v>
      </c>
      <c r="J88" s="15" t="n">
        <v>0.009746701237626332</v>
      </c>
      <c r="K88" s="15" t="n">
        <v>0.03956050676096412</v>
      </c>
    </row>
    <row r="89">
      <c r="A89" s="13" t="n">
        <v>39722</v>
      </c>
      <c r="B89" s="12" t="n">
        <v>86</v>
      </c>
      <c r="C89" s="15" t="n">
        <v>-0.08556755735643233</v>
      </c>
      <c r="D89" s="15" t="n">
        <v>-0.06335781860589412</v>
      </c>
      <c r="E89" s="15" t="n">
        <v>-0.04505490308938021</v>
      </c>
      <c r="F89" s="15" t="n">
        <v>0.00522711764903927</v>
      </c>
      <c r="G89" s="15" t="n">
        <v>0.004867550565343048</v>
      </c>
    </row>
    <row r="90">
      <c r="A90" s="13" t="n">
        <v>39753</v>
      </c>
      <c r="B90" s="12" t="n">
        <v>87</v>
      </c>
      <c r="C90" s="15" t="n">
        <v>-0.04870567970685029</v>
      </c>
      <c r="D90" s="15" t="n">
        <v>-0.03548803182796476</v>
      </c>
      <c r="E90" s="15" t="n">
        <v>-0.02460504566530206</v>
      </c>
      <c r="F90" s="15" t="n">
        <v>0.00522711764903927</v>
      </c>
      <c r="G90" s="15" t="n">
        <v>0.004273127766158069</v>
      </c>
    </row>
    <row r="91">
      <c r="A91" s="13" t="n">
        <v>39783</v>
      </c>
      <c r="B91" s="12" t="n">
        <v>88</v>
      </c>
      <c r="C91" s="15" t="n">
        <v>0.003550082764329412</v>
      </c>
      <c r="D91" s="15" t="n">
        <v>0.003929788851759265</v>
      </c>
      <c r="E91" s="15" t="n">
        <v>0.004297731899173184</v>
      </c>
      <c r="F91" s="15" t="n">
        <v>0.002438202531994449</v>
      </c>
      <c r="G91" s="15" t="n">
        <v>0.003474495003497502</v>
      </c>
      <c r="H91" s="16" t="n">
        <v>88</v>
      </c>
      <c r="I91" s="15" t="n">
        <v>-0.005649717514124242</v>
      </c>
      <c r="J91" s="15" t="n">
        <v>0.001161473816969794</v>
      </c>
      <c r="K91" s="15" t="n">
        <v>0.004653995665676591</v>
      </c>
    </row>
    <row r="92">
      <c r="A92" s="13" t="n">
        <v>39814</v>
      </c>
      <c r="B92" s="12" t="n">
        <v>89</v>
      </c>
      <c r="C92" s="15" t="n">
        <v>-0.04079520888160032</v>
      </c>
      <c r="D92" s="15" t="n">
        <v>-0.02976821130263819</v>
      </c>
      <c r="E92" s="15" t="n">
        <v>-0.02073120992603833</v>
      </c>
      <c r="F92" s="15" t="n">
        <v>0.002438202531994449</v>
      </c>
      <c r="G92" s="15" t="n">
        <v>0.003474495003497502</v>
      </c>
    </row>
    <row r="93">
      <c r="A93" s="13" t="n">
        <v>39845</v>
      </c>
      <c r="B93" s="12" t="n">
        <v>90</v>
      </c>
      <c r="C93" s="15" t="n">
        <v>-0.06908104774883327</v>
      </c>
      <c r="D93" s="15" t="n">
        <v>-0.05110635861756414</v>
      </c>
      <c r="E93" s="15" t="n">
        <v>-0.03647664436638712</v>
      </c>
      <c r="F93" s="15" t="n">
        <v>0.002438202531994449</v>
      </c>
      <c r="G93" s="15" t="n">
        <v>0.002668808767629649</v>
      </c>
    </row>
    <row r="94">
      <c r="A94" s="13" t="n">
        <v>39873</v>
      </c>
      <c r="B94" s="12" t="n">
        <v>91</v>
      </c>
      <c r="C94" s="15" t="n">
        <v>0.04026935554274302</v>
      </c>
      <c r="D94" s="15" t="n">
        <v>0.03153871783575564</v>
      </c>
      <c r="E94" s="15" t="n">
        <v>0.02429835142861742</v>
      </c>
      <c r="F94" s="15" t="n">
        <v>0.00187988278472706</v>
      </c>
      <c r="G94" s="15" t="n">
        <v>0.002668808767629649</v>
      </c>
      <c r="H94" s="16" t="n">
        <v>88.40000000000001</v>
      </c>
      <c r="I94" s="15" t="n">
        <v>0.00454545454545463</v>
      </c>
      <c r="J94" s="15" t="n">
        <v>-0.0005521314843348057</v>
      </c>
      <c r="K94" s="15" t="n">
        <v>-0.002206697515457878</v>
      </c>
    </row>
    <row r="95">
      <c r="A95" s="13" t="n">
        <v>39904</v>
      </c>
      <c r="B95" s="12" t="n">
        <v>92</v>
      </c>
      <c r="C95" s="15" t="n">
        <v>0.05447596242779245</v>
      </c>
      <c r="D95" s="15" t="n">
        <v>0.04176135955198071</v>
      </c>
      <c r="E95" s="15" t="n">
        <v>0.03136346864820651</v>
      </c>
      <c r="F95" s="15" t="n">
        <v>0.00187988278472706</v>
      </c>
      <c r="G95" s="15" t="n">
        <v>0.002466269772303686</v>
      </c>
    </row>
    <row r="96">
      <c r="A96" s="13" t="n">
        <v>39934</v>
      </c>
      <c r="B96" s="12" t="n">
        <v>93</v>
      </c>
      <c r="C96" s="15" t="n">
        <v>0.01783396991085435</v>
      </c>
      <c r="D96" s="15" t="n">
        <v>0.0140525293967294</v>
      </c>
      <c r="E96" s="15" t="n">
        <v>0.01098303699634282</v>
      </c>
      <c r="F96" s="15" t="n">
        <v>0.00187988278472706</v>
      </c>
      <c r="G96" s="15" t="n">
        <v>0.002466269772303686</v>
      </c>
    </row>
    <row r="97">
      <c r="A97" s="13" t="n">
        <v>39965</v>
      </c>
      <c r="B97" s="12" t="n">
        <v>94</v>
      </c>
      <c r="C97" s="15" t="n">
        <v>0.01190477971285255</v>
      </c>
      <c r="D97" s="15" t="n">
        <v>0.009735322352912723</v>
      </c>
      <c r="E97" s="15" t="n">
        <v>0.007851667992126509</v>
      </c>
      <c r="F97" s="15" t="n">
        <v>0.003351928994995923</v>
      </c>
      <c r="G97" s="15" t="n">
        <v>0.002466269772303686</v>
      </c>
      <c r="H97" s="16" t="n">
        <v>88.7</v>
      </c>
      <c r="I97" s="15" t="n">
        <v>0.003393665158371029</v>
      </c>
      <c r="J97" s="15" t="n">
        <v>0.003969559851912829</v>
      </c>
      <c r="K97" s="15" t="n">
        <v>0.01597303428831087</v>
      </c>
    </row>
    <row r="98">
      <c r="A98" s="13" t="n">
        <v>39995</v>
      </c>
      <c r="B98" s="12" t="n">
        <v>95</v>
      </c>
      <c r="C98" s="15" t="n">
        <v>0.06333131234678153</v>
      </c>
      <c r="D98" s="15" t="n">
        <v>0.04849143570898591</v>
      </c>
      <c r="E98" s="15" t="n">
        <v>0.0363224748214139</v>
      </c>
      <c r="F98" s="15" t="n">
        <v>0.003351928994995923</v>
      </c>
      <c r="G98" s="15" t="n">
        <v>0.002466269772303686</v>
      </c>
    </row>
    <row r="99">
      <c r="A99" s="13" t="n">
        <v>40026</v>
      </c>
      <c r="B99" s="12" t="n">
        <v>96</v>
      </c>
      <c r="C99" s="15" t="n">
        <v>0.04423590745250387</v>
      </c>
      <c r="D99" s="15" t="n">
        <v>0.03408136531865869</v>
      </c>
      <c r="E99" s="15" t="n">
        <v>0.02573148540994221</v>
      </c>
      <c r="F99" s="15" t="n">
        <v>0.003351928994995923</v>
      </c>
      <c r="G99" s="15" t="n">
        <v>0.002466269772303686</v>
      </c>
    </row>
    <row r="100">
      <c r="A100" s="13" t="n">
        <v>40057</v>
      </c>
      <c r="B100" s="12" t="n">
        <v>97</v>
      </c>
      <c r="C100" s="15" t="n">
        <v>0.02762278712897892</v>
      </c>
      <c r="D100" s="15" t="n">
        <v>0.02163980589820494</v>
      </c>
      <c r="E100" s="15" t="n">
        <v>0.01661255005419345</v>
      </c>
      <c r="F100" s="15" t="n">
        <v>0.00371253003498806</v>
      </c>
      <c r="G100" s="15" t="n">
        <v>0.002466269772303686</v>
      </c>
      <c r="H100" s="16" t="n">
        <v>89.3</v>
      </c>
      <c r="I100" s="15" t="n">
        <v>0.006764374295377573</v>
      </c>
      <c r="J100" s="15" t="n">
        <v>0.005079019726874301</v>
      </c>
      <c r="K100" s="15" t="n">
        <v>0.02047138230380785</v>
      </c>
    </row>
    <row r="101">
      <c r="A101" s="13" t="n">
        <v>40087</v>
      </c>
      <c r="B101" s="12" t="n">
        <v>98</v>
      </c>
      <c r="C101" s="15" t="n">
        <v>-0.02598757228233209</v>
      </c>
      <c r="D101" s="15" t="n">
        <v>-0.01894626491848966</v>
      </c>
      <c r="E101" s="15" t="n">
        <v>-0.01323524576061288</v>
      </c>
      <c r="F101" s="15" t="n">
        <v>0.00371253003498806</v>
      </c>
      <c r="G101" s="15" t="n">
        <v>0.002668808767629649</v>
      </c>
    </row>
    <row r="102">
      <c r="A102" s="13" t="n">
        <v>40118</v>
      </c>
      <c r="B102" s="12" t="n">
        <v>99</v>
      </c>
      <c r="C102" s="15" t="n">
        <v>0.01656773836874445</v>
      </c>
      <c r="D102" s="15" t="n">
        <v>0.01316145185930569</v>
      </c>
      <c r="E102" s="15" t="n">
        <v>0.01037757608308293</v>
      </c>
      <c r="F102" s="15" t="n">
        <v>0.00371253003498806</v>
      </c>
      <c r="G102" s="15" t="n">
        <v>0.002870898719076642</v>
      </c>
    </row>
    <row r="103">
      <c r="A103" s="13" t="n">
        <v>40148</v>
      </c>
      <c r="B103" s="12" t="n">
        <v>100</v>
      </c>
      <c r="C103" s="15" t="n">
        <v>0.03163634812050618</v>
      </c>
      <c r="D103" s="15" t="n">
        <v>0.02460286864239606</v>
      </c>
      <c r="E103" s="15" t="n">
        <v>0.01882140235455527</v>
      </c>
      <c r="F103" s="15" t="n">
        <v>0.003888872039552238</v>
      </c>
      <c r="G103" s="15" t="n">
        <v>0.003072541703255549</v>
      </c>
      <c r="H103" s="16" t="n">
        <v>89.7</v>
      </c>
      <c r="I103" s="15" t="n">
        <v>0.004479283314669624</v>
      </c>
      <c r="J103" s="15" t="n">
        <v>0.005621828805023599</v>
      </c>
      <c r="K103" s="15" t="n">
        <v>0.02267765668432387</v>
      </c>
    </row>
    <row r="104">
      <c r="A104" s="13" t="n">
        <v>40179</v>
      </c>
      <c r="B104" s="12" t="n">
        <v>101</v>
      </c>
      <c r="C104" s="15" t="n">
        <v>-0.04300263525426162</v>
      </c>
      <c r="D104" s="15" t="n">
        <v>-0.03153531233105641</v>
      </c>
      <c r="E104" s="15" t="n">
        <v>-0.02208898194394365</v>
      </c>
      <c r="F104" s="15" t="n">
        <v>0.003888872039552238</v>
      </c>
      <c r="G104" s="15" t="n">
        <v>0.003072541703255549</v>
      </c>
    </row>
    <row r="105">
      <c r="A105" s="13" t="n">
        <v>40210</v>
      </c>
      <c r="B105" s="12" t="n">
        <v>102</v>
      </c>
      <c r="C105" s="15" t="n">
        <v>0.005493748303075983</v>
      </c>
      <c r="D105" s="15" t="n">
        <v>0.005220486454857337</v>
      </c>
      <c r="E105" s="15" t="n">
        <v>0.004967540130502584</v>
      </c>
      <c r="F105" s="15" t="n">
        <v>0.003888872039552238</v>
      </c>
      <c r="G105" s="15" t="n">
        <v>0.003072541703255549</v>
      </c>
    </row>
    <row r="106">
      <c r="A106" s="13" t="n">
        <v>40238</v>
      </c>
      <c r="B106" s="12" t="n">
        <v>103</v>
      </c>
      <c r="C106" s="15" t="n">
        <v>0.04419318368608732</v>
      </c>
      <c r="D106" s="15" t="n">
        <v>0.03444956035216346</v>
      </c>
      <c r="E106" s="15" t="n">
        <v>0.02647282279752191</v>
      </c>
      <c r="F106" s="15" t="n">
        <v>0.003876624448224453</v>
      </c>
      <c r="G106" s="15" t="n">
        <v>0.003273739782198914</v>
      </c>
      <c r="H106" s="16" t="n">
        <v>90.3</v>
      </c>
      <c r="I106" s="15" t="n">
        <v>0.006688963210702337</v>
      </c>
      <c r="J106" s="15" t="n">
        <v>0.00558412326268598</v>
      </c>
      <c r="K106" s="15" t="n">
        <v>0.02252428512495497</v>
      </c>
    </row>
    <row r="107">
      <c r="A107" s="13" t="n">
        <v>40269</v>
      </c>
      <c r="B107" s="12" t="n">
        <v>104</v>
      </c>
      <c r="C107" s="15" t="n">
        <v>-0.01990849994907767</v>
      </c>
      <c r="D107" s="15" t="n">
        <v>-0.0139303333649375</v>
      </c>
      <c r="E107" s="15" t="n">
        <v>-0.009070673774842162</v>
      </c>
      <c r="F107" s="15" t="n">
        <v>0.003876624448224453</v>
      </c>
      <c r="G107" s="15" t="n">
        <v>0.003474495003497502</v>
      </c>
    </row>
    <row r="108">
      <c r="A108" s="13" t="n">
        <v>40299</v>
      </c>
      <c r="B108" s="12" t="n">
        <v>105</v>
      </c>
      <c r="C108" s="15" t="n">
        <v>-0.04905143250876829</v>
      </c>
      <c r="D108" s="15" t="n">
        <v>-0.03608798991147948</v>
      </c>
      <c r="E108" s="15" t="n">
        <v>-0.02538371865769088</v>
      </c>
      <c r="F108" s="15" t="n">
        <v>0.003876624448224453</v>
      </c>
      <c r="G108" s="15" t="n">
        <v>0.003674809400436851</v>
      </c>
    </row>
    <row r="109">
      <c r="A109" s="13" t="n">
        <v>40330</v>
      </c>
      <c r="B109" s="12" t="n">
        <v>106</v>
      </c>
      <c r="C109" s="15" t="n">
        <v>-0.01808021387134019</v>
      </c>
      <c r="D109" s="15" t="n">
        <v>-0.01261144961906699</v>
      </c>
      <c r="E109" s="15" t="n">
        <v>-0.008101422092764002</v>
      </c>
      <c r="F109" s="15" t="n">
        <v>0.003868567991127669</v>
      </c>
      <c r="G109" s="15" t="n">
        <v>0.003674809400436851</v>
      </c>
      <c r="H109" s="16" t="n">
        <v>90.7</v>
      </c>
      <c r="I109" s="15" t="n">
        <v>0.004429678848283602</v>
      </c>
      <c r="J109" s="15" t="n">
        <v>0.00555932102949297</v>
      </c>
      <c r="K109" s="15" t="n">
        <v>0.02242340864163173</v>
      </c>
    </row>
    <row r="110">
      <c r="A110" s="13" t="n">
        <v>40360</v>
      </c>
      <c r="B110" s="12" t="n">
        <v>107</v>
      </c>
      <c r="C110" s="15" t="n">
        <v>0.03980567703536496</v>
      </c>
      <c r="D110" s="15" t="n">
        <v>0.0311708517952492</v>
      </c>
      <c r="E110" s="15" t="n">
        <v>0.02410370114021116</v>
      </c>
      <c r="F110" s="15" t="n">
        <v>0.003868567991127669</v>
      </c>
      <c r="G110" s="15" t="n">
        <v>0.003674809400436851</v>
      </c>
    </row>
    <row r="111">
      <c r="A111" s="13" t="n">
        <v>40391</v>
      </c>
      <c r="B111" s="12" t="n">
        <v>108</v>
      </c>
      <c r="C111" s="15" t="n">
        <v>-0.01750358262591509</v>
      </c>
      <c r="D111" s="15" t="n">
        <v>-0.01213363644508791</v>
      </c>
      <c r="E111" s="15" t="n">
        <v>-0.007738935167869943</v>
      </c>
      <c r="F111" s="15" t="n">
        <v>0.003868567991127669</v>
      </c>
      <c r="G111" s="15" t="n">
        <v>0.003674809400436851</v>
      </c>
    </row>
    <row r="112">
      <c r="A112" s="13" t="n">
        <v>40422</v>
      </c>
      <c r="B112" s="12" t="n">
        <v>109</v>
      </c>
      <c r="C112" s="15" t="n">
        <v>0.02716954037023162</v>
      </c>
      <c r="D112" s="15" t="n">
        <v>0.02167344552248329</v>
      </c>
      <c r="E112" s="15" t="n">
        <v>0.01713352220047191</v>
      </c>
      <c r="F112" s="15" t="n">
        <v>0.003856590039622132</v>
      </c>
      <c r="G112" s="15" t="n">
        <v>0.003674809400436851</v>
      </c>
      <c r="H112" s="16" t="n">
        <v>91.3</v>
      </c>
      <c r="I112" s="15" t="n">
        <v>0.006615214994487362</v>
      </c>
      <c r="J112" s="15" t="n">
        <v>0.005522446921385482</v>
      </c>
      <c r="K112" s="15" t="n">
        <v>0.02227344681716437</v>
      </c>
    </row>
    <row r="113">
      <c r="A113" s="13" t="n">
        <v>40452</v>
      </c>
      <c r="B113" s="12" t="n">
        <v>110</v>
      </c>
      <c r="C113" s="15" t="n">
        <v>0.02454307981072815</v>
      </c>
      <c r="D113" s="15" t="n">
        <v>0.01958658879389231</v>
      </c>
      <c r="E113" s="15" t="n">
        <v>0.01557195758378163</v>
      </c>
      <c r="F113" s="15" t="n">
        <v>0.003856590039622132</v>
      </c>
      <c r="G113" s="15" t="n">
        <v>0.003674809400436851</v>
      </c>
    </row>
    <row r="114">
      <c r="A114" s="13" t="n">
        <v>40483</v>
      </c>
      <c r="B114" s="12" t="n">
        <v>111</v>
      </c>
      <c r="C114" s="15" t="n">
        <v>-0.02060419971670787</v>
      </c>
      <c r="D114" s="15" t="n">
        <v>-0.014420052121076</v>
      </c>
      <c r="E114" s="15" t="n">
        <v>-0.009389237378364095</v>
      </c>
      <c r="F114" s="15" t="n">
        <v>0.003856590039622132</v>
      </c>
      <c r="G114" s="15" t="n">
        <v>0.003874684992129174</v>
      </c>
    </row>
    <row r="115">
      <c r="A115" s="13" t="n">
        <v>40513</v>
      </c>
      <c r="B115" s="12" t="n">
        <v>112</v>
      </c>
      <c r="C115" s="15" t="n">
        <v>0.02947709357771136</v>
      </c>
      <c r="D115" s="15" t="n">
        <v>0.02339909993488376</v>
      </c>
      <c r="E115" s="15" t="n">
        <v>0.01841365601871182</v>
      </c>
      <c r="F115" s="15" t="n">
        <v>0.003136668777932616</v>
      </c>
      <c r="G115" s="15" t="n">
        <v>0.003874684992129174</v>
      </c>
      <c r="H115" s="16" t="n">
        <v>91.3</v>
      </c>
      <c r="I115" s="15" t="n">
        <v>0</v>
      </c>
      <c r="J115" s="15" t="n">
        <v>0.003307607497243681</v>
      </c>
      <c r="K115" s="15" t="n">
        <v>0.01329621645723988</v>
      </c>
    </row>
    <row r="116">
      <c r="A116" s="13" t="n">
        <v>40544</v>
      </c>
      <c r="B116" s="12" t="n">
        <v>113</v>
      </c>
      <c r="C116" s="15" t="n">
        <v>0.02341108934068371</v>
      </c>
      <c r="D116" s="15" t="n">
        <v>0.0186850525831082</v>
      </c>
      <c r="E116" s="15" t="n">
        <v>0.01491280951434179</v>
      </c>
      <c r="F116" s="15" t="n">
        <v>0.003136668777932616</v>
      </c>
      <c r="G116" s="15" t="n">
        <v>0.003874684992129174</v>
      </c>
    </row>
    <row r="117">
      <c r="A117" s="13" t="n">
        <v>40575</v>
      </c>
      <c r="B117" s="12" t="n">
        <v>114</v>
      </c>
      <c r="C117" s="15" t="n">
        <v>0.0136634943682543</v>
      </c>
      <c r="D117" s="15" t="n">
        <v>0.01144701736640313</v>
      </c>
      <c r="E117" s="15" t="n">
        <v>0.009624293292122601</v>
      </c>
      <c r="F117" s="15" t="n">
        <v>0.003136668777932616</v>
      </c>
      <c r="G117" s="15" t="n">
        <v>0.003874684992129174</v>
      </c>
    </row>
    <row r="118">
      <c r="A118" s="13" t="n">
        <v>40603</v>
      </c>
      <c r="B118" s="12" t="n">
        <v>115</v>
      </c>
      <c r="C118" s="15" t="n">
        <v>-0.01314240783410094</v>
      </c>
      <c r="D118" s="15" t="n">
        <v>-0.008732821489471547</v>
      </c>
      <c r="E118" s="15" t="n">
        <v>-0.005194365123281025</v>
      </c>
      <c r="F118" s="15" t="n">
        <v>0.003841648743877046</v>
      </c>
      <c r="G118" s="15" t="n">
        <v>0.003874684992129174</v>
      </c>
      <c r="H118" s="16" t="n">
        <v>92.3</v>
      </c>
      <c r="I118" s="15" t="n">
        <v>0.01095290251916747</v>
      </c>
      <c r="J118" s="15" t="n">
        <v>0.005476451259583737</v>
      </c>
      <c r="K118" s="15" t="n">
        <v>0.02208641203657247</v>
      </c>
    </row>
    <row r="119">
      <c r="A119" s="13" t="n">
        <v>40634</v>
      </c>
      <c r="B119" s="12" t="n">
        <v>116</v>
      </c>
      <c r="C119" s="15" t="n">
        <v>-0.0005957401094277284</v>
      </c>
      <c r="D119" s="15" t="n">
        <v>0.0006555714064700466</v>
      </c>
      <c r="E119" s="15" t="n">
        <v>0.001684694227725926</v>
      </c>
      <c r="F119" s="15" t="n">
        <v>0.003841648743877046</v>
      </c>
      <c r="G119" s="15" t="n">
        <v>0.003874684992129174</v>
      </c>
    </row>
    <row r="120">
      <c r="A120" s="13" t="n">
        <v>40664</v>
      </c>
      <c r="B120" s="12" t="n">
        <v>117</v>
      </c>
      <c r="C120" s="15" t="n">
        <v>-0.00974860956487213</v>
      </c>
      <c r="D120" s="15" t="n">
        <v>-0.006313000638493834</v>
      </c>
      <c r="E120" s="15" t="n">
        <v>-0.003453303926149075</v>
      </c>
      <c r="F120" s="15" t="n">
        <v>0.003841648743877046</v>
      </c>
      <c r="G120" s="15" t="n">
        <v>0.003874684992129174</v>
      </c>
    </row>
    <row r="121">
      <c r="A121" s="13" t="n">
        <v>40695</v>
      </c>
      <c r="B121" s="12" t="n">
        <v>118</v>
      </c>
      <c r="C121" s="15" t="n">
        <v>-0.01275332400204799</v>
      </c>
      <c r="D121" s="15" t="n">
        <v>-0.008553938098678189</v>
      </c>
      <c r="E121" s="15" t="n">
        <v>-0.005093298498898259</v>
      </c>
      <c r="F121" s="15" t="n">
        <v>0.005423183490480543</v>
      </c>
      <c r="G121" s="15" t="n">
        <v>0.003874684992129174</v>
      </c>
      <c r="H121" s="16" t="n">
        <v>93.2</v>
      </c>
      <c r="I121" s="15" t="n">
        <v>0.009750812567713929</v>
      </c>
      <c r="J121" s="15" t="n">
        <v>0.0103518575434407</v>
      </c>
      <c r="K121" s="15" t="n">
        <v>0.04205484464457609</v>
      </c>
    </row>
    <row r="122">
      <c r="A122" s="13" t="n">
        <v>40725</v>
      </c>
      <c r="B122" s="12" t="n">
        <v>119</v>
      </c>
      <c r="C122" s="15" t="n">
        <v>-0.03796114734702534</v>
      </c>
      <c r="D122" s="15" t="n">
        <v>-0.02755229341213511</v>
      </c>
      <c r="E122" s="15" t="n">
        <v>-0.01905008914335971</v>
      </c>
      <c r="F122" s="15" t="n">
        <v>0.005423183490480543</v>
      </c>
      <c r="G122" s="15" t="n">
        <v>0.003874684992129174</v>
      </c>
    </row>
    <row r="123">
      <c r="A123" s="13" t="n">
        <v>40756</v>
      </c>
      <c r="B123" s="12" t="n">
        <v>120</v>
      </c>
      <c r="C123" s="15" t="n">
        <v>-0.03605825516646177</v>
      </c>
      <c r="D123" s="15" t="n">
        <v>-0.02607088160198361</v>
      </c>
      <c r="E123" s="15" t="n">
        <v>-0.01794925576932093</v>
      </c>
      <c r="F123" s="15" t="n">
        <v>0.005423183490480543</v>
      </c>
      <c r="G123" s="15" t="n">
        <v>0.003874684992129174</v>
      </c>
    </row>
    <row r="124">
      <c r="A124" s="13" t="n">
        <v>40787</v>
      </c>
      <c r="B124" s="12" t="n">
        <v>121</v>
      </c>
      <c r="C124" s="15" t="n">
        <v>-0.04107980334577265</v>
      </c>
      <c r="D124" s="15" t="n">
        <v>-0.03002732381636046</v>
      </c>
      <c r="E124" s="15" t="n">
        <v>-0.02090138834783561</v>
      </c>
      <c r="F124" s="15" t="n">
        <v>0.004691402015570389</v>
      </c>
      <c r="G124" s="15" t="n">
        <v>0.003874684992129174</v>
      </c>
      <c r="H124" s="16" t="n">
        <v>93.8</v>
      </c>
      <c r="I124" s="15" t="n">
        <v>0.006437768240343367</v>
      </c>
      <c r="J124" s="15" t="n">
        <v>0.008094290404028648</v>
      </c>
      <c r="K124" s="15" t="n">
        <v>0.03277239240341956</v>
      </c>
    </row>
    <row r="125">
      <c r="A125" s="13" t="n">
        <v>40817</v>
      </c>
      <c r="B125" s="12" t="n">
        <v>122</v>
      </c>
      <c r="C125" s="15" t="n">
        <v>0.0396247183074159</v>
      </c>
      <c r="D125" s="15" t="n">
        <v>0.03119720608797461</v>
      </c>
      <c r="E125" s="15" t="n">
        <v>0.02418223722586176</v>
      </c>
      <c r="F125" s="15" t="n">
        <v>0.004691402015570389</v>
      </c>
      <c r="G125" s="15" t="n">
        <v>0.003874684992129174</v>
      </c>
    </row>
    <row r="126">
      <c r="A126" s="13" t="n">
        <v>40848</v>
      </c>
      <c r="B126" s="12" t="n">
        <v>123</v>
      </c>
      <c r="C126" s="15" t="n">
        <v>-0.001477245404204301</v>
      </c>
      <c r="D126" s="15" t="n">
        <v>-0.0002202688959061054</v>
      </c>
      <c r="E126" s="15" t="n">
        <v>0.0009691649369697019</v>
      </c>
      <c r="F126" s="15" t="n">
        <v>0.004691402015570389</v>
      </c>
      <c r="G126" s="15" t="n">
        <v>0.003674809400436851</v>
      </c>
    </row>
    <row r="127">
      <c r="A127" s="13" t="n">
        <v>40878</v>
      </c>
      <c r="B127" s="12" t="n">
        <v>124</v>
      </c>
      <c r="C127" s="15" t="n">
        <v>-0.0187728923339326</v>
      </c>
      <c r="D127" s="15" t="n">
        <v>-0.01308382429652458</v>
      </c>
      <c r="E127" s="15" t="n">
        <v>-0.008451286229458262</v>
      </c>
      <c r="F127" s="15" t="n">
        <v>0.003107810589417781</v>
      </c>
      <c r="G127" s="15" t="n">
        <v>0.003474495003497502</v>
      </c>
      <c r="H127" s="16" t="n">
        <v>93.8</v>
      </c>
      <c r="I127" s="15" t="n">
        <v>0</v>
      </c>
      <c r="J127" s="15" t="n">
        <v>0.003218884120171683</v>
      </c>
      <c r="K127" s="15" t="n">
        <v>0.01293783728411757</v>
      </c>
    </row>
    <row r="128">
      <c r="A128" s="13" t="n">
        <v>40909</v>
      </c>
      <c r="B128" s="12" t="n">
        <v>125</v>
      </c>
      <c r="C128" s="15" t="n">
        <v>0.03111756578626378</v>
      </c>
      <c r="D128" s="15" t="n">
        <v>0.02455475227737526</v>
      </c>
      <c r="E128" s="15" t="n">
        <v>0.0191091987204023</v>
      </c>
      <c r="F128" s="15" t="n">
        <v>0.003107810589417781</v>
      </c>
      <c r="G128" s="15" t="n">
        <v>0.003474495003497502</v>
      </c>
    </row>
    <row r="129">
      <c r="A129" s="13" t="n">
        <v>40940</v>
      </c>
      <c r="B129" s="12" t="n">
        <v>126</v>
      </c>
      <c r="C129" s="15" t="n">
        <v>0.01757998348066183</v>
      </c>
      <c r="D129" s="15" t="n">
        <v>0.01418952689862817</v>
      </c>
      <c r="E129" s="15" t="n">
        <v>0.01145148980277561</v>
      </c>
      <c r="F129" s="15" t="n">
        <v>0.003107810589417781</v>
      </c>
      <c r="G129" s="15" t="n">
        <v>0.003474495003497502</v>
      </c>
    </row>
    <row r="130">
      <c r="A130" s="13" t="n">
        <v>40969</v>
      </c>
      <c r="B130" s="12" t="n">
        <v>127</v>
      </c>
      <c r="C130" s="15" t="n">
        <v>0.02473345583713315</v>
      </c>
      <c r="D130" s="15" t="n">
        <v>0.0195553287698213</v>
      </c>
      <c r="E130" s="15" t="n">
        <v>0.01538659720267447</v>
      </c>
      <c r="F130" s="15" t="n">
        <v>0.002407142114867478</v>
      </c>
      <c r="G130" s="15" t="n">
        <v>0.003474495003497502</v>
      </c>
      <c r="H130" s="16" t="n">
        <v>94</v>
      </c>
      <c r="I130" s="15" t="n">
        <v>0.002132196162046851</v>
      </c>
      <c r="J130" s="15" t="n">
        <v>0.001066098081023426</v>
      </c>
      <c r="K130" s="15" t="n">
        <v>0.004271216562855562</v>
      </c>
    </row>
    <row r="131">
      <c r="A131" s="13" t="n">
        <v>41000</v>
      </c>
      <c r="B131" s="12" t="n">
        <v>128</v>
      </c>
      <c r="C131" s="15" t="n">
        <v>-0.001415256300236918</v>
      </c>
      <c r="D131" s="15" t="n">
        <v>0.001344925053938148</v>
      </c>
      <c r="E131" s="15" t="n">
        <v>0.00364941158979823</v>
      </c>
      <c r="F131" s="15" t="n">
        <v>0.002407142114867478</v>
      </c>
      <c r="G131" s="15" t="n">
        <v>0.003474495003497502</v>
      </c>
    </row>
    <row r="132">
      <c r="A132" s="13" t="n">
        <v>41030</v>
      </c>
      <c r="B132" s="12" t="n">
        <v>129</v>
      </c>
      <c r="C132" s="15" t="n">
        <v>-0.04978031526467218</v>
      </c>
      <c r="D132" s="15" t="n">
        <v>-0.03311041581185623</v>
      </c>
      <c r="E132" s="15" t="n">
        <v>-0.01908318928270868</v>
      </c>
      <c r="F132" s="15" t="n">
        <v>0.002407142114867478</v>
      </c>
      <c r="G132" s="15" t="n">
        <v>0.003072541703255549</v>
      </c>
    </row>
    <row r="133">
      <c r="A133" s="13" t="n">
        <v>41061</v>
      </c>
      <c r="B133" s="12" t="n">
        <v>130</v>
      </c>
      <c r="C133" s="15" t="n">
        <v>0.01830101778305733</v>
      </c>
      <c r="D133" s="15" t="n">
        <v>0.01358703499159281</v>
      </c>
      <c r="E133" s="15" t="n">
        <v>0.009700290799979788</v>
      </c>
      <c r="F133" s="15" t="n">
        <v>0.002753496119814125</v>
      </c>
      <c r="G133" s="15" t="n">
        <v>0.002870898719076642</v>
      </c>
      <c r="H133" s="16" t="n">
        <v>94.2</v>
      </c>
      <c r="I133" s="15" t="n">
        <v>0.002127659574468144</v>
      </c>
      <c r="J133" s="15" t="n">
        <v>0.002129927868257497</v>
      </c>
      <c r="K133" s="15" t="n">
        <v>0.008546969700415241</v>
      </c>
    </row>
    <row r="134">
      <c r="A134" s="13" t="n">
        <v>41091</v>
      </c>
      <c r="B134" s="12" t="n">
        <v>131</v>
      </c>
      <c r="C134" s="15" t="n">
        <v>0.005488233501355865</v>
      </c>
      <c r="D134" s="15" t="n">
        <v>0.003281190188141</v>
      </c>
      <c r="E134" s="15" t="n">
        <v>0.00115366628598442</v>
      </c>
      <c r="F134" s="15" t="n">
        <v>0.002753496119814125</v>
      </c>
      <c r="G134" s="15" t="n">
        <v>0.002870898719076642</v>
      </c>
    </row>
    <row r="135">
      <c r="A135" s="13" t="n">
        <v>41122</v>
      </c>
      <c r="B135" s="12" t="n">
        <v>132</v>
      </c>
      <c r="C135" s="15" t="n">
        <v>0.0296425652377573</v>
      </c>
      <c r="D135" s="15" t="n">
        <v>0.02397104034534587</v>
      </c>
      <c r="E135" s="15" t="n">
        <v>0.01948725921422769</v>
      </c>
      <c r="F135" s="15" t="n">
        <v>0.002753496119814125</v>
      </c>
      <c r="G135" s="15" t="n">
        <v>0.002870898719076642</v>
      </c>
    </row>
    <row r="136">
      <c r="A136" s="13" t="n">
        <v>41153</v>
      </c>
      <c r="B136" s="12" t="n">
        <v>133</v>
      </c>
      <c r="C136" s="15" t="n">
        <v>0.01489120526307056</v>
      </c>
      <c r="D136" s="15" t="n">
        <v>0.01130210975371986</v>
      </c>
      <c r="E136" s="15" t="n">
        <v>0.008290004430727693</v>
      </c>
      <c r="F136" s="15" t="n">
        <v>0.003787612302971421</v>
      </c>
      <c r="G136" s="15" t="n">
        <v>0.002870898719076642</v>
      </c>
      <c r="H136" s="16" t="n">
        <v>95</v>
      </c>
      <c r="I136" s="15" t="n">
        <v>0.00849256900212314</v>
      </c>
      <c r="J136" s="15" t="n">
        <v>0.005310114288295642</v>
      </c>
      <c r="K136" s="15" t="n">
        <v>0.02141024075463438</v>
      </c>
    </row>
    <row r="137">
      <c r="A137" s="13" t="n">
        <v>41183</v>
      </c>
      <c r="B137" s="12" t="n">
        <v>134</v>
      </c>
      <c r="C137" s="15" t="n">
        <v>0.02421376881788085</v>
      </c>
      <c r="D137" s="15" t="n">
        <v>0.01898331903820127</v>
      </c>
      <c r="E137" s="15" t="n">
        <v>0.01467558219222877</v>
      </c>
      <c r="F137" s="15" t="n">
        <v>0.003787612302971421</v>
      </c>
      <c r="G137" s="15" t="n">
        <v>0.002668808767629649</v>
      </c>
    </row>
    <row r="138">
      <c r="A138" s="13" t="n">
        <v>41214</v>
      </c>
      <c r="B138" s="12" t="n">
        <v>135</v>
      </c>
      <c r="C138" s="15" t="n">
        <v>0.00950024459691729</v>
      </c>
      <c r="D138" s="15" t="n">
        <v>0.007432831544222672</v>
      </c>
      <c r="E138" s="15" t="n">
        <v>0.005746287326249586</v>
      </c>
      <c r="F138" s="15" t="n">
        <v>0.003787612302971421</v>
      </c>
      <c r="G138" s="15" t="n">
        <v>0.002668808767629649</v>
      </c>
    </row>
    <row r="139">
      <c r="A139" s="13" t="n">
        <v>41244</v>
      </c>
      <c r="B139" s="12" t="n">
        <v>136</v>
      </c>
      <c r="C139" s="15" t="n">
        <v>0.03669956917954065</v>
      </c>
      <c r="D139" s="15" t="n">
        <v>0.02724711959619129</v>
      </c>
      <c r="E139" s="15" t="n">
        <v>0.01944041077725682</v>
      </c>
      <c r="F139" s="15" t="n">
        <v>0.003441892715516204</v>
      </c>
      <c r="G139" s="15" t="n">
        <v>0.002466269772303686</v>
      </c>
      <c r="H139" s="16" t="n">
        <v>95</v>
      </c>
      <c r="I139" s="15" t="n">
        <v>0</v>
      </c>
      <c r="J139" s="15" t="n">
        <v>0.00424628450106157</v>
      </c>
      <c r="K139" s="15" t="n">
        <v>0.01709363017961407</v>
      </c>
    </row>
    <row r="140">
      <c r="A140" s="13" t="n">
        <v>41275</v>
      </c>
      <c r="B140" s="12" t="n">
        <v>137</v>
      </c>
      <c r="C140" s="15" t="n">
        <v>0.0403866681936586</v>
      </c>
      <c r="D140" s="15" t="n">
        <v>0.03048961519845659</v>
      </c>
      <c r="E140" s="15" t="n">
        <v>0.02229864788641974</v>
      </c>
      <c r="F140" s="15" t="n">
        <v>0.003441892715516204</v>
      </c>
      <c r="G140" s="15" t="n">
        <v>0.002466269772303686</v>
      </c>
    </row>
    <row r="141">
      <c r="A141" s="13" t="n">
        <v>41306</v>
      </c>
      <c r="B141" s="12" t="n">
        <v>138</v>
      </c>
      <c r="C141" s="15" t="n">
        <v>0.02731734528809372</v>
      </c>
      <c r="D141" s="15" t="n">
        <v>0.02161377259992474</v>
      </c>
      <c r="E141" s="15" t="n">
        <v>0.01689016605973628</v>
      </c>
      <c r="F141" s="15" t="n">
        <v>0.003441892715516204</v>
      </c>
      <c r="G141" s="15" t="n">
        <v>0.002466269772303686</v>
      </c>
    </row>
    <row r="142">
      <c r="A142" s="13" t="n">
        <v>41334</v>
      </c>
      <c r="B142" s="12" t="n">
        <v>139</v>
      </c>
      <c r="C142" s="15" t="n">
        <v>-0.01352213744246977</v>
      </c>
      <c r="D142" s="15" t="n">
        <v>-0.009942524819641651</v>
      </c>
      <c r="E142" s="15" t="n">
        <v>-0.007006305240790272</v>
      </c>
      <c r="F142" s="15" t="n">
        <v>0.002916746326198316</v>
      </c>
      <c r="G142" s="15" t="n">
        <v>0.002466269772303686</v>
      </c>
      <c r="H142" s="16" t="n">
        <v>95.5</v>
      </c>
      <c r="I142" s="15" t="n">
        <v>0.005263157894736858</v>
      </c>
      <c r="J142" s="15" t="n">
        <v>0.002631578947368429</v>
      </c>
      <c r="K142" s="15" t="n">
        <v>0.01056793998089289</v>
      </c>
    </row>
    <row r="143">
      <c r="A143" s="13" t="n">
        <v>41365</v>
      </c>
      <c r="B143" s="12" t="n">
        <v>140</v>
      </c>
      <c r="C143" s="15" t="n">
        <v>0.04832087428321045</v>
      </c>
      <c r="D143" s="15" t="n">
        <v>0.03849225719323747</v>
      </c>
      <c r="E143" s="15" t="n">
        <v>0.0305918113508282</v>
      </c>
      <c r="F143" s="15" t="n">
        <v>0.002916746326198316</v>
      </c>
      <c r="G143" s="15" t="n">
        <v>0.002466269772303686</v>
      </c>
    </row>
    <row r="144">
      <c r="A144" s="13" t="n">
        <v>41395</v>
      </c>
      <c r="B144" s="12" t="n">
        <v>141</v>
      </c>
      <c r="C144" s="15" t="n">
        <v>-0.008521612348087924</v>
      </c>
      <c r="D144" s="15" t="n">
        <v>-0.006309832977956216</v>
      </c>
      <c r="E144" s="15" t="n">
        <v>-0.004367139357996147</v>
      </c>
      <c r="F144" s="15" t="n">
        <v>0.002916746326198316</v>
      </c>
      <c r="G144" s="15" t="n">
        <v>0.002263279641770088</v>
      </c>
    </row>
    <row r="145">
      <c r="A145" s="13" t="n">
        <v>41426</v>
      </c>
      <c r="B145" s="12" t="n">
        <v>142</v>
      </c>
      <c r="C145" s="15" t="n">
        <v>-0.005628563537786372</v>
      </c>
      <c r="D145" s="15" t="n">
        <v>-0.005504644692699345</v>
      </c>
      <c r="E145" s="15" t="n">
        <v>-0.005493260008784161</v>
      </c>
      <c r="F145" s="15" t="n">
        <v>0.003257354219586839</v>
      </c>
      <c r="G145" s="15" t="n">
        <v>0.002263279641770088</v>
      </c>
      <c r="H145" s="16" t="n">
        <v>95.7</v>
      </c>
      <c r="I145" s="15" t="n">
        <v>0.002094240837696271</v>
      </c>
      <c r="J145" s="15" t="n">
        <v>0.003678699366216565</v>
      </c>
      <c r="K145" s="15" t="n">
        <v>0.01479619375500407</v>
      </c>
    </row>
    <row r="146">
      <c r="A146" s="13" t="n">
        <v>41456</v>
      </c>
      <c r="B146" s="12" t="n">
        <v>143</v>
      </c>
      <c r="C146" s="15" t="n">
        <v>0.05930417341989764</v>
      </c>
      <c r="D146" s="15" t="n">
        <v>0.04608061927611683</v>
      </c>
      <c r="E146" s="15" t="n">
        <v>0.0353698003244584</v>
      </c>
      <c r="F146" s="15" t="n">
        <v>0.003257354219586839</v>
      </c>
      <c r="G146" s="15" t="n">
        <v>0.002263279641770088</v>
      </c>
    </row>
    <row r="147">
      <c r="A147" s="13" t="n">
        <v>41487</v>
      </c>
      <c r="B147" s="12" t="n">
        <v>144</v>
      </c>
      <c r="C147" s="15" t="n">
        <v>0.008607606534296907</v>
      </c>
      <c r="D147" s="15" t="n">
        <v>0.006357217703189984</v>
      </c>
      <c r="E147" s="15" t="n">
        <v>0.004410417369374067</v>
      </c>
      <c r="F147" s="15" t="n">
        <v>0.003257354219586839</v>
      </c>
      <c r="G147" s="15" t="n">
        <v>0.002059836269842741</v>
      </c>
    </row>
    <row r="148">
      <c r="A148" s="13" t="n">
        <v>41518</v>
      </c>
      <c r="B148" s="12" t="n">
        <v>145</v>
      </c>
      <c r="C148" s="15" t="n">
        <v>0.02427576046147158</v>
      </c>
      <c r="D148" s="15" t="n">
        <v>0.01925872274319191</v>
      </c>
      <c r="E148" s="15" t="n">
        <v>0.01522056282648453</v>
      </c>
      <c r="F148" s="15" t="n">
        <v>0.00325109483103958</v>
      </c>
      <c r="G148" s="15" t="n">
        <v>0.002059836269842741</v>
      </c>
      <c r="H148" s="16" t="n">
        <v>96.2</v>
      </c>
      <c r="I148" s="15" t="n">
        <v>0.005224660397074254</v>
      </c>
      <c r="J148" s="15" t="n">
        <v>0.003659450617385263</v>
      </c>
      <c r="K148" s="15" t="n">
        <v>0.01471834814508743</v>
      </c>
    </row>
    <row r="149">
      <c r="A149" s="13" t="n">
        <v>41548</v>
      </c>
      <c r="B149" s="12" t="n">
        <v>146</v>
      </c>
      <c r="C149" s="15" t="n">
        <v>0.02739545581197986</v>
      </c>
      <c r="D149" s="15" t="n">
        <v>0.02096751971144091</v>
      </c>
      <c r="E149" s="15" t="n">
        <v>0.01562869778500908</v>
      </c>
      <c r="F149" s="15" t="n">
        <v>0.00325109483103958</v>
      </c>
      <c r="G149" s="15" t="n">
        <v>0.002059836269842741</v>
      </c>
    </row>
    <row r="150">
      <c r="A150" s="13" t="n">
        <v>41579</v>
      </c>
      <c r="B150" s="12" t="n">
        <v>147</v>
      </c>
      <c r="C150" s="15" t="n">
        <v>0.01138977092725841</v>
      </c>
      <c r="D150" s="15" t="n">
        <v>0.008405907339425566</v>
      </c>
      <c r="E150" s="15" t="n">
        <v>0.006030685454809214</v>
      </c>
      <c r="F150" s="15" t="n">
        <v>0.00325109483103958</v>
      </c>
      <c r="G150" s="15" t="n">
        <v>0.002059836269842741</v>
      </c>
    </row>
    <row r="151">
      <c r="A151" s="13" t="n">
        <v>41609</v>
      </c>
      <c r="B151" s="12" t="n">
        <v>148</v>
      </c>
      <c r="C151" s="15" t="n">
        <v>0.02147930749914544</v>
      </c>
      <c r="D151" s="15" t="n">
        <v>0.01714390160707656</v>
      </c>
      <c r="E151" s="15" t="n">
        <v>0.0136958646287113</v>
      </c>
      <c r="F151" s="15" t="n">
        <v>0.003417608122384008</v>
      </c>
      <c r="G151" s="15" t="n">
        <v>0.002059836269842741</v>
      </c>
      <c r="H151" s="16" t="n">
        <v>96.5</v>
      </c>
      <c r="I151" s="15" t="n">
        <v>0.003118503118503035</v>
      </c>
      <c r="J151" s="15" t="n">
        <v>0.004171581757788645</v>
      </c>
      <c r="K151" s="15" t="n">
        <v>0.01679103027719608</v>
      </c>
    </row>
    <row r="152">
      <c r="A152" s="13" t="n">
        <v>41640</v>
      </c>
      <c r="B152" s="12" t="n">
        <v>149</v>
      </c>
      <c r="C152" s="15" t="n">
        <v>-0.02812497971807915</v>
      </c>
      <c r="D152" s="15" t="n">
        <v>-0.01942234712560957</v>
      </c>
      <c r="E152" s="15" t="n">
        <v>-0.01220771953962082</v>
      </c>
      <c r="F152" s="15" t="n">
        <v>0.003417608122384008</v>
      </c>
      <c r="G152" s="15" t="n">
        <v>0.002059836269842741</v>
      </c>
    </row>
    <row r="153">
      <c r="A153" s="13" t="n">
        <v>41671</v>
      </c>
      <c r="B153" s="12" t="n">
        <v>150</v>
      </c>
      <c r="C153" s="15" t="n">
        <v>0.03942397811859339</v>
      </c>
      <c r="D153" s="15" t="n">
        <v>0.03046884382711546</v>
      </c>
      <c r="E153" s="15" t="n">
        <v>0.02315119806026613</v>
      </c>
      <c r="F153" s="15" t="n">
        <v>0.003417608122384008</v>
      </c>
      <c r="G153" s="15" t="n">
        <v>0.002059836269842741</v>
      </c>
    </row>
    <row r="154">
      <c r="A154" s="13" t="n">
        <v>41699</v>
      </c>
      <c r="B154" s="12" t="n">
        <v>151</v>
      </c>
      <c r="C154" s="15" t="n">
        <v>-0.01374280179696372</v>
      </c>
      <c r="D154" s="15" t="n">
        <v>-0.01018396290816837</v>
      </c>
      <c r="E154" s="15" t="n">
        <v>-0.007376812269998059</v>
      </c>
      <c r="F154" s="15" t="n">
        <v>0.003747352217859046</v>
      </c>
      <c r="G154" s="15" t="n">
        <v>0.002059836269842741</v>
      </c>
      <c r="H154" s="16" t="n">
        <v>97.2</v>
      </c>
      <c r="I154" s="15" t="n">
        <v>0.007253886010362809</v>
      </c>
      <c r="J154" s="15" t="n">
        <v>0.005186194564432922</v>
      </c>
      <c r="K154" s="15" t="n">
        <v>0.02090671662981491</v>
      </c>
    </row>
    <row r="155">
      <c r="A155" s="13" t="n">
        <v>41730</v>
      </c>
      <c r="B155" s="12" t="n">
        <v>152</v>
      </c>
      <c r="C155" s="15" t="n">
        <v>0.0172040623187701</v>
      </c>
      <c r="D155" s="15" t="n">
        <v>0.01467881985628518</v>
      </c>
      <c r="E155" s="15" t="n">
        <v>0.01270579108086408</v>
      </c>
      <c r="F155" s="15" t="n">
        <v>0.003747352217859046</v>
      </c>
      <c r="G155" s="15" t="n">
        <v>0.002059836269842741</v>
      </c>
    </row>
    <row r="156">
      <c r="A156" s="13" t="n">
        <v>41760</v>
      </c>
      <c r="B156" s="12" t="n">
        <v>153</v>
      </c>
      <c r="C156" s="15" t="n">
        <v>0.007606883421617625</v>
      </c>
      <c r="D156" s="15" t="n">
        <v>0.007558075622765093</v>
      </c>
      <c r="E156" s="15" t="n">
        <v>0.007650694460403011</v>
      </c>
      <c r="F156" s="15" t="n">
        <v>0.003747352217859046</v>
      </c>
      <c r="G156" s="15" t="n">
        <v>0.002059836269842741</v>
      </c>
    </row>
    <row r="157">
      <c r="A157" s="13" t="n">
        <v>41791</v>
      </c>
      <c r="B157" s="12" t="n">
        <v>154</v>
      </c>
      <c r="C157" s="15" t="n">
        <v>-0.007355551130880293</v>
      </c>
      <c r="D157" s="15" t="n">
        <v>-0.004223960981123622</v>
      </c>
      <c r="E157" s="15" t="n">
        <v>-0.001563604285595773</v>
      </c>
      <c r="F157" s="15" t="n">
        <v>0.003742140250581061</v>
      </c>
      <c r="G157" s="15" t="n">
        <v>0.002059836269842741</v>
      </c>
      <c r="H157" s="16" t="n">
        <v>97.5</v>
      </c>
      <c r="I157" s="15" t="n">
        <v>0.003086419753086433</v>
      </c>
      <c r="J157" s="15" t="n">
        <v>0.005170152881724621</v>
      </c>
      <c r="K157" s="15" t="n">
        <v>0.02084154792902981</v>
      </c>
    </row>
    <row r="158">
      <c r="A158" s="13" t="n">
        <v>41821</v>
      </c>
      <c r="B158" s="12" t="n">
        <v>155</v>
      </c>
      <c r="C158" s="15" t="n">
        <v>0.01731731802720283</v>
      </c>
      <c r="D158" s="15" t="n">
        <v>0.01356519051733176</v>
      </c>
      <c r="E158" s="15" t="n">
        <v>0.01036409814864534</v>
      </c>
      <c r="F158" s="15" t="n">
        <v>0.003742140250581061</v>
      </c>
      <c r="G158" s="15" t="n">
        <v>0.002059836269842741</v>
      </c>
    </row>
    <row r="159">
      <c r="A159" s="13" t="n">
        <v>41852</v>
      </c>
      <c r="B159" s="12" t="n">
        <v>156</v>
      </c>
      <c r="C159" s="15" t="n">
        <v>0.001159906393155194</v>
      </c>
      <c r="D159" s="15" t="n">
        <v>0.002269483076247901</v>
      </c>
      <c r="E159" s="15" t="n">
        <v>0.003249339443516379</v>
      </c>
      <c r="F159" s="15" t="n">
        <v>0.003742140250581061</v>
      </c>
      <c r="G159" s="15" t="n">
        <v>0.002059836269842741</v>
      </c>
    </row>
    <row r="160">
      <c r="A160" s="13" t="n">
        <v>41883</v>
      </c>
      <c r="B160" s="12" t="n">
        <v>157</v>
      </c>
      <c r="C160" s="15" t="n">
        <v>-0.01448481099528096</v>
      </c>
      <c r="D160" s="15" t="n">
        <v>-0.009343694310856123</v>
      </c>
      <c r="E160" s="15" t="n">
        <v>-0.004863402747338781</v>
      </c>
      <c r="F160" s="15" t="n">
        <v>0.002896335584954501</v>
      </c>
      <c r="G160" s="15" t="n">
        <v>0.002059836269842741</v>
      </c>
      <c r="H160" s="16" t="n">
        <v>97.7</v>
      </c>
      <c r="I160" s="15" t="n">
        <v>0.002051282051282133</v>
      </c>
      <c r="J160" s="15" t="n">
        <v>0.002568850902184283</v>
      </c>
      <c r="K160" s="15" t="n">
        <v>0.01031506542936689</v>
      </c>
    </row>
    <row r="161">
      <c r="A161" s="13" t="n">
        <v>41913</v>
      </c>
      <c r="B161" s="12" t="n">
        <v>158</v>
      </c>
      <c r="C161" s="15" t="n">
        <v>0.01784515840034243</v>
      </c>
      <c r="D161" s="15" t="n">
        <v>0.01330552201410369</v>
      </c>
      <c r="E161" s="15" t="n">
        <v>0.009404195212696802</v>
      </c>
      <c r="F161" s="15" t="n">
        <v>0.002896335584954501</v>
      </c>
      <c r="G161" s="15" t="n">
        <v>0.002059836269842741</v>
      </c>
    </row>
    <row r="162">
      <c r="A162" s="13" t="n">
        <v>41944</v>
      </c>
      <c r="B162" s="12" t="n">
        <v>159</v>
      </c>
      <c r="C162" s="15" t="n">
        <v>-0.002471770360443894</v>
      </c>
      <c r="D162" s="15" t="n">
        <v>-0.0001667964221660813</v>
      </c>
      <c r="E162" s="15" t="n">
        <v>0.001969141886310486</v>
      </c>
      <c r="F162" s="15" t="n">
        <v>0.002896335584954501</v>
      </c>
      <c r="G162" s="15" t="n">
        <v>0.002059836269842741</v>
      </c>
    </row>
    <row r="163">
      <c r="A163" s="13" t="n">
        <v>41974</v>
      </c>
      <c r="B163" s="12" t="n">
        <v>160</v>
      </c>
      <c r="C163" s="15" t="n">
        <v>0.01204850046819766</v>
      </c>
      <c r="D163" s="15" t="n">
        <v>0.01183466778213703</v>
      </c>
      <c r="E163" s="15" t="n">
        <v>0.0118144346534803</v>
      </c>
      <c r="F163" s="15" t="n">
        <v>0.002227267954438394</v>
      </c>
      <c r="G163" s="15" t="n">
        <v>0.002059836269842741</v>
      </c>
      <c r="H163" s="16" t="n">
        <v>97.59999999999999</v>
      </c>
      <c r="I163" s="15" t="n">
        <v>-0.001023541453428978</v>
      </c>
      <c r="J163" s="15" t="n">
        <v>0.0005138702989265775</v>
      </c>
      <c r="K163" s="15" t="n">
        <v>0.00205706611465617</v>
      </c>
    </row>
    <row r="164">
      <c r="A164" s="13" t="n">
        <v>42005</v>
      </c>
      <c r="B164" s="12" t="n">
        <v>161</v>
      </c>
      <c r="C164" s="15" t="n">
        <v>0.04229778825604964</v>
      </c>
      <c r="D164" s="15" t="n">
        <v>0.03397768330789939</v>
      </c>
      <c r="E164" s="15" t="n">
        <v>0.02734973017313064</v>
      </c>
      <c r="F164" s="15" t="n">
        <v>0.002227267954438394</v>
      </c>
      <c r="G164" s="15" t="n">
        <v>0.002059836269842741</v>
      </c>
    </row>
    <row r="165">
      <c r="A165" s="13" t="n">
        <v>42036</v>
      </c>
      <c r="B165" s="12" t="n">
        <v>162</v>
      </c>
      <c r="C165" s="15" t="n">
        <v>0.05667029929280538</v>
      </c>
      <c r="D165" s="15" t="n">
        <v>0.04360936000543226</v>
      </c>
      <c r="E165" s="15" t="n">
        <v>0.03293993572256867</v>
      </c>
      <c r="F165" s="15" t="n">
        <v>0.002227267954438394</v>
      </c>
      <c r="G165" s="15" t="n">
        <v>0.002059836269842741</v>
      </c>
    </row>
    <row r="166">
      <c r="A166" s="13" t="n">
        <v>42064</v>
      </c>
      <c r="B166" s="12" t="n">
        <v>163</v>
      </c>
      <c r="C166" s="15" t="n">
        <v>0.001364056093010782</v>
      </c>
      <c r="D166" s="15" t="n">
        <v>0.003063044044015071</v>
      </c>
      <c r="E166" s="15" t="n">
        <v>0.00460904635478433</v>
      </c>
      <c r="F166" s="15" t="n">
        <v>0.001726022085322354</v>
      </c>
      <c r="G166" s="15" t="n">
        <v>0.001855937535336194</v>
      </c>
      <c r="H166" s="16" t="n">
        <v>97.5</v>
      </c>
      <c r="I166" s="15" t="n">
        <v>-0.001024590163934413</v>
      </c>
      <c r="J166" s="15" t="n">
        <v>-0.001024065808681696</v>
      </c>
      <c r="K166" s="15" t="n">
        <v>-0.004089975264739532</v>
      </c>
    </row>
    <row r="167">
      <c r="A167" s="13" t="n">
        <v>42095</v>
      </c>
      <c r="B167" s="12" t="n">
        <v>164</v>
      </c>
      <c r="C167" s="15" t="n">
        <v>-0.01047184722981593</v>
      </c>
      <c r="D167" s="15" t="n">
        <v>-0.01011890675548236</v>
      </c>
      <c r="E167" s="15" t="n">
        <v>-0.01005508714157186</v>
      </c>
      <c r="F167" s="15" t="n">
        <v>0.001726022085322354</v>
      </c>
      <c r="G167" s="15" t="n">
        <v>0.001855937535336194</v>
      </c>
    </row>
    <row r="168">
      <c r="A168" s="13" t="n">
        <v>42125</v>
      </c>
      <c r="B168" s="12" t="n">
        <v>165</v>
      </c>
      <c r="C168" s="15" t="n">
        <v>0.01929014139857163</v>
      </c>
      <c r="D168" s="15" t="n">
        <v>0.01485846902447028</v>
      </c>
      <c r="E168" s="15" t="n">
        <v>0.01131168886490876</v>
      </c>
      <c r="F168" s="15" t="n">
        <v>0.001726022085322354</v>
      </c>
      <c r="G168" s="15" t="n">
        <v>0.001651581301920224</v>
      </c>
    </row>
    <row r="169">
      <c r="A169" s="13" t="n">
        <v>42156</v>
      </c>
      <c r="B169" s="12" t="n">
        <v>166</v>
      </c>
      <c r="C169" s="15" t="n">
        <v>-0.0393365519273768</v>
      </c>
      <c r="D169" s="15" t="n">
        <v>-0.03089439494447919</v>
      </c>
      <c r="E169" s="15" t="n">
        <v>-0.02409108558249807</v>
      </c>
      <c r="F169" s="15" t="n">
        <v>0.00256112810021647</v>
      </c>
      <c r="G169" s="15" t="n">
        <v>0.001651581301920224</v>
      </c>
      <c r="H169" s="16" t="n">
        <v>97.90000000000001</v>
      </c>
      <c r="I169" s="15" t="n">
        <v>0.004102564102564266</v>
      </c>
      <c r="J169" s="15" t="n">
        <v>0.001538986969314926</v>
      </c>
      <c r="K169" s="15" t="n">
        <v>0.006170173348464925</v>
      </c>
    </row>
    <row r="170">
      <c r="A170" s="13" t="n">
        <v>42186</v>
      </c>
      <c r="B170" s="12" t="n">
        <v>167</v>
      </c>
      <c r="C170" s="15" t="n">
        <v>0.05382194966150555</v>
      </c>
      <c r="D170" s="15" t="n">
        <v>0.04240597095111821</v>
      </c>
      <c r="E170" s="15" t="n">
        <v>0.03323668288836666</v>
      </c>
      <c r="F170" s="15" t="n">
        <v>0.00256112810021647</v>
      </c>
      <c r="G170" s="15" t="n">
        <v>0.001651581301920224</v>
      </c>
    </row>
    <row r="171">
      <c r="A171" s="13" t="n">
        <v>42217</v>
      </c>
      <c r="B171" s="12" t="n">
        <v>168</v>
      </c>
      <c r="C171" s="15" t="n">
        <v>-0.06269033993090421</v>
      </c>
      <c r="D171" s="15" t="n">
        <v>-0.04643085333753375</v>
      </c>
      <c r="E171" s="15" t="n">
        <v>-0.03302292553793869</v>
      </c>
      <c r="F171" s="15" t="n">
        <v>0.00256112810021647</v>
      </c>
      <c r="G171" s="15" t="n">
        <v>0.001651581301920224</v>
      </c>
    </row>
    <row r="172">
      <c r="A172" s="13" t="n">
        <v>42248</v>
      </c>
      <c r="B172" s="12" t="n">
        <v>169</v>
      </c>
      <c r="C172" s="15" t="n">
        <v>-0.02597868033143699</v>
      </c>
      <c r="D172" s="15" t="n">
        <v>-0.01918388245122647</v>
      </c>
      <c r="E172" s="15" t="n">
        <v>-0.01360784987382763</v>
      </c>
      <c r="F172" s="15" t="n">
        <v>0.003060270060774695</v>
      </c>
      <c r="G172" s="15" t="n">
        <v>0.001651581301920224</v>
      </c>
      <c r="H172" s="16" t="n">
        <v>98.09999999999999</v>
      </c>
      <c r="I172" s="15" t="n">
        <v>0.002042900919305257</v>
      </c>
      <c r="J172" s="15" t="n">
        <v>0.003072732510934761</v>
      </c>
      <c r="K172" s="15" t="n">
        <v>0.01234769629047783</v>
      </c>
    </row>
    <row r="173">
      <c r="A173" s="13" t="n">
        <v>42278</v>
      </c>
      <c r="B173" s="12" t="n">
        <v>170</v>
      </c>
      <c r="C173" s="15" t="n">
        <v>0.0450090751905751</v>
      </c>
      <c r="D173" s="15" t="n">
        <v>0.03459066790799729</v>
      </c>
      <c r="E173" s="15" t="n">
        <v>0.02609489243012901</v>
      </c>
      <c r="F173" s="15" t="n">
        <v>0.003060270060774695</v>
      </c>
      <c r="G173" s="15" t="n">
        <v>0.001651581301920224</v>
      </c>
    </row>
    <row r="174">
      <c r="A174" s="13" t="n">
        <v>42309</v>
      </c>
      <c r="B174" s="12" t="n">
        <v>171</v>
      </c>
      <c r="C174" s="15" t="n">
        <v>-0.01358370400177176</v>
      </c>
      <c r="D174" s="15" t="n">
        <v>-0.01098772673429651</v>
      </c>
      <c r="E174" s="15" t="n">
        <v>-0.008985213561147513</v>
      </c>
      <c r="F174" s="15" t="n">
        <v>0.003060270060774695</v>
      </c>
      <c r="G174" s="15" t="n">
        <v>0.001651581301920224</v>
      </c>
    </row>
    <row r="175">
      <c r="A175" s="13" t="n">
        <v>42339</v>
      </c>
      <c r="B175" s="12" t="n">
        <v>172</v>
      </c>
      <c r="C175" s="15" t="n">
        <v>-9.352885274122001e-05</v>
      </c>
      <c r="D175" s="15" t="n">
        <v>0.0008204380076104039</v>
      </c>
      <c r="E175" s="15" t="n">
        <v>0.001479543790917843</v>
      </c>
      <c r="F175" s="15" t="n">
        <v>0.002724492675882484</v>
      </c>
      <c r="G175" s="15" t="n">
        <v>0.001651581301920224</v>
      </c>
      <c r="H175" s="16" t="n">
        <v>98.3</v>
      </c>
      <c r="I175" s="15" t="n">
        <v>0.002038735983690199</v>
      </c>
      <c r="J175" s="15" t="n">
        <v>0.002040818451497728</v>
      </c>
      <c r="K175" s="15" t="n">
        <v>0.00818829746259464</v>
      </c>
    </row>
    <row r="176">
      <c r="A176" s="13" t="n">
        <v>42370</v>
      </c>
      <c r="B176" s="12" t="n">
        <v>173</v>
      </c>
      <c r="C176" s="15" t="n">
        <v>-0.03657800687903126</v>
      </c>
      <c r="D176" s="15" t="n">
        <v>-0.02634794299422755</v>
      </c>
      <c r="E176" s="15" t="n">
        <v>-0.01785325643405564</v>
      </c>
      <c r="F176" s="15" t="n">
        <v>0.002724492675882484</v>
      </c>
      <c r="G176" s="15" t="n">
        <v>0.001651581301920224</v>
      </c>
    </row>
    <row r="177">
      <c r="A177" s="13" t="n">
        <v>42401</v>
      </c>
      <c r="B177" s="12" t="n">
        <v>174</v>
      </c>
      <c r="C177" s="15" t="n">
        <v>-0.02575192585454396</v>
      </c>
      <c r="D177" s="15" t="n">
        <v>-0.01808868166126031</v>
      </c>
      <c r="E177" s="15" t="n">
        <v>-0.01176827743857745</v>
      </c>
      <c r="F177" s="15" t="n">
        <v>0.002724492675882484</v>
      </c>
      <c r="G177" s="15" t="n">
        <v>0.001651581301920224</v>
      </c>
    </row>
    <row r="178">
      <c r="A178" s="13" t="n">
        <v>42430</v>
      </c>
      <c r="B178" s="12" t="n">
        <v>175</v>
      </c>
      <c r="C178" s="15" t="n">
        <v>0.01916506749102085</v>
      </c>
      <c r="D178" s="15" t="n">
        <v>0.01462379254629088</v>
      </c>
      <c r="E178" s="15" t="n">
        <v>0.01077749802102255</v>
      </c>
      <c r="F178" s="15" t="n">
        <v>0.002391923196199963</v>
      </c>
      <c r="G178" s="15" t="n">
        <v>0.001651581301920224</v>
      </c>
      <c r="H178" s="16" t="n">
        <v>98.3</v>
      </c>
      <c r="I178" s="15" t="n">
        <v>0</v>
      </c>
      <c r="J178" s="15" t="n">
        <v>0.001019367991845099</v>
      </c>
      <c r="K178" s="15" t="n">
        <v>0.004083710872023305</v>
      </c>
    </row>
    <row r="179">
      <c r="A179" s="13" t="n">
        <v>42461</v>
      </c>
      <c r="B179" s="12" t="n">
        <v>176</v>
      </c>
      <c r="C179" s="15" t="n">
        <v>0.02891558334427452</v>
      </c>
      <c r="D179" s="15" t="n">
        <v>0.0221867367461065</v>
      </c>
      <c r="E179" s="15" t="n">
        <v>0.01665320063396071</v>
      </c>
      <c r="F179" s="15" t="n">
        <v>0.002391923196199963</v>
      </c>
      <c r="G179" s="15" t="n">
        <v>0.001651581301920224</v>
      </c>
    </row>
    <row r="180">
      <c r="A180" s="13" t="n">
        <v>42491</v>
      </c>
      <c r="B180" s="12" t="n">
        <v>177</v>
      </c>
      <c r="C180" s="15" t="n">
        <v>0.03861983489285682</v>
      </c>
      <c r="D180" s="15" t="n">
        <v>0.03116763498306853</v>
      </c>
      <c r="E180" s="15" t="n">
        <v>0.025281749409877</v>
      </c>
      <c r="F180" s="15" t="n">
        <v>0.002391923196199963</v>
      </c>
      <c r="G180" s="15" t="n">
        <v>0.001446765417976392</v>
      </c>
    </row>
    <row r="181">
      <c r="A181" s="13" t="n">
        <v>42522</v>
      </c>
      <c r="B181" s="12" t="n">
        <v>178</v>
      </c>
      <c r="C181" s="15" t="n">
        <v>-0.03494214768612505</v>
      </c>
      <c r="D181" s="15" t="n">
        <v>-0.02432286612895642</v>
      </c>
      <c r="E181" s="15" t="n">
        <v>-0.01555404956096065</v>
      </c>
      <c r="F181" s="15" t="n">
        <v>0.002556880526424665</v>
      </c>
      <c r="G181" s="15" t="n">
        <v>0.001446765417976392</v>
      </c>
      <c r="H181" s="16" t="n">
        <v>98.59999999999999</v>
      </c>
      <c r="I181" s="15" t="n">
        <v>0.003051881993896277</v>
      </c>
      <c r="J181" s="15" t="n">
        <v>0.001525940996948139</v>
      </c>
      <c r="K181" s="15" t="n">
        <v>0.006117749181361098</v>
      </c>
    </row>
    <row r="182">
      <c r="A182" s="13" t="n">
        <v>42552</v>
      </c>
      <c r="B182" s="12" t="n">
        <v>179</v>
      </c>
      <c r="C182" s="15" t="n">
        <v>0.04712918646545625</v>
      </c>
      <c r="D182" s="15" t="n">
        <v>0.03662363319188124</v>
      </c>
      <c r="E182" s="15" t="n">
        <v>0.02802161319701185</v>
      </c>
      <c r="F182" s="15" t="n">
        <v>0.002556880526424665</v>
      </c>
      <c r="G182" s="15" t="n">
        <v>0.001446765417976392</v>
      </c>
    </row>
    <row r="183">
      <c r="A183" s="13" t="n">
        <v>42583</v>
      </c>
      <c r="B183" s="12" t="n">
        <v>180</v>
      </c>
      <c r="C183" s="15" t="n">
        <v>-0.008009879517844425</v>
      </c>
      <c r="D183" s="15" t="n">
        <v>-0.005284338969297726</v>
      </c>
      <c r="E183" s="15" t="n">
        <v>-0.002965641457364594</v>
      </c>
      <c r="F183" s="15" t="n">
        <v>0.002556880526424665</v>
      </c>
      <c r="G183" s="15" t="n">
        <v>0.001241487716449274</v>
      </c>
    </row>
    <row r="184">
      <c r="A184" s="13" t="n">
        <v>42614</v>
      </c>
      <c r="B184" s="12" t="n">
        <v>181</v>
      </c>
      <c r="C184" s="15" t="n">
        <v>0.001869482688887322</v>
      </c>
      <c r="D184" s="15" t="n">
        <v>0.001356471595076237</v>
      </c>
      <c r="E184" s="15" t="n">
        <v>0.0008954247234832151</v>
      </c>
      <c r="F184" s="15" t="n">
        <v>0.003216912829006491</v>
      </c>
      <c r="G184" s="15" t="n">
        <v>0.001241487716449274</v>
      </c>
      <c r="H184" s="16" t="n">
        <v>99</v>
      </c>
      <c r="I184" s="15" t="n">
        <v>0.004056795131845981</v>
      </c>
      <c r="J184" s="15" t="n">
        <v>0.003554338562871129</v>
      </c>
      <c r="K184" s="15" t="n">
        <v>0.0142933339592255</v>
      </c>
    </row>
    <row r="185">
      <c r="A185" s="13" t="n">
        <v>42644</v>
      </c>
      <c r="B185" s="12" t="n">
        <v>182</v>
      </c>
      <c r="C185" s="15" t="n">
        <v>-0.01711694848490218</v>
      </c>
      <c r="D185" s="15" t="n">
        <v>-0.01487768910700463</v>
      </c>
      <c r="E185" s="15" t="n">
        <v>-0.01324676037651665</v>
      </c>
      <c r="F185" s="15" t="n">
        <v>0.003216912829006491</v>
      </c>
      <c r="G185" s="15" t="n">
        <v>0.001241487716449274</v>
      </c>
    </row>
    <row r="186">
      <c r="A186" s="13" t="n">
        <v>42675</v>
      </c>
      <c r="B186" s="12" t="n">
        <v>183</v>
      </c>
      <c r="C186" s="15" t="n">
        <v>0.01156722522027641</v>
      </c>
      <c r="D186" s="15" t="n">
        <v>0.007152922637300749</v>
      </c>
      <c r="E186" s="15" t="n">
        <v>0.003312643937021578</v>
      </c>
      <c r="F186" s="15" t="n">
        <v>0.003216912829006491</v>
      </c>
      <c r="G186" s="15" t="n">
        <v>0.001241487716449274</v>
      </c>
    </row>
    <row r="187">
      <c r="A187" s="13" t="n">
        <v>42705</v>
      </c>
      <c r="B187" s="12" t="n">
        <v>184</v>
      </c>
      <c r="C187" s="15" t="n">
        <v>0.04750252920296446</v>
      </c>
      <c r="D187" s="15" t="n">
        <v>0.03584086412813373</v>
      </c>
      <c r="E187" s="15" t="n">
        <v>0.02630321710486439</v>
      </c>
      <c r="F187" s="15" t="n">
        <v>0.003541801050251259</v>
      </c>
      <c r="G187" s="15" t="n">
        <v>0.001241487716449274</v>
      </c>
      <c r="H187" s="16" t="n">
        <v>99.5</v>
      </c>
      <c r="I187" s="15" t="n">
        <v>0.005050505050504972</v>
      </c>
      <c r="J187" s="15" t="n">
        <v>0.004553650091175476</v>
      </c>
      <c r="K187" s="15" t="n">
        <v>0.01833939286260988</v>
      </c>
    </row>
    <row r="188">
      <c r="A188" s="13" t="n">
        <v>42736</v>
      </c>
      <c r="B188" s="12" t="n">
        <v>185</v>
      </c>
      <c r="C188" s="15" t="n">
        <v>-0.006738411038790833</v>
      </c>
      <c r="D188" s="15" t="n">
        <v>-0.004136801203160503</v>
      </c>
      <c r="E188" s="15" t="n">
        <v>-0.001965757716797873</v>
      </c>
      <c r="F188" s="15" t="n">
        <v>0.003541801050251259</v>
      </c>
      <c r="G188" s="15" t="n">
        <v>0.001241487716449274</v>
      </c>
    </row>
    <row r="189">
      <c r="A189" s="13" t="n">
        <v>42767</v>
      </c>
      <c r="B189" s="12" t="n">
        <v>186</v>
      </c>
      <c r="C189" s="15" t="n">
        <v>0.008899610100173642</v>
      </c>
      <c r="D189" s="15" t="n">
        <v>0.007051316497065786</v>
      </c>
      <c r="E189" s="15" t="n">
        <v>0.005495899794481113</v>
      </c>
      <c r="F189" s="15" t="n">
        <v>0.003541801050251259</v>
      </c>
      <c r="G189" s="15" t="n">
        <v>0.001241487716449274</v>
      </c>
    </row>
    <row r="190">
      <c r="A190" s="13" t="n">
        <v>42795</v>
      </c>
      <c r="B190" s="12" t="n">
        <v>187</v>
      </c>
      <c r="C190" s="15" t="n">
        <v>0.02950180791995851</v>
      </c>
      <c r="D190" s="15" t="n">
        <v>0.02309492738030757</v>
      </c>
      <c r="E190" s="15" t="n">
        <v>0.01790768983722127</v>
      </c>
      <c r="F190" s="15" t="n">
        <v>0.003535837802950192</v>
      </c>
      <c r="G190" s="15" t="n">
        <v>0.001241487716449274</v>
      </c>
      <c r="H190" s="16" t="n">
        <v>99.90000000000001</v>
      </c>
      <c r="I190" s="15" t="n">
        <v>0.004020100502512669</v>
      </c>
      <c r="J190" s="15" t="n">
        <v>0.004535302776508821</v>
      </c>
      <c r="K190" s="15" t="n">
        <v>0.01826499850281604</v>
      </c>
    </row>
    <row r="191">
      <c r="A191" s="13" t="n">
        <v>42826</v>
      </c>
      <c r="B191" s="12" t="n">
        <v>188</v>
      </c>
      <c r="C191" s="15" t="n">
        <v>0.02712297083976091</v>
      </c>
      <c r="D191" s="15" t="n">
        <v>0.02121793804890652</v>
      </c>
      <c r="E191" s="15" t="n">
        <v>0.01649770981743009</v>
      </c>
      <c r="F191" s="15" t="n">
        <v>0.003535837802950192</v>
      </c>
      <c r="G191" s="15" t="n">
        <v>0.001241487716449274</v>
      </c>
    </row>
    <row r="192">
      <c r="A192" s="13" t="n">
        <v>42856</v>
      </c>
      <c r="B192" s="12" t="n">
        <v>189</v>
      </c>
      <c r="C192" s="15" t="n">
        <v>0.0002157748396064915</v>
      </c>
      <c r="D192" s="15" t="n">
        <v>0.001836726475559975</v>
      </c>
      <c r="E192" s="15" t="n">
        <v>0.00341993171626201</v>
      </c>
      <c r="F192" s="15" t="n">
        <v>0.003535837802950192</v>
      </c>
      <c r="G192" s="15" t="n">
        <v>0.001241487716449274</v>
      </c>
    </row>
    <row r="193">
      <c r="A193" s="13" t="n">
        <v>42887</v>
      </c>
      <c r="B193" s="12" t="n">
        <v>190</v>
      </c>
      <c r="C193" s="15" t="n">
        <v>-0.009484095465930173</v>
      </c>
      <c r="D193" s="15" t="n">
        <v>-0.00806857083658908</v>
      </c>
      <c r="E193" s="15" t="n">
        <v>-0.007077678528865025</v>
      </c>
      <c r="F193" s="15" t="n">
        <v>0.002714477857543196</v>
      </c>
      <c r="G193" s="15" t="n">
        <v>0.001241487716449274</v>
      </c>
      <c r="H193" s="16" t="n">
        <v>99.90000000000001</v>
      </c>
      <c r="I193" s="15" t="n">
        <v>0</v>
      </c>
      <c r="J193" s="15" t="n">
        <v>0.002010050251256335</v>
      </c>
      <c r="K193" s="15" t="n">
        <v>0.008064475318265041</v>
      </c>
    </row>
    <row r="194">
      <c r="A194" s="13" t="n">
        <v>42917</v>
      </c>
      <c r="B194" s="12" t="n">
        <v>191</v>
      </c>
      <c r="C194" s="15" t="n">
        <v>-0.003080429107927758</v>
      </c>
      <c r="D194" s="15" t="n">
        <v>-0.002060229597740002</v>
      </c>
      <c r="E194" s="15" t="n">
        <v>-0.001259954159473678</v>
      </c>
      <c r="F194" s="15" t="n">
        <v>0.002714477857543196</v>
      </c>
      <c r="G194" s="15" t="n">
        <v>0.001241487716449274</v>
      </c>
    </row>
    <row r="195">
      <c r="A195" s="13" t="n">
        <v>42948</v>
      </c>
      <c r="B195" s="12" t="n">
        <v>192</v>
      </c>
      <c r="C195" s="15" t="n">
        <v>0.005161563202548007</v>
      </c>
      <c r="D195" s="15" t="n">
        <v>0.00421059642056746</v>
      </c>
      <c r="E195" s="15" t="n">
        <v>0.003447494128144208</v>
      </c>
      <c r="F195" s="15" t="n">
        <v>0.002714477857543196</v>
      </c>
      <c r="G195" s="15" t="n">
        <v>0.001241487716449274</v>
      </c>
    </row>
    <row r="196">
      <c r="A196" s="13" t="n">
        <v>42979</v>
      </c>
      <c r="B196" s="12" t="n">
        <v>193</v>
      </c>
      <c r="C196" s="15" t="n">
        <v>0.01143215016680233</v>
      </c>
      <c r="D196" s="15" t="n">
        <v>0.008390273153144929</v>
      </c>
      <c r="E196" s="15" t="n">
        <v>0.005920396396728355</v>
      </c>
      <c r="F196" s="15" t="n">
        <v>0.002874746032577091</v>
      </c>
      <c r="G196" s="15" t="n">
        <v>0.001241487716449274</v>
      </c>
      <c r="H196" s="16" t="n">
        <v>100.4</v>
      </c>
      <c r="I196" s="15" t="n">
        <v>0.005005005005005003</v>
      </c>
      <c r="J196" s="15" t="n">
        <v>0.002502502502502502</v>
      </c>
      <c r="K196" s="15" t="n">
        <v>0.01004764784975487</v>
      </c>
    </row>
    <row r="197">
      <c r="A197" s="13" t="n">
        <v>43009</v>
      </c>
      <c r="B197" s="12" t="n">
        <v>194</v>
      </c>
      <c r="C197" s="15" t="n">
        <v>0.03680740856516854</v>
      </c>
      <c r="D197" s="15" t="n">
        <v>0.02905599180909508</v>
      </c>
      <c r="E197" s="15" t="n">
        <v>0.02278385032566659</v>
      </c>
      <c r="F197" s="15" t="n">
        <v>0.002874746032577091</v>
      </c>
      <c r="G197" s="15" t="n">
        <v>0.001241487716449274</v>
      </c>
    </row>
    <row r="198">
      <c r="A198" s="13" t="n">
        <v>43040</v>
      </c>
      <c r="B198" s="12" t="n">
        <v>195</v>
      </c>
      <c r="C198" s="15" t="n">
        <v>0.01724015634417271</v>
      </c>
      <c r="D198" s="15" t="n">
        <v>0.01457510596584466</v>
      </c>
      <c r="E198" s="15" t="n">
        <v>0.01252718453113273</v>
      </c>
      <c r="F198" s="15" t="n">
        <v>0.002874746032577091</v>
      </c>
      <c r="G198" s="15" t="n">
        <v>0.001241487716449274</v>
      </c>
    </row>
    <row r="199">
      <c r="A199" s="13" t="n">
        <v>43070</v>
      </c>
      <c r="B199" s="12" t="n">
        <v>196</v>
      </c>
      <c r="C199" s="15" t="n">
        <v>0.002992387872036759</v>
      </c>
      <c r="D199" s="15" t="n">
        <v>0.001566891803314608</v>
      </c>
      <c r="E199" s="15" t="n">
        <v>0.0002396879971074354</v>
      </c>
      <c r="F199" s="15" t="n">
        <v>0.003198759515336436</v>
      </c>
      <c r="G199" s="15" t="n">
        <v>0.001241487716449274</v>
      </c>
      <c r="H199" s="16" t="n">
        <v>100.6</v>
      </c>
      <c r="I199" s="15" t="n">
        <v>0.001992031872509736</v>
      </c>
      <c r="J199" s="15" t="n">
        <v>0.00349851843875737</v>
      </c>
      <c r="K199" s="15" t="n">
        <v>0.01406768297473815</v>
      </c>
    </row>
    <row r="200">
      <c r="A200" s="13" t="n">
        <v>43101</v>
      </c>
      <c r="B200" s="12" t="n">
        <v>197</v>
      </c>
      <c r="C200" s="15" t="n">
        <v>0.003629924777289315</v>
      </c>
      <c r="D200" s="15" t="n">
        <v>0.002492030087362601</v>
      </c>
      <c r="E200" s="15" t="n">
        <v>0.001534427369963337</v>
      </c>
      <c r="F200" s="15" t="n">
        <v>0.003198759515336436</v>
      </c>
      <c r="G200" s="15" t="n">
        <v>0.001241487716449274</v>
      </c>
    </row>
    <row r="201">
      <c r="A201" s="13" t="n">
        <v>43132</v>
      </c>
      <c r="B201" s="12" t="n">
        <v>198</v>
      </c>
      <c r="C201" s="15" t="n">
        <v>-0.004056047888394768</v>
      </c>
      <c r="D201" s="15" t="n">
        <v>-0.00235035273105051</v>
      </c>
      <c r="E201" s="15" t="n">
        <v>-0.0009398364552943921</v>
      </c>
      <c r="F201" s="15" t="n">
        <v>0.003198759515336436</v>
      </c>
      <c r="G201" s="15" t="n">
        <v>0.001241487716449274</v>
      </c>
    </row>
    <row r="202">
      <c r="A202" s="13" t="n">
        <v>43160</v>
      </c>
      <c r="B202" s="12" t="n">
        <v>199</v>
      </c>
      <c r="C202" s="15" t="n">
        <v>-0.01681904050828274</v>
      </c>
      <c r="D202" s="15" t="n">
        <v>-0.01148304367889561</v>
      </c>
      <c r="E202" s="15" t="n">
        <v>-0.006944972520944184</v>
      </c>
      <c r="F202" s="15" t="n">
        <v>0.002869724102751325</v>
      </c>
      <c r="G202" s="15" t="n">
        <v>0.001241487716449274</v>
      </c>
      <c r="H202" s="16" t="n">
        <v>100.9</v>
      </c>
      <c r="I202" s="15" t="n">
        <v>0.002982107355864905</v>
      </c>
      <c r="J202" s="15" t="n">
        <v>0.002487069614187321</v>
      </c>
      <c r="K202" s="15" t="n">
        <v>0.009985453121832633</v>
      </c>
    </row>
    <row r="203">
      <c r="A203" s="13" t="n">
        <v>43191</v>
      </c>
      <c r="B203" s="12" t="n">
        <v>200</v>
      </c>
      <c r="C203" s="15" t="n">
        <v>0.03295099386358293</v>
      </c>
      <c r="D203" s="15" t="n">
        <v>0.02426045310901765</v>
      </c>
      <c r="E203" s="15" t="n">
        <v>0.01704121086601876</v>
      </c>
      <c r="F203" s="15" t="n">
        <v>0.002869724102751325</v>
      </c>
      <c r="G203" s="15" t="n">
        <v>0.001241487716449274</v>
      </c>
    </row>
    <row r="204">
      <c r="A204" s="13" t="n">
        <v>43221</v>
      </c>
      <c r="B204" s="12" t="n">
        <v>201</v>
      </c>
      <c r="C204" s="15" t="n">
        <v>-0.002687105250609082</v>
      </c>
      <c r="D204" s="15" t="n">
        <v>-0.0008058055627241434</v>
      </c>
      <c r="E204" s="15" t="n">
        <v>0.000761533045496809</v>
      </c>
      <c r="F204" s="15" t="n">
        <v>0.002869724102751325</v>
      </c>
      <c r="G204" s="15" t="n">
        <v>0.001241487716449274</v>
      </c>
    </row>
    <row r="205">
      <c r="A205" s="13" t="n">
        <v>43252</v>
      </c>
      <c r="B205" s="12" t="n">
        <v>202</v>
      </c>
      <c r="C205" s="15" t="n">
        <v>0.02296451493717474</v>
      </c>
      <c r="D205" s="15" t="n">
        <v>0.01809247231941611</v>
      </c>
      <c r="E205" s="15" t="n">
        <v>0.01410565358551252</v>
      </c>
      <c r="F205" s="15" t="n">
        <v>0.00335166711086976</v>
      </c>
      <c r="G205" s="15" t="n">
        <v>0.001241487716449274</v>
      </c>
      <c r="H205" s="16" t="n">
        <v>101.4</v>
      </c>
      <c r="I205" s="15" t="n">
        <v>0.004955401387512381</v>
      </c>
      <c r="J205" s="15" t="n">
        <v>0.003968754371688643</v>
      </c>
      <c r="K205" s="15" t="n">
        <v>0.01596977385000486</v>
      </c>
    </row>
    <row r="206">
      <c r="A206" s="13" t="n">
        <v>43282</v>
      </c>
      <c r="B206" s="12" t="n">
        <v>203</v>
      </c>
      <c r="C206" s="15" t="n">
        <v>0.01688526223262245</v>
      </c>
      <c r="D206" s="15" t="n">
        <v>0.01313736242307129</v>
      </c>
      <c r="E206" s="15" t="n">
        <v>0.01008309091152843</v>
      </c>
      <c r="F206" s="15" t="n">
        <v>0.00335166711086976</v>
      </c>
      <c r="G206" s="15" t="n">
        <v>0.001241487716449274</v>
      </c>
    </row>
    <row r="207">
      <c r="A207" s="13" t="n">
        <v>43313</v>
      </c>
      <c r="B207" s="12" t="n">
        <v>204</v>
      </c>
      <c r="C207" s="15" t="n">
        <v>0.004244762180861114</v>
      </c>
      <c r="D207" s="15" t="n">
        <v>0.004329424755928494</v>
      </c>
      <c r="E207" s="15" t="n">
        <v>0.004446490594004088</v>
      </c>
      <c r="F207" s="15" t="n">
        <v>0.00335166711086976</v>
      </c>
      <c r="G207" s="15" t="n">
        <v>0.001241487716449274</v>
      </c>
    </row>
    <row r="208">
      <c r="A208" s="13" t="n">
        <v>43344</v>
      </c>
      <c r="B208" s="12" t="n">
        <v>205</v>
      </c>
      <c r="C208" s="15" t="n">
        <v>-0.0001529635468842466</v>
      </c>
      <c r="D208" s="15" t="n">
        <v>-0.0005269272996594404</v>
      </c>
      <c r="E208" s="15" t="n">
        <v>-0.0008328675875721827</v>
      </c>
      <c r="F208" s="15" t="n">
        <v>0.003508140222050038</v>
      </c>
      <c r="G208" s="15" t="n">
        <v>0.001241487716449274</v>
      </c>
      <c r="H208" s="16" t="n">
        <v>101.8</v>
      </c>
      <c r="I208" s="15" t="n">
        <v>0.003944773175542426</v>
      </c>
      <c r="J208" s="15" t="n">
        <v>0.004450087281527404</v>
      </c>
      <c r="K208" s="15" t="n">
        <v>0.0179195216843997</v>
      </c>
    </row>
    <row r="209">
      <c r="A209" s="13" t="n">
        <v>43374</v>
      </c>
      <c r="B209" s="12" t="n">
        <v>206</v>
      </c>
      <c r="C209" s="15" t="n">
        <v>-0.05535070848322993</v>
      </c>
      <c r="D209" s="15" t="n">
        <v>-0.04102487513613084</v>
      </c>
      <c r="E209" s="15" t="n">
        <v>-0.02928079637690885</v>
      </c>
      <c r="F209" s="15" t="n">
        <v>0.003508140222050038</v>
      </c>
      <c r="G209" s="15" t="n">
        <v>0.001241487716449274</v>
      </c>
    </row>
    <row r="210">
      <c r="A210" s="13" t="n">
        <v>43405</v>
      </c>
      <c r="B210" s="12" t="n">
        <v>207</v>
      </c>
      <c r="C210" s="15" t="n">
        <v>-0.02227276008017439</v>
      </c>
      <c r="D210" s="15" t="n">
        <v>-0.0164263919053405</v>
      </c>
      <c r="E210" s="15" t="n">
        <v>-0.01163662666199598</v>
      </c>
      <c r="F210" s="15" t="n">
        <v>0.003508140222050038</v>
      </c>
      <c r="G210" s="15" t="n">
        <v>0.001241487716449274</v>
      </c>
    </row>
    <row r="211">
      <c r="A211" s="13" t="n">
        <v>43435</v>
      </c>
      <c r="B211" s="12" t="n">
        <v>208</v>
      </c>
      <c r="C211" s="15" t="n">
        <v>-0.005846153592375562</v>
      </c>
      <c r="D211" s="15" t="n">
        <v>-0.002549502372989213</v>
      </c>
      <c r="E211" s="15" t="n">
        <v>0.0002549389175553691</v>
      </c>
      <c r="F211" s="15" t="n">
        <v>0.003021874833240012</v>
      </c>
      <c r="G211" s="15" t="n">
        <v>0.001241487716449274</v>
      </c>
      <c r="H211" s="16" t="n">
        <v>102</v>
      </c>
      <c r="I211" s="15" t="n">
        <v>0.001964636542239662</v>
      </c>
      <c r="J211" s="15" t="n">
        <v>0.002954704858891044</v>
      </c>
      <c r="K211" s="15" t="n">
        <v>0.01187130437821371</v>
      </c>
    </row>
    <row r="212">
      <c r="A212" s="13" t="n">
        <v>43466</v>
      </c>
      <c r="B212" s="12" t="n">
        <v>209</v>
      </c>
      <c r="C212" s="15" t="n">
        <v>0.03572611328235391</v>
      </c>
      <c r="D212" s="15" t="n">
        <v>0.02817168859969916</v>
      </c>
      <c r="E212" s="15" t="n">
        <v>0.02205556035315613</v>
      </c>
      <c r="F212" s="15" t="n">
        <v>0.003021874833240012</v>
      </c>
      <c r="G212" s="15" t="n">
        <v>0.001241487716449274</v>
      </c>
    </row>
    <row r="213">
      <c r="A213" s="13" t="n">
        <v>43497</v>
      </c>
      <c r="B213" s="12" t="n">
        <v>210</v>
      </c>
      <c r="C213" s="15" t="n">
        <v>0.04452070844909691</v>
      </c>
      <c r="D213" s="15" t="n">
        <v>0.03519771792778855</v>
      </c>
      <c r="E213" s="15" t="n">
        <v>0.02765229374999304</v>
      </c>
      <c r="F213" s="15" t="n">
        <v>0.003021874833240012</v>
      </c>
      <c r="G213" s="15" t="n">
        <v>0.001241487716449274</v>
      </c>
    </row>
    <row r="214">
      <c r="A214" s="13" t="n">
        <v>43525</v>
      </c>
      <c r="B214" s="12" t="n">
        <v>211</v>
      </c>
      <c r="C214" s="15" t="n">
        <v>0.01100679510424067</v>
      </c>
      <c r="D214" s="15" t="n">
        <v>0.01067914596355105</v>
      </c>
      <c r="E214" s="15" t="n">
        <v>0.01062154298094473</v>
      </c>
      <c r="F214" s="15" t="n">
        <v>0.002699068753143186</v>
      </c>
      <c r="G214" s="15" t="n">
        <v>0.001241487716449274</v>
      </c>
      <c r="H214" s="16" t="n">
        <v>102.2</v>
      </c>
      <c r="I214" s="15" t="n">
        <v>0.001960784313725483</v>
      </c>
      <c r="J214" s="15" t="n">
        <v>0.001962710427982572</v>
      </c>
      <c r="K214" s="15" t="n">
        <v>0.007873985363379576</v>
      </c>
    </row>
    <row r="215">
      <c r="A215" s="13" t="n">
        <v>43556</v>
      </c>
      <c r="B215" s="12" t="n">
        <v>212</v>
      </c>
      <c r="C215" s="15" t="n">
        <v>0.02702551138398631</v>
      </c>
      <c r="D215" s="15" t="n">
        <v>0.02093830565007116</v>
      </c>
      <c r="E215" s="15" t="n">
        <v>0.01599013694480338</v>
      </c>
      <c r="F215" s="15" t="n">
        <v>0.002699068753143186</v>
      </c>
      <c r="G215" s="15" t="n">
        <v>0.001241487716449274</v>
      </c>
    </row>
    <row r="216">
      <c r="A216" s="13" t="n">
        <v>43586</v>
      </c>
      <c r="B216" s="12" t="n">
        <v>213</v>
      </c>
      <c r="C216" s="15" t="n">
        <v>-0.003635191762511844</v>
      </c>
      <c r="D216" s="15" t="n">
        <v>-0.0002872112148100708</v>
      </c>
      <c r="E216" s="15" t="n">
        <v>0.002554763142122451</v>
      </c>
      <c r="F216" s="15" t="n">
        <v>0.002699068753143186</v>
      </c>
      <c r="G216" s="15" t="n">
        <v>0.001241487716449274</v>
      </c>
    </row>
    <row r="217">
      <c r="A217" s="13" t="n">
        <v>43617</v>
      </c>
      <c r="B217" s="12" t="n">
        <v>214</v>
      </c>
      <c r="C217" s="15" t="n">
        <v>0.03746582654929346</v>
      </c>
      <c r="D217" s="15" t="n">
        <v>0.02995188086567252</v>
      </c>
      <c r="E217" s="15" t="n">
        <v>0.02394086237428018</v>
      </c>
      <c r="F217" s="15" t="n">
        <v>0.003016225480255708</v>
      </c>
      <c r="G217" s="15" t="n">
        <v>0.001035746014698358</v>
      </c>
      <c r="H217" s="16" t="n">
        <v>102.6</v>
      </c>
      <c r="I217" s="15" t="n">
        <v>0.003913894324853118</v>
      </c>
      <c r="J217" s="15" t="n">
        <v>0.0029373393192893</v>
      </c>
      <c r="K217" s="15" t="n">
        <v>0.01180122649827009</v>
      </c>
    </row>
    <row r="218">
      <c r="A218" s="13" t="n">
        <v>43647</v>
      </c>
      <c r="B218" s="12" t="n">
        <v>215</v>
      </c>
      <c r="C218" s="15" t="n">
        <v>0.01634442329389113</v>
      </c>
      <c r="D218" s="15" t="n">
        <v>0.01349046410265683</v>
      </c>
      <c r="E218" s="15" t="n">
        <v>0.01117089090818792</v>
      </c>
      <c r="F218" s="15" t="n">
        <v>0.003016225480255708</v>
      </c>
      <c r="G218" s="15" t="n">
        <v>0.0008295381143461622</v>
      </c>
    </row>
    <row r="219">
      <c r="A219" s="13" t="n">
        <v>43678</v>
      </c>
      <c r="B219" s="12" t="n">
        <v>216</v>
      </c>
      <c r="C219" s="15" t="n">
        <v>-0.01232255658165027</v>
      </c>
      <c r="D219" s="15" t="n">
        <v>-0.007273999075254896</v>
      </c>
      <c r="E219" s="15" t="n">
        <v>-0.002922704665223303</v>
      </c>
      <c r="F219" s="15" t="n">
        <v>0.003016225480255708</v>
      </c>
      <c r="G219" s="15" t="n">
        <v>0.0008295381143461622</v>
      </c>
    </row>
    <row r="220">
      <c r="A220" s="13" t="n">
        <v>43709</v>
      </c>
      <c r="B220" s="12" t="n">
        <v>217</v>
      </c>
      <c r="C220" s="15" t="n">
        <v>0.01920013356378151</v>
      </c>
      <c r="D220" s="15" t="n">
        <v>0.0143470055506623</v>
      </c>
      <c r="E220" s="15" t="n">
        <v>0.01036722357882642</v>
      </c>
      <c r="F220" s="15" t="n">
        <v>0.003331349667491601</v>
      </c>
      <c r="G220" s="15" t="n">
        <v>0.0008295381143461622</v>
      </c>
      <c r="H220" s="16" t="n">
        <v>103</v>
      </c>
      <c r="I220" s="15" t="n">
        <v>0.003898635477582957</v>
      </c>
      <c r="J220" s="15" t="n">
        <v>0.003906264901218037</v>
      </c>
      <c r="K220" s="15" t="n">
        <v>0.01571685169188486</v>
      </c>
    </row>
    <row r="221">
      <c r="A221" s="13" t="n">
        <v>43739</v>
      </c>
      <c r="B221" s="12" t="n">
        <v>218</v>
      </c>
      <c r="C221" s="15" t="n">
        <v>0.004855303206543814</v>
      </c>
      <c r="D221" s="15" t="n">
        <v>0.002634638482572333</v>
      </c>
      <c r="E221" s="15" t="n">
        <v>0.0007391006554335635</v>
      </c>
      <c r="F221" s="15" t="n">
        <v>0.003331349667491601</v>
      </c>
      <c r="G221" s="15" t="n">
        <v>0.0006228618011265841</v>
      </c>
    </row>
    <row r="222">
      <c r="A222" s="13" t="n">
        <v>43770</v>
      </c>
      <c r="B222" s="12" t="n">
        <v>219</v>
      </c>
      <c r="C222" s="15" t="n">
        <v>0.02811669596750957</v>
      </c>
      <c r="D222" s="15" t="n">
        <v>0.02243255610320545</v>
      </c>
      <c r="E222" s="15" t="n">
        <v>0.01787378846022014</v>
      </c>
      <c r="F222" s="15" t="n">
        <v>0.003331349667491601</v>
      </c>
      <c r="G222" s="15" t="n">
        <v>0.0006228618011265841</v>
      </c>
    </row>
    <row r="223">
      <c r="A223" s="13" t="n">
        <v>43800</v>
      </c>
      <c r="B223" s="12" t="n">
        <v>220</v>
      </c>
      <c r="C223" s="15" t="n">
        <v>-0.01257084569997451</v>
      </c>
      <c r="D223" s="15" t="n">
        <v>-0.0116694111591748</v>
      </c>
      <c r="E223" s="15" t="n">
        <v>-0.01110747014190046</v>
      </c>
      <c r="F223" s="15" t="n">
        <v>0.003326407655459773</v>
      </c>
      <c r="G223" s="15" t="n">
        <v>0.0006228618011265841</v>
      </c>
      <c r="H223" s="16" t="n">
        <v>103.4</v>
      </c>
      <c r="I223" s="15" t="n">
        <v>0.003883495145631022</v>
      </c>
      <c r="J223" s="15" t="n">
        <v>0.003891065311606989</v>
      </c>
      <c r="K223" s="15" t="n">
        <v>0.01565533946018882</v>
      </c>
    </row>
    <row r="224">
      <c r="A224" s="13" t="n">
        <v>43831</v>
      </c>
      <c r="B224" s="12" t="n">
        <v>221</v>
      </c>
      <c r="C224" s="15" t="n">
        <v>0.03330982465801963</v>
      </c>
      <c r="D224" s="15" t="n">
        <v>0.02840534488867901</v>
      </c>
      <c r="E224" s="15" t="n">
        <v>0.02459055014940493</v>
      </c>
      <c r="F224" s="15" t="n">
        <v>0.003326407655459773</v>
      </c>
      <c r="G224" s="15" t="n">
        <v>0.0006228618011265841</v>
      </c>
    </row>
    <row r="225">
      <c r="A225" s="13" t="n">
        <v>43862</v>
      </c>
      <c r="B225" s="12" t="n">
        <v>222</v>
      </c>
      <c r="C225" s="15" t="n">
        <v>-0.0630254941165856</v>
      </c>
      <c r="D225" s="15" t="n">
        <v>-0.04662271859254671</v>
      </c>
      <c r="E225" s="15" t="n">
        <v>-0.03308771522535583</v>
      </c>
      <c r="F225" s="15" t="n">
        <v>0.003326407655459773</v>
      </c>
      <c r="G225" s="15" t="n">
        <v>0.0006228618011265841</v>
      </c>
    </row>
    <row r="226">
      <c r="A226" s="13" t="n">
        <v>43891</v>
      </c>
      <c r="B226" s="12" t="n">
        <v>223</v>
      </c>
      <c r="C226" s="15" t="n">
        <v>-0.1381945768281209</v>
      </c>
      <c r="D226" s="15" t="n">
        <v>-0.1053809563818447</v>
      </c>
      <c r="E226" s="15" t="n">
        <v>-0.07837686412231964</v>
      </c>
      <c r="F226" s="15" t="n">
        <v>0.002692245212954303</v>
      </c>
      <c r="G226" s="15" t="n">
        <v>0.0004157148447290204</v>
      </c>
      <c r="H226" s="16" t="n">
        <v>103.4</v>
      </c>
      <c r="I226" s="15" t="n">
        <v>0</v>
      </c>
      <c r="J226" s="15" t="n">
        <v>0.001941747572815511</v>
      </c>
      <c r="K226" s="15" t="n">
        <v>0.007789641891830623</v>
      </c>
    </row>
    <row r="227">
      <c r="A227" s="13" t="n">
        <v>43922</v>
      </c>
      <c r="B227" s="12" t="n">
        <v>224</v>
      </c>
      <c r="C227" s="15" t="n">
        <v>0.04389188513613481</v>
      </c>
      <c r="D227" s="15" t="n">
        <v>0.03379857386174993</v>
      </c>
      <c r="E227" s="15" t="n">
        <v>0.02540127319098623</v>
      </c>
      <c r="F227" s="15" t="n">
        <v>0.002692245212954303</v>
      </c>
      <c r="G227" s="15" t="n">
        <v>0.0002080949986431602</v>
      </c>
    </row>
    <row r="228">
      <c r="A228" s="13" t="n">
        <v>43952</v>
      </c>
      <c r="B228" s="12" t="n">
        <v>225</v>
      </c>
      <c r="C228" s="15" t="n">
        <v>0.0394766872496966</v>
      </c>
      <c r="D228" s="15" t="n">
        <v>0.0301886031183221</v>
      </c>
      <c r="E228" s="15" t="n">
        <v>0.02261009086858743</v>
      </c>
      <c r="F228" s="15" t="n">
        <v>0.002692245212954303</v>
      </c>
      <c r="G228" s="15" t="n">
        <v>0.0002080949986431602</v>
      </c>
    </row>
    <row r="229">
      <c r="A229" s="13" t="n">
        <v>43983</v>
      </c>
      <c r="B229" s="12" t="n">
        <v>226</v>
      </c>
      <c r="C229" s="15" t="n">
        <v>0.01367261718075087</v>
      </c>
      <c r="D229" s="15" t="n">
        <v>0.01075851067524432</v>
      </c>
      <c r="E229" s="15" t="n">
        <v>0.008350468175736677</v>
      </c>
      <c r="F229" s="15" t="n">
        <v>0.0007977959837017767</v>
      </c>
      <c r="G229" s="15" t="n">
        <v>0.0002080949986431602</v>
      </c>
      <c r="H229" s="16" t="n">
        <v>102.6</v>
      </c>
      <c r="I229" s="15" t="n">
        <v>-0.007736943907156735</v>
      </c>
      <c r="J229" s="15" t="n">
        <v>-0.003868471953578367</v>
      </c>
      <c r="K229" s="15" t="n">
        <v>-0.01538432870672213</v>
      </c>
    </row>
    <row r="230">
      <c r="A230" s="13" t="n">
        <v>44013</v>
      </c>
      <c r="B230" s="12" t="n">
        <v>227</v>
      </c>
      <c r="C230" s="15" t="n">
        <v>-0.006747308224846274</v>
      </c>
      <c r="D230" s="15" t="n">
        <v>-0.004380431020581335</v>
      </c>
      <c r="E230" s="15" t="n">
        <v>-0.002456170948985735</v>
      </c>
      <c r="F230" s="15" t="n">
        <v>0.0007977959837017767</v>
      </c>
      <c r="G230" s="15" t="n">
        <v>0.0002080949986431602</v>
      </c>
    </row>
    <row r="231">
      <c r="A231" s="13" t="n">
        <v>44044</v>
      </c>
      <c r="B231" s="12" t="n">
        <v>228</v>
      </c>
      <c r="C231" s="15" t="n">
        <v>0.02176928585928248</v>
      </c>
      <c r="D231" s="15" t="n">
        <v>0.01594147060064533</v>
      </c>
      <c r="E231" s="15" t="n">
        <v>0.01111897661208223</v>
      </c>
      <c r="F231" s="15" t="n">
        <v>0.0007977959837017767</v>
      </c>
      <c r="G231" s="15" t="n">
        <v>0.0002080949986431602</v>
      </c>
    </row>
    <row r="232">
      <c r="A232" s="13" t="n">
        <v>44075</v>
      </c>
      <c r="B232" s="12" t="n">
        <v>229</v>
      </c>
      <c r="C232" s="15" t="n">
        <v>-0.01379073224636121</v>
      </c>
      <c r="D232" s="15" t="n">
        <v>-0.009224353818687987</v>
      </c>
      <c r="E232" s="15" t="n">
        <v>-0.005288427732593557</v>
      </c>
      <c r="F232" s="15" t="n">
        <v>0.002228448130553673</v>
      </c>
      <c r="G232" s="15" t="n">
        <v>0.0002080949986431602</v>
      </c>
      <c r="H232" s="16" t="n">
        <v>103.5</v>
      </c>
      <c r="I232" s="15" t="n">
        <v>0.008771929824561431</v>
      </c>
      <c r="J232" s="15" t="n">
        <v>0.000517492958702348</v>
      </c>
      <c r="K232" s="15" t="n">
        <v>0.002071579182991501</v>
      </c>
    </row>
    <row r="233">
      <c r="A233" s="13" t="n">
        <v>44105</v>
      </c>
      <c r="B233" s="12" t="n">
        <v>230</v>
      </c>
      <c r="C233" s="15" t="n">
        <v>0.00284886719870204</v>
      </c>
      <c r="D233" s="15" t="n">
        <v>0.002607847783393481</v>
      </c>
      <c r="E233" s="15" t="n">
        <v>0.002359709123880929</v>
      </c>
      <c r="F233" s="15" t="n">
        <v>0.002228448130553673</v>
      </c>
      <c r="G233" s="15" t="n">
        <v>0.0002080949986431602</v>
      </c>
    </row>
    <row r="234">
      <c r="A234" s="13" t="n">
        <v>44136</v>
      </c>
      <c r="B234" s="12" t="n">
        <v>231</v>
      </c>
      <c r="C234" s="15" t="n">
        <v>0.08593486905989006</v>
      </c>
      <c r="D234" s="15" t="n">
        <v>0.06489391455359945</v>
      </c>
      <c r="E234" s="15" t="n">
        <v>0.04764165117561345</v>
      </c>
      <c r="F234" s="15" t="n">
        <v>0.002228448130553673</v>
      </c>
      <c r="G234" s="15" t="n">
        <v>8.329516327321151e-05</v>
      </c>
    </row>
    <row r="235">
      <c r="A235" s="13" t="n">
        <v>44166</v>
      </c>
      <c r="B235" s="12" t="n">
        <v>232</v>
      </c>
      <c r="C235" s="15" t="n">
        <v>0.01094788192552501</v>
      </c>
      <c r="D235" s="15" t="n">
        <v>0.007902285180322842</v>
      </c>
      <c r="E235" s="15" t="n">
        <v>0.005369643225540018</v>
      </c>
      <c r="F235" s="15" t="n">
        <v>0.004115063828574517</v>
      </c>
      <c r="G235" s="15" t="n">
        <v>8.329516327321151e-05</v>
      </c>
      <c r="H235" s="16" t="n">
        <v>103.9</v>
      </c>
      <c r="I235" s="15" t="n">
        <v>0.003864734299517059</v>
      </c>
      <c r="J235" s="15" t="n">
        <v>0.006318332062039245</v>
      </c>
      <c r="K235" s="15" t="n">
        <v>0.02551386670677158</v>
      </c>
    </row>
    <row r="236">
      <c r="A236" s="13" t="n">
        <v>44197</v>
      </c>
      <c r="B236" s="12" t="n">
        <v>233</v>
      </c>
      <c r="C236" s="15" t="n">
        <v>0.0006519948599657759</v>
      </c>
      <c r="D236" s="15" t="n">
        <v>-0.0001081251067842615</v>
      </c>
      <c r="E236" s="15" t="n">
        <v>-0.000808298848594814</v>
      </c>
      <c r="F236" s="15" t="n">
        <v>0.004115063828574517</v>
      </c>
      <c r="G236" s="15" t="n">
        <v>8.329516327321151e-05</v>
      </c>
    </row>
    <row r="237">
      <c r="A237" s="13" t="n">
        <v>44228</v>
      </c>
      <c r="B237" s="12" t="n">
        <v>234</v>
      </c>
      <c r="C237" s="15" t="n">
        <v>0.003229234090286325</v>
      </c>
      <c r="D237" s="15" t="n">
        <v>-0.002176907494749853</v>
      </c>
      <c r="E237" s="15" t="n">
        <v>-0.007047929514495021</v>
      </c>
      <c r="F237" s="15" t="n">
        <v>0.004115063828574517</v>
      </c>
      <c r="G237" s="15" t="n">
        <v>8.329516327321151e-05</v>
      </c>
    </row>
    <row r="238">
      <c r="A238" s="13" t="n">
        <v>44256</v>
      </c>
      <c r="B238" s="12" t="n">
        <v>235</v>
      </c>
      <c r="C238" s="15" t="n">
        <v>0.03468901203528978</v>
      </c>
      <c r="D238" s="15" t="n">
        <v>0.02692602773603796</v>
      </c>
      <c r="E238" s="15" t="n">
        <v>0.02071701896267462</v>
      </c>
      <c r="F238" s="15" t="n">
        <v>0.003315427371197943</v>
      </c>
      <c r="G238" s="15" t="n">
        <v>8.329516327321151e-05</v>
      </c>
      <c r="H238" s="16" t="n">
        <v>104.3</v>
      </c>
      <c r="I238" s="15" t="n">
        <v>0.003849855630413845</v>
      </c>
      <c r="J238" s="15" t="n">
        <v>0.003857294964965452</v>
      </c>
      <c r="K238" s="15" t="n">
        <v>0.01551868199443396</v>
      </c>
    </row>
    <row r="239">
      <c r="A239" s="13" t="n">
        <v>44287</v>
      </c>
      <c r="B239" s="12" t="n">
        <v>236</v>
      </c>
      <c r="C239" s="15" t="n">
        <v>0.02195519735282869</v>
      </c>
      <c r="D239" s="15" t="n">
        <v>0.01748896580453406</v>
      </c>
      <c r="E239" s="15" t="n">
        <v>0.01385222132864671</v>
      </c>
      <c r="F239" s="15" t="n">
        <v>0.003315427371197943</v>
      </c>
      <c r="G239" s="15" t="n">
        <v>8.329516327321151e-05</v>
      </c>
    </row>
    <row r="240">
      <c r="A240" s="13" t="n">
        <v>44317</v>
      </c>
      <c r="B240" s="12" t="n">
        <v>237</v>
      </c>
      <c r="C240" s="15" t="n">
        <v>0.02881905689033447</v>
      </c>
      <c r="D240" s="15" t="n">
        <v>0.02210041424036614</v>
      </c>
      <c r="E240" s="15" t="n">
        <v>0.01667430664773347</v>
      </c>
      <c r="F240" s="15" t="n">
        <v>0.003315427371197943</v>
      </c>
      <c r="G240" s="15" t="n">
        <v>8.329516327321151e-05</v>
      </c>
    </row>
    <row r="241">
      <c r="A241" s="13" t="n">
        <v>44348</v>
      </c>
      <c r="B241" s="12" t="n">
        <v>238</v>
      </c>
      <c r="C241" s="15" t="n">
        <v>0.0183528333837637</v>
      </c>
      <c r="D241" s="15" t="n">
        <v>0.0146468467242339</v>
      </c>
      <c r="E241" s="15" t="n">
        <v>0.01166451203537985</v>
      </c>
      <c r="F241" s="15" t="n">
        <v>0.003466459879168493</v>
      </c>
      <c r="G241" s="15" t="n">
        <v>8.329516327321151e-05</v>
      </c>
      <c r="H241" s="16" t="n">
        <v>104.8</v>
      </c>
      <c r="I241" s="15" t="n">
        <v>0.004793863854266611</v>
      </c>
      <c r="J241" s="15" t="n">
        <v>0.004321859742340228</v>
      </c>
      <c r="K241" s="15" t="n">
        <v>0.01739983305097947</v>
      </c>
    </row>
    <row r="242">
      <c r="A242" s="13" t="n">
        <v>44378</v>
      </c>
      <c r="B242" s="12" t="n">
        <v>239</v>
      </c>
      <c r="C242" s="15" t="n">
        <v>0.01729507607299078</v>
      </c>
      <c r="D242" s="15" t="n">
        <v>0.01541616709683485</v>
      </c>
      <c r="E242" s="15" t="n">
        <v>0.0141070447544391</v>
      </c>
      <c r="F242" s="15" t="n">
        <v>0.003466459879168493</v>
      </c>
      <c r="G242" s="15" t="n">
        <v>8.329516327321151e-05</v>
      </c>
    </row>
    <row r="243">
      <c r="A243" s="13" t="n">
        <v>44409</v>
      </c>
      <c r="B243" s="12" t="n">
        <v>240</v>
      </c>
      <c r="C243" s="15" t="n">
        <v>0.02276250412858778</v>
      </c>
      <c r="D243" s="15" t="n">
        <v>0.01733084003939254</v>
      </c>
      <c r="E243" s="15" t="n">
        <v>0.01291067510771436</v>
      </c>
      <c r="F243" s="15" t="n">
        <v>0.003466459879168493</v>
      </c>
      <c r="G243" s="15" t="n">
        <v>8.329516327321151e-05</v>
      </c>
    </row>
    <row r="244">
      <c r="A244" s="13" t="n">
        <v>44440</v>
      </c>
      <c r="B244" s="12" t="n">
        <v>241</v>
      </c>
      <c r="C244" s="15" t="n">
        <v>-0.01980180090290589</v>
      </c>
      <c r="D244" s="15" t="n">
        <v>-0.01698313102941829</v>
      </c>
      <c r="E244" s="15" t="n">
        <v>-0.01484665258701276</v>
      </c>
      <c r="F244" s="15" t="n">
        <v>0.003771177537910786</v>
      </c>
      <c r="G244" s="15" t="n">
        <v>8.329516327321151e-05</v>
      </c>
      <c r="H244" s="16" t="n">
        <v>105.4</v>
      </c>
      <c r="I244" s="15" t="n">
        <v>0.005725190839694694</v>
      </c>
      <c r="J244" s="15" t="n">
        <v>0.005259527346980652</v>
      </c>
      <c r="K244" s="15" t="n">
        <v>0.02120466789001751</v>
      </c>
    </row>
    <row r="245">
      <c r="A245" s="13" t="n">
        <v>44470</v>
      </c>
      <c r="B245" s="12" t="n">
        <v>242</v>
      </c>
      <c r="C245" s="15" t="n">
        <v>-0.007304632326796013</v>
      </c>
      <c r="D245" s="15" t="n">
        <v>-0.009797764951836308</v>
      </c>
      <c r="E245" s="15" t="n">
        <v>-0.01225843002428337</v>
      </c>
      <c r="F245" s="15" t="n">
        <v>0.003771177537910786</v>
      </c>
      <c r="G245" s="15" t="n">
        <v>8.329516327321151e-05</v>
      </c>
    </row>
    <row r="246">
      <c r="A246" s="13" t="n">
        <v>44501</v>
      </c>
      <c r="B246" s="12" t="n">
        <v>243</v>
      </c>
      <c r="C246" s="15" t="n">
        <v>9.388036983787845e-05</v>
      </c>
      <c r="D246" s="15" t="n">
        <v>0.002104168209435793</v>
      </c>
      <c r="E246" s="15" t="n">
        <v>0.003954115067981393</v>
      </c>
      <c r="F246" s="15" t="n">
        <v>0.003771177537910786</v>
      </c>
      <c r="G246" s="15" t="n">
        <v>8.329516327321151e-05</v>
      </c>
    </row>
    <row r="247">
      <c r="A247" s="13" t="n">
        <v>44531</v>
      </c>
      <c r="B247" s="12" t="n">
        <v>244</v>
      </c>
      <c r="C247" s="15" t="n">
        <v>0.02619511571162594</v>
      </c>
      <c r="D247" s="15" t="n">
        <v>0.02023152860199373</v>
      </c>
      <c r="E247" s="15" t="n">
        <v>0.01538975892981726</v>
      </c>
      <c r="F247" s="15" t="n">
        <v>0.004840879632854511</v>
      </c>
      <c r="G247" s="15" t="n">
        <v>8.329516327321151e-05</v>
      </c>
      <c r="H247" s="16" t="n">
        <v>106.6</v>
      </c>
      <c r="I247" s="15" t="n">
        <v>0.01138519924098658</v>
      </c>
      <c r="J247" s="15" t="n">
        <v>0.008555195040340635</v>
      </c>
      <c r="K247" s="15" t="n">
        <v>0.03466243835692251</v>
      </c>
    </row>
    <row r="248">
      <c r="A248" s="13" t="n">
        <v>44562</v>
      </c>
      <c r="B248" s="12" t="n">
        <v>245</v>
      </c>
      <c r="C248" s="15" t="n">
        <v>-0.03143118304230617</v>
      </c>
      <c r="D248" s="15" t="n">
        <v>-0.02551418203406071</v>
      </c>
      <c r="E248" s="15" t="n">
        <v>-0.02071447625778179</v>
      </c>
      <c r="F248" s="15" t="n">
        <v>0.004840879632854511</v>
      </c>
      <c r="G248" s="15" t="n">
        <v>8.329516327321151e-05</v>
      </c>
    </row>
    <row r="249">
      <c r="A249" s="13" t="n">
        <v>44593</v>
      </c>
      <c r="B249" s="12" t="n">
        <v>246</v>
      </c>
      <c r="C249" s="15" t="n">
        <v>-0.01720080991717196</v>
      </c>
      <c r="D249" s="15" t="n">
        <v>-0.01424998112201551</v>
      </c>
      <c r="E249" s="15" t="n">
        <v>-0.01209877246634929</v>
      </c>
      <c r="F249" s="15" t="n">
        <v>0.004840879632854511</v>
      </c>
      <c r="G249" s="15" t="n">
        <v>8.329516327321151e-05</v>
      </c>
    </row>
    <row r="250">
      <c r="A250" s="13" t="n">
        <v>44621</v>
      </c>
      <c r="B250" s="12" t="n">
        <v>247</v>
      </c>
      <c r="C250" s="15" t="n">
        <v>0.01698844115632043</v>
      </c>
      <c r="D250" s="15" t="n">
        <v>0.008555624731085787</v>
      </c>
      <c r="E250" s="15" t="n">
        <v>0.001061169613330787</v>
      </c>
      <c r="F250" s="15" t="n">
        <v>0.006647469288276753</v>
      </c>
      <c r="G250" s="15" t="n">
        <v>8.329516327321151e-05</v>
      </c>
      <c r="H250" s="16" t="n">
        <v>108.4</v>
      </c>
      <c r="I250" s="15" t="n">
        <v>0.01688555347091936</v>
      </c>
      <c r="J250" s="15" t="n">
        <v>0.01413537635595297</v>
      </c>
      <c r="K250" s="15" t="n">
        <v>0.05775169602974994</v>
      </c>
    </row>
    <row r="251">
      <c r="A251" s="13" t="n">
        <v>44652</v>
      </c>
      <c r="B251" s="12" t="n">
        <v>248</v>
      </c>
      <c r="C251" s="15" t="n">
        <v>-0.009960047846161545</v>
      </c>
      <c r="D251" s="15" t="n">
        <v>-0.01016372429162861</v>
      </c>
      <c r="E251" s="15" t="n">
        <v>-0.01058881571430122</v>
      </c>
      <c r="F251" s="15" t="n">
        <v>0.006647469288276753</v>
      </c>
      <c r="G251" s="15" t="n">
        <v>8.329516327321151e-05</v>
      </c>
    </row>
    <row r="252">
      <c r="A252" s="13" t="n">
        <v>44682</v>
      </c>
      <c r="B252" s="12" t="n">
        <v>249</v>
      </c>
      <c r="C252" s="15" t="n">
        <v>-0.01059933909435629</v>
      </c>
      <c r="D252" s="15" t="n">
        <v>-0.00878008166751235</v>
      </c>
      <c r="E252" s="15" t="n">
        <v>-0.007297219526580768</v>
      </c>
      <c r="F252" s="15" t="n">
        <v>0.006647469288276753</v>
      </c>
      <c r="G252" s="15" t="n">
        <v>0.0002911998282955075</v>
      </c>
    </row>
    <row r="253">
      <c r="A253" s="13" t="n">
        <v>44713</v>
      </c>
      <c r="B253" s="12" t="n">
        <v>250</v>
      </c>
      <c r="C253" s="15" t="n">
        <v>-0.06209873245947317</v>
      </c>
      <c r="D253" s="15" t="n">
        <v>-0.04903209454904583</v>
      </c>
      <c r="E253" s="15" t="n">
        <v>-0.03846482499069778</v>
      </c>
      <c r="F253" s="15" t="n">
        <v>0.007490469588246729</v>
      </c>
      <c r="G253" s="15" t="n">
        <v>0.0007055886783371434</v>
      </c>
      <c r="H253" s="16" t="n">
        <v>110.2</v>
      </c>
      <c r="I253" s="15" t="n">
        <v>0.0166051660516604</v>
      </c>
      <c r="J253" s="15" t="n">
        <v>0.01674535976128988</v>
      </c>
      <c r="K253" s="15" t="n">
        <v>0.06868274218380033</v>
      </c>
    </row>
    <row r="254">
      <c r="A254" s="13" t="n">
        <v>44743</v>
      </c>
      <c r="B254" s="12" t="n">
        <v>251</v>
      </c>
      <c r="C254" s="15" t="n">
        <v>0.04554613539381427</v>
      </c>
      <c r="D254" s="15" t="n">
        <v>0.03913661786926564</v>
      </c>
      <c r="E254" s="15" t="n">
        <v>0.03423570132919516</v>
      </c>
      <c r="F254" s="15" t="n">
        <v>0.007490469588246729</v>
      </c>
      <c r="G254" s="15" t="n">
        <v>0.001118098515767496</v>
      </c>
    </row>
    <row r="255">
      <c r="A255" s="13" t="n">
        <v>44774</v>
      </c>
      <c r="B255" s="12" t="n">
        <v>252</v>
      </c>
      <c r="C255" s="15" t="n">
        <v>-0.01316961766733999</v>
      </c>
      <c r="D255" s="15" t="n">
        <v>-0.01298155630567143</v>
      </c>
      <c r="E255" s="15" t="n">
        <v>-0.01323441275906303</v>
      </c>
      <c r="F255" s="15" t="n">
        <v>0.007490469588246729</v>
      </c>
      <c r="G255" s="15" t="n">
        <v>0.001528747067961245</v>
      </c>
    </row>
    <row r="256">
      <c r="A256" s="13" t="n">
        <v>44805</v>
      </c>
      <c r="B256" s="12" t="n">
        <v>253</v>
      </c>
      <c r="C256" s="15" t="n">
        <v>-0.05343947520112421</v>
      </c>
      <c r="D256" s="15" t="n">
        <v>-0.04230740248723566</v>
      </c>
      <c r="E256" s="15" t="n">
        <v>-0.03336203054618792</v>
      </c>
      <c r="F256" s="15" t="n">
        <v>0.007401445922119221</v>
      </c>
      <c r="G256" s="15" t="n">
        <v>0.001937551809032545</v>
      </c>
      <c r="H256" s="16" t="n">
        <v>112</v>
      </c>
      <c r="I256" s="15" t="n">
        <v>0.01633393829401086</v>
      </c>
      <c r="J256" s="15" t="n">
        <v>0.01646955217283563</v>
      </c>
      <c r="K256" s="15" t="n">
        <v>0.06752362836885428</v>
      </c>
    </row>
    <row r="257">
      <c r="A257" s="13" t="n">
        <v>44835</v>
      </c>
      <c r="B257" s="12" t="n">
        <v>254</v>
      </c>
      <c r="C257" s="15" t="n">
        <v>0.06330707568924548</v>
      </c>
      <c r="D257" s="15" t="n">
        <v>0.04950097039330875</v>
      </c>
      <c r="E257" s="15" t="n">
        <v>0.03833571667341409</v>
      </c>
      <c r="F257" s="15" t="n">
        <v>0.007401445922119221</v>
      </c>
      <c r="G257" s="15" t="n">
        <v>0.002141268142999309</v>
      </c>
    </row>
    <row r="258">
      <c r="A258" s="13" t="n">
        <v>44866</v>
      </c>
      <c r="B258" s="12" t="n">
        <v>255</v>
      </c>
      <c r="C258" s="15" t="n">
        <v>0.06663299288164003</v>
      </c>
      <c r="D258" s="15" t="n">
        <v>0.05247355585726562</v>
      </c>
      <c r="E258" s="15" t="n">
        <v>0.0410664367906713</v>
      </c>
      <c r="F258" s="15" t="n">
        <v>0.007401445922119221</v>
      </c>
      <c r="G258" s="15" t="n">
        <v>0.002344529964669828</v>
      </c>
    </row>
    <row r="259">
      <c r="A259" s="13" t="n">
        <v>44896</v>
      </c>
      <c r="B259" s="12" t="n">
        <v>256</v>
      </c>
      <c r="C259" s="15" t="n">
        <v>-0.02807552483239272</v>
      </c>
      <c r="D259" s="15" t="n">
        <v>-0.02349297049196726</v>
      </c>
      <c r="E259" s="15" t="n">
        <v>-0.02000220257348934</v>
      </c>
      <c r="F259" s="15" t="n">
        <v>0.006594186479876196</v>
      </c>
      <c r="G259" s="15" t="n">
        <v>0.002547339389213255</v>
      </c>
      <c r="H259" s="16" t="n">
        <v>113.3</v>
      </c>
      <c r="I259" s="15" t="n">
        <v>0.01160714285714293</v>
      </c>
      <c r="J259" s="15" t="n">
        <v>0.0139705405755769</v>
      </c>
      <c r="K259" s="15" t="n">
        <v>0.05706416327695418</v>
      </c>
    </row>
    <row r="260">
      <c r="A260" s="13" t="n">
        <v>44927</v>
      </c>
      <c r="B260" s="12" t="n">
        <v>257</v>
      </c>
      <c r="C260" s="15" t="n">
        <v>0.05220806979481231</v>
      </c>
      <c r="D260" s="15" t="n">
        <v>0.04329535711965245</v>
      </c>
      <c r="E260" s="15" t="n">
        <v>0.036249915610991</v>
      </c>
      <c r="F260" s="15" t="n">
        <v>0.006594186479876196</v>
      </c>
      <c r="G260" s="15" t="n">
        <v>0.002547339389213255</v>
      </c>
    </row>
    <row r="261">
      <c r="A261" s="13" t="n">
        <v>44958</v>
      </c>
      <c r="B261" s="12" t="n">
        <v>258</v>
      </c>
      <c r="C261" s="15" t="n">
        <v>-0.007614816212360219</v>
      </c>
      <c r="D261" s="15" t="n">
        <v>-0.007222559402360157</v>
      </c>
      <c r="E261" s="15" t="n">
        <v>-0.007011515766780026</v>
      </c>
      <c r="F261" s="15" t="n">
        <v>0.006594186479876196</v>
      </c>
      <c r="G261" s="15" t="n">
        <v>0.002749698516855581</v>
      </c>
    </row>
    <row r="262">
      <c r="A262" s="13" t="n">
        <v>44986</v>
      </c>
      <c r="B262" s="12" t="n">
        <v>259</v>
      </c>
      <c r="C262" s="15" t="n">
        <v>0.01189992979476246</v>
      </c>
      <c r="D262" s="15" t="n">
        <v>0.01322925754559612</v>
      </c>
      <c r="E262" s="15" t="n">
        <v>0.01471810321020074</v>
      </c>
      <c r="F262" s="15" t="n">
        <v>0.005665237514367316</v>
      </c>
      <c r="G262" s="15" t="n">
        <v>0.002951609433021529</v>
      </c>
      <c r="H262" s="16" t="n">
        <v>114.5</v>
      </c>
      <c r="I262" s="15" t="n">
        <v>0.01059135039717574</v>
      </c>
      <c r="J262" s="15" t="n">
        <v>0.01109924662715933</v>
      </c>
      <c r="K262" s="15" t="n">
        <v>0.04514163074956223</v>
      </c>
    </row>
    <row r="263">
      <c r="A263" s="13" t="n">
        <v>45017</v>
      </c>
      <c r="B263" s="12" t="n">
        <v>260</v>
      </c>
      <c r="C263" s="15" t="n">
        <v>0.02810991190078065</v>
      </c>
      <c r="D263" s="15" t="n">
        <v>0.0216039524738751</v>
      </c>
      <c r="E263" s="15" t="n">
        <v>0.01629169581873285</v>
      </c>
      <c r="F263" s="15" t="n">
        <v>0.005665237514367316</v>
      </c>
      <c r="G263" s="15" t="n">
        <v>0.002951609433021529</v>
      </c>
    </row>
    <row r="264">
      <c r="A264" s="13" t="n">
        <v>45047</v>
      </c>
      <c r="B264" s="12" t="n">
        <v>261</v>
      </c>
      <c r="C264" s="15" t="n">
        <v>-0.02297916939568643</v>
      </c>
      <c r="D264" s="15" t="n">
        <v>-0.01834376711681232</v>
      </c>
      <c r="E264" s="15" t="n">
        <v>-0.01470177207209389</v>
      </c>
      <c r="F264" s="15" t="n">
        <v>0.005665237514367316</v>
      </c>
      <c r="G264" s="15" t="n">
        <v>0.003153074208473994</v>
      </c>
    </row>
    <row r="265">
      <c r="A265" s="13" t="n">
        <v>45078</v>
      </c>
      <c r="B265" s="12" t="n">
        <v>262</v>
      </c>
      <c r="C265" s="15" t="n">
        <v>0.0202270709785031</v>
      </c>
      <c r="D265" s="15" t="n">
        <v>0.01312254812378674</v>
      </c>
      <c r="E265" s="15" t="n">
        <v>0.00706253853683895</v>
      </c>
      <c r="F265" s="15" t="n">
        <v>0.004775129527967437</v>
      </c>
      <c r="G265" s="15" t="n">
        <v>0.00335409489945282</v>
      </c>
      <c r="H265" s="16" t="n">
        <v>115.2</v>
      </c>
      <c r="I265" s="15" t="n">
        <v>0.006113537117903967</v>
      </c>
      <c r="J265" s="15" t="n">
        <v>0.008352443757539851</v>
      </c>
      <c r="K265" s="15" t="n">
        <v>0.03383069057413457</v>
      </c>
    </row>
    <row r="266">
      <c r="A266" s="13" t="n">
        <v>45108</v>
      </c>
      <c r="B266" s="12" t="n">
        <v>263</v>
      </c>
      <c r="C266" s="15" t="n">
        <v>0.02464749043829172</v>
      </c>
      <c r="D266" s="15" t="n">
        <v>0.01944346922172032</v>
      </c>
      <c r="E266" s="15" t="n">
        <v>0.01516276250358702</v>
      </c>
      <c r="F266" s="15" t="n">
        <v>0.004775129527967437</v>
      </c>
      <c r="G266" s="15" t="n">
        <v>0.00335409489945282</v>
      </c>
    </row>
    <row r="267">
      <c r="A267" s="13" t="n">
        <v>45139</v>
      </c>
      <c r="B267" s="12" t="n">
        <v>264</v>
      </c>
      <c r="C267" s="15" t="n">
        <v>-0.009813583492330509</v>
      </c>
      <c r="D267" s="15" t="n">
        <v>-0.006010161037020461</v>
      </c>
      <c r="E267" s="15" t="n">
        <v>-0.002849059547803456</v>
      </c>
      <c r="F267" s="15" t="n">
        <v>0.004775129527967437</v>
      </c>
      <c r="G267" s="15" t="n">
        <v>0.00335409489945282</v>
      </c>
    </row>
    <row r="268">
      <c r="A268" s="13" t="n">
        <v>45170</v>
      </c>
      <c r="B268" s="12" t="n">
        <v>265</v>
      </c>
      <c r="C268" s="15" t="n">
        <v>-0.02798322092445126</v>
      </c>
      <c r="D268" s="15" t="n">
        <v>-0.02262189687668249</v>
      </c>
      <c r="E268" s="15" t="n">
        <v>-0.01843492301361384</v>
      </c>
      <c r="F268" s="15" t="n">
        <v>0.004887551462715578</v>
      </c>
      <c r="G268" s="15" t="n">
        <v>0.00335409489945282</v>
      </c>
      <c r="H268" s="16" t="n">
        <v>116.5</v>
      </c>
      <c r="I268" s="15" t="n">
        <v>0.0112847222222221</v>
      </c>
      <c r="J268" s="15" t="n">
        <v>0.008699129670063033</v>
      </c>
      <c r="K268" s="15" t="n">
        <v>0.03525320677061172</v>
      </c>
    </row>
    <row r="269">
      <c r="A269" s="13" t="n">
        <v>45200</v>
      </c>
      <c r="B269" s="12" t="n">
        <v>266</v>
      </c>
      <c r="C269" s="15" t="n">
        <v>-0.02627717222144504</v>
      </c>
      <c r="D269" s="15" t="n">
        <v>-0.02208344518570283</v>
      </c>
      <c r="E269" s="15" t="n">
        <v>-0.01889586189335804</v>
      </c>
      <c r="F269" s="15" t="n">
        <v>0.004887551462715578</v>
      </c>
      <c r="G269" s="15" t="n">
        <v>0.00335409489945282</v>
      </c>
    </row>
    <row r="270">
      <c r="A270" s="13" t="n">
        <v>45231</v>
      </c>
      <c r="B270" s="12" t="n">
        <v>267</v>
      </c>
      <c r="C270" s="15" t="n">
        <v>0.04264068706706148</v>
      </c>
      <c r="D270" s="15" t="n">
        <v>0.03668419409899649</v>
      </c>
      <c r="E270" s="15" t="n">
        <v>0.03211834344456931</v>
      </c>
      <c r="F270" s="15" t="n">
        <v>0.004887551462715578</v>
      </c>
      <c r="G270" s="15" t="n">
        <v>0.003554673547810028</v>
      </c>
    </row>
    <row r="271">
      <c r="A271" s="13" t="n">
        <v>45261</v>
      </c>
      <c r="B271" s="12" t="n">
        <v>268</v>
      </c>
      <c r="C271" s="15" t="n">
        <v>0.04731876261461362</v>
      </c>
      <c r="D271" s="15" t="n">
        <v>0.03982713670803818</v>
      </c>
      <c r="E271" s="15" t="n">
        <v>0.0338776005905837</v>
      </c>
      <c r="F271" s="15" t="n">
        <v>0.004870535961837286</v>
      </c>
      <c r="G271" s="15" t="n">
        <v>0.003554673547810028</v>
      </c>
      <c r="H271" s="16" t="n">
        <v>117.2</v>
      </c>
      <c r="I271" s="15" t="n">
        <v>0.006008583690987113</v>
      </c>
      <c r="J271" s="15" t="n">
        <v>0.008646652956604606</v>
      </c>
      <c r="K271" s="15" t="n">
        <v>0.03503779091472903</v>
      </c>
    </row>
    <row r="272">
      <c r="A272" s="13" t="n">
        <v>45292</v>
      </c>
      <c r="B272" s="12" t="n">
        <v>269</v>
      </c>
      <c r="C272" s="15" t="n">
        <v>0.01984261914407786</v>
      </c>
      <c r="D272" s="15" t="n">
        <v>0.01532171020653056</v>
      </c>
      <c r="E272" s="15" t="n">
        <v>0.011605676544385</v>
      </c>
      <c r="F272" s="15" t="n">
        <v>0.004870535961837286</v>
      </c>
      <c r="G272" s="15" t="n">
        <v>0.003554673547810028</v>
      </c>
    </row>
    <row r="273">
      <c r="A273" s="13" t="n">
        <v>45323</v>
      </c>
      <c r="B273" s="12" t="n">
        <v>270</v>
      </c>
      <c r="C273" s="15" t="n">
        <v>0.02116776541493958</v>
      </c>
      <c r="D273" s="15" t="n">
        <v>0.01614610398919664</v>
      </c>
      <c r="E273" s="15" t="n">
        <v>0.01205458046295052</v>
      </c>
      <c r="F273" s="15" t="n">
        <v>0.004870535961837286</v>
      </c>
      <c r="G273" s="15" t="n">
        <v>0.003554673547810028</v>
      </c>
    </row>
    <row r="274">
      <c r="A274" s="13" t="n">
        <v>45352</v>
      </c>
      <c r="B274" s="12" t="n">
        <v>271</v>
      </c>
      <c r="C274" s="15" t="n">
        <v>0.02726141297742478</v>
      </c>
      <c r="D274" s="15" t="n">
        <v>0.02235407131872865</v>
      </c>
      <c r="E274" s="15" t="n">
        <v>0.01842108001739987</v>
      </c>
      <c r="F274" s="15" t="n">
        <v>0.004008656013154699</v>
      </c>
      <c r="G274" s="15" t="n">
        <v>0.003554673547810028</v>
      </c>
      <c r="H274" s="16" t="n">
        <v>117.9</v>
      </c>
      <c r="I274" s="15" t="n">
        <v>0.005972696245733822</v>
      </c>
      <c r="J274" s="15" t="n">
        <v>0.005990639968360467</v>
      </c>
      <c r="K274" s="15" t="n">
        <v>0.02417874772752771</v>
      </c>
    </row>
    <row r="275">
      <c r="A275" s="13" t="n">
        <v>45383</v>
      </c>
      <c r="B275" s="12" t="n">
        <v>272</v>
      </c>
      <c r="C275" s="15" t="n">
        <v>-0.02957378968388151</v>
      </c>
      <c r="D275" s="15" t="n">
        <v>-0.02445875307762555</v>
      </c>
      <c r="E275" s="15" t="n">
        <v>-0.02056610768556311</v>
      </c>
      <c r="F275" s="15" t="n">
        <v>0.004008656013154699</v>
      </c>
      <c r="G275" s="15" t="n">
        <v>0.003554673547810028</v>
      </c>
    </row>
    <row r="276">
      <c r="A276" s="13" t="n">
        <v>45413</v>
      </c>
      <c r="B276" s="12" t="n">
        <v>273</v>
      </c>
      <c r="C276" s="15" t="n">
        <v>0.02035061636403783</v>
      </c>
      <c r="D276" s="15" t="n">
        <v>0.01631620447771029</v>
      </c>
      <c r="E276" s="15" t="n">
        <v>0.01308560505022862</v>
      </c>
      <c r="F276" s="15" t="n">
        <v>0.004008656013154699</v>
      </c>
      <c r="G276" s="15" t="n">
        <v>0.003554673547810028</v>
      </c>
    </row>
    <row r="277">
      <c r="A277" s="13" t="n">
        <v>45444</v>
      </c>
      <c r="B277" s="12" t="n">
        <v>274</v>
      </c>
      <c r="C277" s="15" t="n">
        <v>-0.002182263501932328</v>
      </c>
      <c r="D277" s="15" t="n">
        <v>-0.0004088842849628871</v>
      </c>
      <c r="E277" s="15" t="n">
        <v>0.001008722544130341</v>
      </c>
      <c r="F277" s="15" t="n">
        <v>0.003997070658109836</v>
      </c>
      <c r="G277" s="15" t="n">
        <v>0.003554673547810028</v>
      </c>
      <c r="H277" s="16" t="n">
        <v>118.6</v>
      </c>
      <c r="I277" s="15" t="n">
        <v>0.00593723494486853</v>
      </c>
      <c r="J277" s="15" t="n">
        <v>0.005954965595301176</v>
      </c>
      <c r="K277" s="15" t="n">
        <v>0.02403347802097255</v>
      </c>
    </row>
    <row r="278">
      <c r="A278" s="13" t="n">
        <v>45474</v>
      </c>
      <c r="B278" s="12" t="n">
        <v>275</v>
      </c>
      <c r="C278" s="15" t="n">
        <v>0.04071539641497512</v>
      </c>
      <c r="D278" s="15" t="n">
        <v>0.0333778003551284</v>
      </c>
      <c r="E278" s="15" t="n">
        <v>0.02752643936301335</v>
      </c>
      <c r="F278" s="15" t="n">
        <v>0.003997070658109836</v>
      </c>
      <c r="G278" s="15" t="n">
        <v>0.003554673547810028</v>
      </c>
    </row>
    <row r="279">
      <c r="A279" s="13" t="n">
        <v>45505</v>
      </c>
      <c r="B279" s="12" t="n">
        <v>276</v>
      </c>
      <c r="C279" s="15" t="n">
        <v>-9.198841143177931e-05</v>
      </c>
      <c r="D279" s="15" t="n">
        <v>0.001900114939543859</v>
      </c>
      <c r="E279" s="15" t="n">
        <v>0.003609937882723642</v>
      </c>
      <c r="F279" s="15" t="n">
        <v>0.003997070658109836</v>
      </c>
      <c r="G279" s="15" t="n">
        <v>0.003554673547810028</v>
      </c>
    </row>
    <row r="280">
      <c r="A280" s="13" t="n">
        <v>45536</v>
      </c>
      <c r="B280" s="12" t="n">
        <v>277</v>
      </c>
      <c r="C280" s="15" t="n">
        <v>0.008900964070342637</v>
      </c>
      <c r="D280" s="15" t="n">
        <v>0.00767883578966192</v>
      </c>
      <c r="E280" s="15" t="n">
        <v>0.00661542798295387</v>
      </c>
      <c r="F280" s="15" t="n">
        <v>0.003711725384944575</v>
      </c>
      <c r="G280" s="15" t="n">
        <v>0.003554673547810028</v>
      </c>
      <c r="H280" s="16" t="n">
        <v>119.1</v>
      </c>
      <c r="I280" s="15" t="n">
        <v>0.004215851602023646</v>
      </c>
      <c r="J280" s="15" t="n">
        <v>0.005076543273446088</v>
      </c>
      <c r="K280" s="15" t="n">
        <v>0.02046132482389518</v>
      </c>
    </row>
    <row r="281">
      <c r="A281" s="13" t="n">
        <v>45566</v>
      </c>
      <c r="B281" s="12" t="n">
        <v>278</v>
      </c>
      <c r="C281" s="15" t="n">
        <v>-0.007003340150129625</v>
      </c>
      <c r="D281" s="15" t="n">
        <v>-0.007495959691949121</v>
      </c>
      <c r="E281" s="15" t="n">
        <v>-0.008159116427603435</v>
      </c>
      <c r="F281" s="15" t="n">
        <v>0.003711725384944575</v>
      </c>
      <c r="G281" s="15" t="n">
        <v>0.003554673547810028</v>
      </c>
    </row>
    <row r="282">
      <c r="A282" s="13" t="n">
        <v>45597</v>
      </c>
      <c r="B282" s="12" t="n">
        <v>279</v>
      </c>
      <c r="C282" s="15" t="n">
        <v>0.02194374265604382</v>
      </c>
      <c r="D282" s="15" t="n">
        <v>0.01840425870363176</v>
      </c>
      <c r="E282" s="15" t="n">
        <v>0.0155329200910086</v>
      </c>
      <c r="F282" s="15" t="n">
        <v>0.003711725384944575</v>
      </c>
      <c r="G282" s="15" t="n">
        <v>0.003554673547810028</v>
      </c>
    </row>
    <row r="283">
      <c r="A283" s="13" t="n">
        <v>45627</v>
      </c>
      <c r="B283" s="12" t="n">
        <v>280</v>
      </c>
      <c r="C283" s="15" t="n">
        <v>-0.004305703727913827</v>
      </c>
      <c r="D283" s="15" t="n">
        <v>-0.002788863516879454</v>
      </c>
      <c r="E283" s="15" t="n">
        <v>-0.001512998740531245</v>
      </c>
      <c r="F283" s="15" t="n">
        <v>0.003292631358815523</v>
      </c>
      <c r="G283" s="15" t="n">
        <v>0.003554673547810028</v>
      </c>
      <c r="H283" s="16" t="n">
        <v>119.5</v>
      </c>
      <c r="I283" s="15" t="n">
        <v>0.003358522250209939</v>
      </c>
      <c r="J283" s="15" t="n">
        <v>0.003787186926116792</v>
      </c>
      <c r="K283" s="15" t="n">
        <v>0.01523502189429116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AX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>
      <c r="A1" s="14" t="inlineStr">
        <is>
          <t>Retirement Portfolios — Monthly Simulation Engine</t>
        </is>
      </c>
    </row>
    <row r="2">
      <c r="A2" s="17" t="inlineStr">
        <is>
          <t>Retirement Portfolio: 80% Growth / 20% CPIplus</t>
        </is>
      </c>
      <c r="R2" s="17" t="inlineStr">
        <is>
          <t>Retirement Portfolio: 80% Balanced / 20% CPIplus</t>
        </is>
      </c>
      <c r="AI2" s="17" t="inlineStr">
        <is>
          <t>Retirement Portfolio: 80% Conservative / 20% CPIplus</t>
        </is>
      </c>
    </row>
    <row r="3">
      <c r="A3" s="3" t="inlineStr">
        <is>
          <t>Date</t>
        </is>
      </c>
      <c r="B3" s="3" t="inlineStr">
        <is>
          <t>Month #</t>
        </is>
      </c>
      <c r="C3" s="3" t="inlineStr">
        <is>
          <t>Growth Open</t>
        </is>
      </c>
      <c r="D3" s="3" t="inlineStr">
        <is>
          <t>CPIplus Open</t>
        </is>
      </c>
      <c r="E3" s="3" t="inlineStr">
        <is>
          <t>Total Open</t>
        </is>
      </c>
      <c r="F3" s="3" t="inlineStr">
        <is>
          <t>Growth Return</t>
        </is>
      </c>
      <c r="G3" s="3" t="inlineStr">
        <is>
          <t>CPIplus Return</t>
        </is>
      </c>
      <c r="H3" s="3" t="inlineStr">
        <is>
          <t>Growth Post-Return</t>
        </is>
      </c>
      <c r="I3" s="3" t="inlineStr">
        <is>
          <t>CPIplus Post-Return</t>
        </is>
      </c>
      <c r="J3" s="3" t="inlineStr">
        <is>
          <t>Monthly Payment</t>
        </is>
      </c>
      <c r="K3" s="3" t="inlineStr">
        <is>
          <t>CPIplus Post-Drawdown</t>
        </is>
      </c>
      <c r="L3" s="3" t="inlineStr">
        <is>
          <t>Qtr-End?</t>
        </is>
      </c>
      <c r="M3" s="3" t="inlineStr">
        <is>
          <t>CPIplus Weight</t>
        </is>
      </c>
      <c r="N3" s="3" t="inlineStr">
        <is>
          <t>Rebalance?</t>
        </is>
      </c>
      <c r="O3" s="3" t="inlineStr">
        <is>
          <t>Growth Close</t>
        </is>
      </c>
      <c r="P3" s="3" t="inlineStr">
        <is>
          <t>CPIplus Close</t>
        </is>
      </c>
      <c r="R3" s="3" t="inlineStr">
        <is>
          <t>Date</t>
        </is>
      </c>
      <c r="S3" s="3" t="inlineStr">
        <is>
          <t>Month #</t>
        </is>
      </c>
      <c r="T3" s="3" t="inlineStr">
        <is>
          <t>Balanced Open</t>
        </is>
      </c>
      <c r="U3" s="3" t="inlineStr">
        <is>
          <t>CPIplus Open</t>
        </is>
      </c>
      <c r="V3" s="3" t="inlineStr">
        <is>
          <t>Total Open</t>
        </is>
      </c>
      <c r="W3" s="3" t="inlineStr">
        <is>
          <t>Balanced Return</t>
        </is>
      </c>
      <c r="X3" s="3" t="inlineStr">
        <is>
          <t>CPIplus Return</t>
        </is>
      </c>
      <c r="Y3" s="3" t="inlineStr">
        <is>
          <t>Balanced Post-Return</t>
        </is>
      </c>
      <c r="Z3" s="3" t="inlineStr">
        <is>
          <t>CPIplus Post-Return</t>
        </is>
      </c>
      <c r="AA3" s="3" t="inlineStr">
        <is>
          <t>Monthly Payment</t>
        </is>
      </c>
      <c r="AB3" s="3" t="inlineStr">
        <is>
          <t>CPIplus Post-Drawdown</t>
        </is>
      </c>
      <c r="AC3" s="3" t="inlineStr">
        <is>
          <t>Qtr-End?</t>
        </is>
      </c>
      <c r="AD3" s="3" t="inlineStr">
        <is>
          <t>CPIplus Weight</t>
        </is>
      </c>
      <c r="AE3" s="3" t="inlineStr">
        <is>
          <t>Rebalance?</t>
        </is>
      </c>
      <c r="AF3" s="3" t="inlineStr">
        <is>
          <t>Balanced Close</t>
        </is>
      </c>
      <c r="AG3" s="3" t="inlineStr">
        <is>
          <t>CPIplus Close</t>
        </is>
      </c>
      <c r="AI3" s="3" t="inlineStr">
        <is>
          <t>Date</t>
        </is>
      </c>
      <c r="AJ3" s="3" t="inlineStr">
        <is>
          <t>Month #</t>
        </is>
      </c>
      <c r="AK3" s="3" t="inlineStr">
        <is>
          <t>Conservative Open</t>
        </is>
      </c>
      <c r="AL3" s="3" t="inlineStr">
        <is>
          <t>CPIplus Open</t>
        </is>
      </c>
      <c r="AM3" s="3" t="inlineStr">
        <is>
          <t>Total Open</t>
        </is>
      </c>
      <c r="AN3" s="3" t="inlineStr">
        <is>
          <t>Conservative Return</t>
        </is>
      </c>
      <c r="AO3" s="3" t="inlineStr">
        <is>
          <t>CPIplus Return</t>
        </is>
      </c>
      <c r="AP3" s="3" t="inlineStr">
        <is>
          <t>Conservative Post-Return</t>
        </is>
      </c>
      <c r="AQ3" s="3" t="inlineStr">
        <is>
          <t>CPIplus Post-Return</t>
        </is>
      </c>
      <c r="AR3" s="3" t="inlineStr">
        <is>
          <t>Monthly Payment</t>
        </is>
      </c>
      <c r="AS3" s="3" t="inlineStr">
        <is>
          <t>CPIplus Post-Drawdown</t>
        </is>
      </c>
      <c r="AT3" s="3" t="inlineStr">
        <is>
          <t>Qtr-End?</t>
        </is>
      </c>
      <c r="AU3" s="3" t="inlineStr">
        <is>
          <t>CPIplus Weight</t>
        </is>
      </c>
      <c r="AV3" s="3" t="inlineStr">
        <is>
          <t>Rebalance?</t>
        </is>
      </c>
      <c r="AW3" s="3" t="inlineStr">
        <is>
          <t>Conservative Close</t>
        </is>
      </c>
      <c r="AX3" s="3" t="inlineStr">
        <is>
          <t>CPIplus Close</t>
        </is>
      </c>
    </row>
    <row r="4">
      <c r="A4" s="18">
        <f>DATA!A4</f>
        <v/>
      </c>
      <c r="B4">
        <f>DATA!B4</f>
        <v/>
      </c>
      <c r="C4" s="19">
        <f>CONFIG!$B$5*0.8</f>
        <v/>
      </c>
      <c r="D4" s="19">
        <f>CONFIG!$B$5*0.2</f>
        <v/>
      </c>
      <c r="E4" s="19">
        <f>C4+D4</f>
        <v/>
      </c>
      <c r="F4" s="20">
        <f>DATA!C4</f>
        <v/>
      </c>
      <c r="G4" s="20">
        <f>DATA!F4</f>
        <v/>
      </c>
      <c r="H4" s="19">
        <f>C4*(1+F4)</f>
        <v/>
      </c>
      <c r="I4" s="19">
        <f>D4*(1+G4)</f>
        <v/>
      </c>
      <c r="J4" s="19">
        <f>CONFIG!$B$5*CONFIG!$B$6/12</f>
        <v/>
      </c>
      <c r="K4" s="19">
        <f>MAX(0,I4-J4)</f>
        <v/>
      </c>
      <c r="L4">
        <f>IF(OR(MONTH(A4)=3,MONTH(A4)=6,MONTH(A4)=9,MONTH(A4)=12),"Y","N")</f>
        <v/>
      </c>
      <c r="M4" s="21">
        <f>IF((H4+K4)=0,0,K4/(H4+K4))</f>
        <v/>
      </c>
      <c r="N4" s="2">
        <f>IF(AND(L4="Y",OR(M4&lt;CONFIG!$B$8,M4&gt;CONFIG!$B$9)),"Y","N")</f>
        <v/>
      </c>
      <c r="O4" s="19">
        <f>IF(N4="Y",(H4+K4)*0.8,H4)</f>
        <v/>
      </c>
      <c r="P4" s="19">
        <f>IF(N4="Y",(H4+K4)*0.2,K4)</f>
        <v/>
      </c>
      <c r="R4" s="18">
        <f>DATA!A4</f>
        <v/>
      </c>
      <c r="S4">
        <f>DATA!B4</f>
        <v/>
      </c>
      <c r="T4" s="19">
        <f>CONFIG!$B$5*0.8</f>
        <v/>
      </c>
      <c r="U4" s="19">
        <f>CONFIG!$B$5*0.2</f>
        <v/>
      </c>
      <c r="V4" s="19">
        <f>T4+U4</f>
        <v/>
      </c>
      <c r="W4" s="20">
        <f>DATA!D4</f>
        <v/>
      </c>
      <c r="X4" s="20">
        <f>DATA!F4</f>
        <v/>
      </c>
      <c r="Y4" s="19">
        <f>T4*(1+W4)</f>
        <v/>
      </c>
      <c r="Z4" s="19">
        <f>U4*(1+X4)</f>
        <v/>
      </c>
      <c r="AA4" s="19">
        <f>CONFIG!$B$5*CONFIG!$B$6/12</f>
        <v/>
      </c>
      <c r="AB4" s="19">
        <f>MAX(0,Z4-AA4)</f>
        <v/>
      </c>
      <c r="AC4">
        <f>IF(OR(MONTH(R4)=3,MONTH(R4)=6,MONTH(R4)=9,MONTH(R4)=12),"Y","N")</f>
        <v/>
      </c>
      <c r="AD4" s="21">
        <f>IF((Y4+AB4)=0,0,AB4/(Y4+AB4))</f>
        <v/>
      </c>
      <c r="AE4" s="2">
        <f>IF(AND(AC4="Y",OR(AD4&lt;CONFIG!$B$8,AD4&gt;CONFIG!$B$9)),"Y","N")</f>
        <v/>
      </c>
      <c r="AF4" s="19">
        <f>IF(AE4="Y",(Y4+AB4)*0.8,Y4)</f>
        <v/>
      </c>
      <c r="AG4" s="19">
        <f>IF(AE4="Y",(Y4+AB4)*0.2,AB4)</f>
        <v/>
      </c>
      <c r="AI4" s="18">
        <f>DATA!A4</f>
        <v/>
      </c>
      <c r="AJ4">
        <f>DATA!B4</f>
        <v/>
      </c>
      <c r="AK4" s="19">
        <f>CONFIG!$B$5*0.8</f>
        <v/>
      </c>
      <c r="AL4" s="19">
        <f>CONFIG!$B$5*0.2</f>
        <v/>
      </c>
      <c r="AM4" s="19">
        <f>AK4+AL4</f>
        <v/>
      </c>
      <c r="AN4" s="20">
        <f>DATA!E4</f>
        <v/>
      </c>
      <c r="AO4" s="20">
        <f>DATA!F4</f>
        <v/>
      </c>
      <c r="AP4" s="19">
        <f>AK4*(1+AN4)</f>
        <v/>
      </c>
      <c r="AQ4" s="19">
        <f>AL4*(1+AO4)</f>
        <v/>
      </c>
      <c r="AR4" s="19">
        <f>CONFIG!$B$5*CONFIG!$B$6/12</f>
        <v/>
      </c>
      <c r="AS4" s="19">
        <f>MAX(0,AQ4-AR4)</f>
        <v/>
      </c>
      <c r="AT4">
        <f>IF(OR(MONTH(AI4)=3,MONTH(AI4)=6,MONTH(AI4)=9,MONTH(AI4)=12),"Y","N")</f>
        <v/>
      </c>
      <c r="AU4" s="21">
        <f>IF((AP4+AS4)=0,0,AS4/(AP4+AS4))</f>
        <v/>
      </c>
      <c r="AV4" s="2">
        <f>IF(AND(AT4="Y",OR(AU4&lt;CONFIG!$B$8,AU4&gt;CONFIG!$B$9)),"Y","N")</f>
        <v/>
      </c>
      <c r="AW4" s="19">
        <f>IF(AV4="Y",(AP4+AS4)*0.8,AP4)</f>
        <v/>
      </c>
      <c r="AX4" s="19">
        <f>IF(AV4="Y",(AP4+AS4)*0.2,AS4)</f>
        <v/>
      </c>
    </row>
    <row r="5">
      <c r="A5" s="18">
        <f>DATA!A5</f>
        <v/>
      </c>
      <c r="B5">
        <f>DATA!B5</f>
        <v/>
      </c>
      <c r="C5" s="19">
        <f>O4</f>
        <v/>
      </c>
      <c r="D5" s="19">
        <f>P4</f>
        <v/>
      </c>
      <c r="E5" s="19">
        <f>C5+D5</f>
        <v/>
      </c>
      <c r="F5" s="20">
        <f>DATA!C5</f>
        <v/>
      </c>
      <c r="G5" s="20">
        <f>DATA!F5</f>
        <v/>
      </c>
      <c r="H5" s="19">
        <f>C5*(1+F5)</f>
        <v/>
      </c>
      <c r="I5" s="19">
        <f>D5*(1+G5)</f>
        <v/>
      </c>
      <c r="J5" s="19">
        <f>IF(AND(CONFIG!$B$11="Annual",MONTH(A5)=7),(H5+I5)*CONFIG!$B$6/12,J4)</f>
        <v/>
      </c>
      <c r="K5" s="19">
        <f>MAX(0,I5-J5)</f>
        <v/>
      </c>
      <c r="L5">
        <f>IF(OR(MONTH(A5)=3,MONTH(A5)=6,MONTH(A5)=9,MONTH(A5)=12),"Y","N")</f>
        <v/>
      </c>
      <c r="M5" s="21">
        <f>IF((H5+K5)=0,0,K5/(H5+K5))</f>
        <v/>
      </c>
      <c r="N5" s="2">
        <f>IF(AND(L5="Y",OR(M5&lt;CONFIG!$B$8,M5&gt;CONFIG!$B$9)),"Y","N")</f>
        <v/>
      </c>
      <c r="O5" s="19">
        <f>IF(N5="Y",(H5+K5)*0.8,H5)</f>
        <v/>
      </c>
      <c r="P5" s="19">
        <f>IF(N5="Y",(H5+K5)*0.2,K5)</f>
        <v/>
      </c>
      <c r="R5" s="18">
        <f>DATA!A5</f>
        <v/>
      </c>
      <c r="S5">
        <f>DATA!B5</f>
        <v/>
      </c>
      <c r="T5" s="19">
        <f>AF4</f>
        <v/>
      </c>
      <c r="U5" s="19">
        <f>AG4</f>
        <v/>
      </c>
      <c r="V5" s="19">
        <f>T5+U5</f>
        <v/>
      </c>
      <c r="W5" s="20">
        <f>DATA!D5</f>
        <v/>
      </c>
      <c r="X5" s="20">
        <f>DATA!F5</f>
        <v/>
      </c>
      <c r="Y5" s="19">
        <f>T5*(1+W5)</f>
        <v/>
      </c>
      <c r="Z5" s="19">
        <f>U5*(1+X5)</f>
        <v/>
      </c>
      <c r="AA5" s="19">
        <f>IF(AND(CONFIG!$B$11="Annual",MONTH(R5)=7),(Y5+Z5)*CONFIG!$B$6/12,AA4)</f>
        <v/>
      </c>
      <c r="AB5" s="19">
        <f>MAX(0,Z5-AA5)</f>
        <v/>
      </c>
      <c r="AC5">
        <f>IF(OR(MONTH(R5)=3,MONTH(R5)=6,MONTH(R5)=9,MONTH(R5)=12),"Y","N")</f>
        <v/>
      </c>
      <c r="AD5" s="21">
        <f>IF((Y5+AB5)=0,0,AB5/(Y5+AB5))</f>
        <v/>
      </c>
      <c r="AE5" s="2">
        <f>IF(AND(AC5="Y",OR(AD5&lt;CONFIG!$B$8,AD5&gt;CONFIG!$B$9)),"Y","N")</f>
        <v/>
      </c>
      <c r="AF5" s="19">
        <f>IF(AE5="Y",(Y5+AB5)*0.8,Y5)</f>
        <v/>
      </c>
      <c r="AG5" s="19">
        <f>IF(AE5="Y",(Y5+AB5)*0.2,AB5)</f>
        <v/>
      </c>
      <c r="AI5" s="18">
        <f>DATA!A5</f>
        <v/>
      </c>
      <c r="AJ5">
        <f>DATA!B5</f>
        <v/>
      </c>
      <c r="AK5" s="19">
        <f>AW4</f>
        <v/>
      </c>
      <c r="AL5" s="19">
        <f>AX4</f>
        <v/>
      </c>
      <c r="AM5" s="19">
        <f>AK5+AL5</f>
        <v/>
      </c>
      <c r="AN5" s="20">
        <f>DATA!E5</f>
        <v/>
      </c>
      <c r="AO5" s="20">
        <f>DATA!F5</f>
        <v/>
      </c>
      <c r="AP5" s="19">
        <f>AK5*(1+AN5)</f>
        <v/>
      </c>
      <c r="AQ5" s="19">
        <f>AL5*(1+AO5)</f>
        <v/>
      </c>
      <c r="AR5" s="19">
        <f>IF(AND(CONFIG!$B$11="Annual",MONTH(AI5)=7),(AP5+AQ5)*CONFIG!$B$6/12,AR4)</f>
        <v/>
      </c>
      <c r="AS5" s="19">
        <f>MAX(0,AQ5-AR5)</f>
        <v/>
      </c>
      <c r="AT5">
        <f>IF(OR(MONTH(AI5)=3,MONTH(AI5)=6,MONTH(AI5)=9,MONTH(AI5)=12),"Y","N")</f>
        <v/>
      </c>
      <c r="AU5" s="21">
        <f>IF((AP5+AS5)=0,0,AS5/(AP5+AS5))</f>
        <v/>
      </c>
      <c r="AV5" s="2">
        <f>IF(AND(AT5="Y",OR(AU5&lt;CONFIG!$B$8,AU5&gt;CONFIG!$B$9)),"Y","N")</f>
        <v/>
      </c>
      <c r="AW5" s="19">
        <f>IF(AV5="Y",(AP5+AS5)*0.8,AP5)</f>
        <v/>
      </c>
      <c r="AX5" s="19">
        <f>IF(AV5="Y",(AP5+AS5)*0.2,AS5)</f>
        <v/>
      </c>
    </row>
    <row r="6">
      <c r="A6" s="18">
        <f>DATA!A6</f>
        <v/>
      </c>
      <c r="B6">
        <f>DATA!B6</f>
        <v/>
      </c>
      <c r="C6" s="19">
        <f>O5</f>
        <v/>
      </c>
      <c r="D6" s="19">
        <f>P5</f>
        <v/>
      </c>
      <c r="E6" s="19">
        <f>C6+D6</f>
        <v/>
      </c>
      <c r="F6" s="20">
        <f>DATA!C6</f>
        <v/>
      </c>
      <c r="G6" s="20">
        <f>DATA!F6</f>
        <v/>
      </c>
      <c r="H6" s="19">
        <f>C6*(1+F6)</f>
        <v/>
      </c>
      <c r="I6" s="19">
        <f>D6*(1+G6)</f>
        <v/>
      </c>
      <c r="J6" s="19">
        <f>IF(AND(CONFIG!$B$11="Annual",MONTH(A6)=7),(H6+I6)*CONFIG!$B$6/12,J5)</f>
        <v/>
      </c>
      <c r="K6" s="19">
        <f>MAX(0,I6-J6)</f>
        <v/>
      </c>
      <c r="L6">
        <f>IF(OR(MONTH(A6)=3,MONTH(A6)=6,MONTH(A6)=9,MONTH(A6)=12),"Y","N")</f>
        <v/>
      </c>
      <c r="M6" s="21">
        <f>IF((H6+K6)=0,0,K6/(H6+K6))</f>
        <v/>
      </c>
      <c r="N6" s="2">
        <f>IF(AND(L6="Y",OR(M6&lt;CONFIG!$B$8,M6&gt;CONFIG!$B$9)),"Y","N")</f>
        <v/>
      </c>
      <c r="O6" s="19">
        <f>IF(N6="Y",(H6+K6)*0.8,H6)</f>
        <v/>
      </c>
      <c r="P6" s="19">
        <f>IF(N6="Y",(H6+K6)*0.2,K6)</f>
        <v/>
      </c>
      <c r="R6" s="18">
        <f>DATA!A6</f>
        <v/>
      </c>
      <c r="S6">
        <f>DATA!B6</f>
        <v/>
      </c>
      <c r="T6" s="19">
        <f>AF5</f>
        <v/>
      </c>
      <c r="U6" s="19">
        <f>AG5</f>
        <v/>
      </c>
      <c r="V6" s="19">
        <f>T6+U6</f>
        <v/>
      </c>
      <c r="W6" s="20">
        <f>DATA!D6</f>
        <v/>
      </c>
      <c r="X6" s="20">
        <f>DATA!F6</f>
        <v/>
      </c>
      <c r="Y6" s="19">
        <f>T6*(1+W6)</f>
        <v/>
      </c>
      <c r="Z6" s="19">
        <f>U6*(1+X6)</f>
        <v/>
      </c>
      <c r="AA6" s="19">
        <f>IF(AND(CONFIG!$B$11="Annual",MONTH(R6)=7),(Y6+Z6)*CONFIG!$B$6/12,AA5)</f>
        <v/>
      </c>
      <c r="AB6" s="19">
        <f>MAX(0,Z6-AA6)</f>
        <v/>
      </c>
      <c r="AC6">
        <f>IF(OR(MONTH(R6)=3,MONTH(R6)=6,MONTH(R6)=9,MONTH(R6)=12),"Y","N")</f>
        <v/>
      </c>
      <c r="AD6" s="21">
        <f>IF((Y6+AB6)=0,0,AB6/(Y6+AB6))</f>
        <v/>
      </c>
      <c r="AE6" s="2">
        <f>IF(AND(AC6="Y",OR(AD6&lt;CONFIG!$B$8,AD6&gt;CONFIG!$B$9)),"Y","N")</f>
        <v/>
      </c>
      <c r="AF6" s="19">
        <f>IF(AE6="Y",(Y6+AB6)*0.8,Y6)</f>
        <v/>
      </c>
      <c r="AG6" s="19">
        <f>IF(AE6="Y",(Y6+AB6)*0.2,AB6)</f>
        <v/>
      </c>
      <c r="AI6" s="18">
        <f>DATA!A6</f>
        <v/>
      </c>
      <c r="AJ6">
        <f>DATA!B6</f>
        <v/>
      </c>
      <c r="AK6" s="19">
        <f>AW5</f>
        <v/>
      </c>
      <c r="AL6" s="19">
        <f>AX5</f>
        <v/>
      </c>
      <c r="AM6" s="19">
        <f>AK6+AL6</f>
        <v/>
      </c>
      <c r="AN6" s="20">
        <f>DATA!E6</f>
        <v/>
      </c>
      <c r="AO6" s="20">
        <f>DATA!F6</f>
        <v/>
      </c>
      <c r="AP6" s="19">
        <f>AK6*(1+AN6)</f>
        <v/>
      </c>
      <c r="AQ6" s="19">
        <f>AL6*(1+AO6)</f>
        <v/>
      </c>
      <c r="AR6" s="19">
        <f>IF(AND(CONFIG!$B$11="Annual",MONTH(AI6)=7),(AP6+AQ6)*CONFIG!$B$6/12,AR5)</f>
        <v/>
      </c>
      <c r="AS6" s="19">
        <f>MAX(0,AQ6-AR6)</f>
        <v/>
      </c>
      <c r="AT6">
        <f>IF(OR(MONTH(AI6)=3,MONTH(AI6)=6,MONTH(AI6)=9,MONTH(AI6)=12),"Y","N")</f>
        <v/>
      </c>
      <c r="AU6" s="21">
        <f>IF((AP6+AS6)=0,0,AS6/(AP6+AS6))</f>
        <v/>
      </c>
      <c r="AV6" s="2">
        <f>IF(AND(AT6="Y",OR(AU6&lt;CONFIG!$B$8,AU6&gt;CONFIG!$B$9)),"Y","N")</f>
        <v/>
      </c>
      <c r="AW6" s="19">
        <f>IF(AV6="Y",(AP6+AS6)*0.8,AP6)</f>
        <v/>
      </c>
      <c r="AX6" s="19">
        <f>IF(AV6="Y",(AP6+AS6)*0.2,AS6)</f>
        <v/>
      </c>
    </row>
    <row r="7">
      <c r="A7" s="18">
        <f>DATA!A7</f>
        <v/>
      </c>
      <c r="B7">
        <f>DATA!B7</f>
        <v/>
      </c>
      <c r="C7" s="19">
        <f>O6</f>
        <v/>
      </c>
      <c r="D7" s="19">
        <f>P6</f>
        <v/>
      </c>
      <c r="E7" s="19">
        <f>C7+D7</f>
        <v/>
      </c>
      <c r="F7" s="20">
        <f>DATA!C7</f>
        <v/>
      </c>
      <c r="G7" s="20">
        <f>DATA!F7</f>
        <v/>
      </c>
      <c r="H7" s="19">
        <f>C7*(1+F7)</f>
        <v/>
      </c>
      <c r="I7" s="19">
        <f>D7*(1+G7)</f>
        <v/>
      </c>
      <c r="J7" s="19">
        <f>IF(AND(CONFIG!$B$11="Annual",MONTH(A7)=7),(H7+I7)*CONFIG!$B$6/12,J6)</f>
        <v/>
      </c>
      <c r="K7" s="19">
        <f>MAX(0,I7-J7)</f>
        <v/>
      </c>
      <c r="L7">
        <f>IF(OR(MONTH(A7)=3,MONTH(A7)=6,MONTH(A7)=9,MONTH(A7)=12),"Y","N")</f>
        <v/>
      </c>
      <c r="M7" s="21">
        <f>IF((H7+K7)=0,0,K7/(H7+K7))</f>
        <v/>
      </c>
      <c r="N7" s="2">
        <f>IF(AND(L7="Y",OR(M7&lt;CONFIG!$B$8,M7&gt;CONFIG!$B$9)),"Y","N")</f>
        <v/>
      </c>
      <c r="O7" s="19">
        <f>IF(N7="Y",(H7+K7)*0.8,H7)</f>
        <v/>
      </c>
      <c r="P7" s="19">
        <f>IF(N7="Y",(H7+K7)*0.2,K7)</f>
        <v/>
      </c>
      <c r="R7" s="18">
        <f>DATA!A7</f>
        <v/>
      </c>
      <c r="S7">
        <f>DATA!B7</f>
        <v/>
      </c>
      <c r="T7" s="19">
        <f>AF6</f>
        <v/>
      </c>
      <c r="U7" s="19">
        <f>AG6</f>
        <v/>
      </c>
      <c r="V7" s="19">
        <f>T7+U7</f>
        <v/>
      </c>
      <c r="W7" s="20">
        <f>DATA!D7</f>
        <v/>
      </c>
      <c r="X7" s="20">
        <f>DATA!F7</f>
        <v/>
      </c>
      <c r="Y7" s="19">
        <f>T7*(1+W7)</f>
        <v/>
      </c>
      <c r="Z7" s="19">
        <f>U7*(1+X7)</f>
        <v/>
      </c>
      <c r="AA7" s="19">
        <f>IF(AND(CONFIG!$B$11="Annual",MONTH(R7)=7),(Y7+Z7)*CONFIG!$B$6/12,AA6)</f>
        <v/>
      </c>
      <c r="AB7" s="19">
        <f>MAX(0,Z7-AA7)</f>
        <v/>
      </c>
      <c r="AC7">
        <f>IF(OR(MONTH(R7)=3,MONTH(R7)=6,MONTH(R7)=9,MONTH(R7)=12),"Y","N")</f>
        <v/>
      </c>
      <c r="AD7" s="21">
        <f>IF((Y7+AB7)=0,0,AB7/(Y7+AB7))</f>
        <v/>
      </c>
      <c r="AE7" s="2">
        <f>IF(AND(AC7="Y",OR(AD7&lt;CONFIG!$B$8,AD7&gt;CONFIG!$B$9)),"Y","N")</f>
        <v/>
      </c>
      <c r="AF7" s="19">
        <f>IF(AE7="Y",(Y7+AB7)*0.8,Y7)</f>
        <v/>
      </c>
      <c r="AG7" s="19">
        <f>IF(AE7="Y",(Y7+AB7)*0.2,AB7)</f>
        <v/>
      </c>
      <c r="AI7" s="18">
        <f>DATA!A7</f>
        <v/>
      </c>
      <c r="AJ7">
        <f>DATA!B7</f>
        <v/>
      </c>
      <c r="AK7" s="19">
        <f>AW6</f>
        <v/>
      </c>
      <c r="AL7" s="19">
        <f>AX6</f>
        <v/>
      </c>
      <c r="AM7" s="19">
        <f>AK7+AL7</f>
        <v/>
      </c>
      <c r="AN7" s="20">
        <f>DATA!E7</f>
        <v/>
      </c>
      <c r="AO7" s="20">
        <f>DATA!F7</f>
        <v/>
      </c>
      <c r="AP7" s="19">
        <f>AK7*(1+AN7)</f>
        <v/>
      </c>
      <c r="AQ7" s="19">
        <f>AL7*(1+AO7)</f>
        <v/>
      </c>
      <c r="AR7" s="19">
        <f>IF(AND(CONFIG!$B$11="Annual",MONTH(AI7)=7),(AP7+AQ7)*CONFIG!$B$6/12,AR6)</f>
        <v/>
      </c>
      <c r="AS7" s="19">
        <f>MAX(0,AQ7-AR7)</f>
        <v/>
      </c>
      <c r="AT7">
        <f>IF(OR(MONTH(AI7)=3,MONTH(AI7)=6,MONTH(AI7)=9,MONTH(AI7)=12),"Y","N")</f>
        <v/>
      </c>
      <c r="AU7" s="21">
        <f>IF((AP7+AS7)=0,0,AS7/(AP7+AS7))</f>
        <v/>
      </c>
      <c r="AV7" s="2">
        <f>IF(AND(AT7="Y",OR(AU7&lt;CONFIG!$B$8,AU7&gt;CONFIG!$B$9)),"Y","N")</f>
        <v/>
      </c>
      <c r="AW7" s="19">
        <f>IF(AV7="Y",(AP7+AS7)*0.8,AP7)</f>
        <v/>
      </c>
      <c r="AX7" s="19">
        <f>IF(AV7="Y",(AP7+AS7)*0.2,AS7)</f>
        <v/>
      </c>
    </row>
    <row r="8">
      <c r="A8" s="18">
        <f>DATA!A8</f>
        <v/>
      </c>
      <c r="B8">
        <f>DATA!B8</f>
        <v/>
      </c>
      <c r="C8" s="19">
        <f>O7</f>
        <v/>
      </c>
      <c r="D8" s="19">
        <f>P7</f>
        <v/>
      </c>
      <c r="E8" s="19">
        <f>C8+D8</f>
        <v/>
      </c>
      <c r="F8" s="20">
        <f>DATA!C8</f>
        <v/>
      </c>
      <c r="G8" s="20">
        <f>DATA!F8</f>
        <v/>
      </c>
      <c r="H8" s="19">
        <f>C8*(1+F8)</f>
        <v/>
      </c>
      <c r="I8" s="19">
        <f>D8*(1+G8)</f>
        <v/>
      </c>
      <c r="J8" s="19">
        <f>IF(AND(CONFIG!$B$11="Annual",MONTH(A8)=7),(H8+I8)*CONFIG!$B$6/12,J7)</f>
        <v/>
      </c>
      <c r="K8" s="19">
        <f>MAX(0,I8-J8)</f>
        <v/>
      </c>
      <c r="L8">
        <f>IF(OR(MONTH(A8)=3,MONTH(A8)=6,MONTH(A8)=9,MONTH(A8)=12),"Y","N")</f>
        <v/>
      </c>
      <c r="M8" s="21">
        <f>IF((H8+K8)=0,0,K8/(H8+K8))</f>
        <v/>
      </c>
      <c r="N8" s="2">
        <f>IF(AND(L8="Y",OR(M8&lt;CONFIG!$B$8,M8&gt;CONFIG!$B$9)),"Y","N")</f>
        <v/>
      </c>
      <c r="O8" s="19">
        <f>IF(N8="Y",(H8+K8)*0.8,H8)</f>
        <v/>
      </c>
      <c r="P8" s="19">
        <f>IF(N8="Y",(H8+K8)*0.2,K8)</f>
        <v/>
      </c>
      <c r="R8" s="18">
        <f>DATA!A8</f>
        <v/>
      </c>
      <c r="S8">
        <f>DATA!B8</f>
        <v/>
      </c>
      <c r="T8" s="19">
        <f>AF7</f>
        <v/>
      </c>
      <c r="U8" s="19">
        <f>AG7</f>
        <v/>
      </c>
      <c r="V8" s="19">
        <f>T8+U8</f>
        <v/>
      </c>
      <c r="W8" s="20">
        <f>DATA!D8</f>
        <v/>
      </c>
      <c r="X8" s="20">
        <f>DATA!F8</f>
        <v/>
      </c>
      <c r="Y8" s="19">
        <f>T8*(1+W8)</f>
        <v/>
      </c>
      <c r="Z8" s="19">
        <f>U8*(1+X8)</f>
        <v/>
      </c>
      <c r="AA8" s="19">
        <f>IF(AND(CONFIG!$B$11="Annual",MONTH(R8)=7),(Y8+Z8)*CONFIG!$B$6/12,AA7)</f>
        <v/>
      </c>
      <c r="AB8" s="19">
        <f>MAX(0,Z8-AA8)</f>
        <v/>
      </c>
      <c r="AC8">
        <f>IF(OR(MONTH(R8)=3,MONTH(R8)=6,MONTH(R8)=9,MONTH(R8)=12),"Y","N")</f>
        <v/>
      </c>
      <c r="AD8" s="21">
        <f>IF((Y8+AB8)=0,0,AB8/(Y8+AB8))</f>
        <v/>
      </c>
      <c r="AE8" s="2">
        <f>IF(AND(AC8="Y",OR(AD8&lt;CONFIG!$B$8,AD8&gt;CONFIG!$B$9)),"Y","N")</f>
        <v/>
      </c>
      <c r="AF8" s="19">
        <f>IF(AE8="Y",(Y8+AB8)*0.8,Y8)</f>
        <v/>
      </c>
      <c r="AG8" s="19">
        <f>IF(AE8="Y",(Y8+AB8)*0.2,AB8)</f>
        <v/>
      </c>
      <c r="AI8" s="18">
        <f>DATA!A8</f>
        <v/>
      </c>
      <c r="AJ8">
        <f>DATA!B8</f>
        <v/>
      </c>
      <c r="AK8" s="19">
        <f>AW7</f>
        <v/>
      </c>
      <c r="AL8" s="19">
        <f>AX7</f>
        <v/>
      </c>
      <c r="AM8" s="19">
        <f>AK8+AL8</f>
        <v/>
      </c>
      <c r="AN8" s="20">
        <f>DATA!E8</f>
        <v/>
      </c>
      <c r="AO8" s="20">
        <f>DATA!F8</f>
        <v/>
      </c>
      <c r="AP8" s="19">
        <f>AK8*(1+AN8)</f>
        <v/>
      </c>
      <c r="AQ8" s="19">
        <f>AL8*(1+AO8)</f>
        <v/>
      </c>
      <c r="AR8" s="19">
        <f>IF(AND(CONFIG!$B$11="Annual",MONTH(AI8)=7),(AP8+AQ8)*CONFIG!$B$6/12,AR7)</f>
        <v/>
      </c>
      <c r="AS8" s="19">
        <f>MAX(0,AQ8-AR8)</f>
        <v/>
      </c>
      <c r="AT8">
        <f>IF(OR(MONTH(AI8)=3,MONTH(AI8)=6,MONTH(AI8)=9,MONTH(AI8)=12),"Y","N")</f>
        <v/>
      </c>
      <c r="AU8" s="21">
        <f>IF((AP8+AS8)=0,0,AS8/(AP8+AS8))</f>
        <v/>
      </c>
      <c r="AV8" s="2">
        <f>IF(AND(AT8="Y",OR(AU8&lt;CONFIG!$B$8,AU8&gt;CONFIG!$B$9)),"Y","N")</f>
        <v/>
      </c>
      <c r="AW8" s="19">
        <f>IF(AV8="Y",(AP8+AS8)*0.8,AP8)</f>
        <v/>
      </c>
      <c r="AX8" s="19">
        <f>IF(AV8="Y",(AP8+AS8)*0.2,AS8)</f>
        <v/>
      </c>
    </row>
    <row r="9">
      <c r="A9" s="18">
        <f>DATA!A9</f>
        <v/>
      </c>
      <c r="B9">
        <f>DATA!B9</f>
        <v/>
      </c>
      <c r="C9" s="19">
        <f>O8</f>
        <v/>
      </c>
      <c r="D9" s="19">
        <f>P8</f>
        <v/>
      </c>
      <c r="E9" s="19">
        <f>C9+D9</f>
        <v/>
      </c>
      <c r="F9" s="20">
        <f>DATA!C9</f>
        <v/>
      </c>
      <c r="G9" s="20">
        <f>DATA!F9</f>
        <v/>
      </c>
      <c r="H9" s="19">
        <f>C9*(1+F9)</f>
        <v/>
      </c>
      <c r="I9" s="19">
        <f>D9*(1+G9)</f>
        <v/>
      </c>
      <c r="J9" s="19">
        <f>IF(AND(CONFIG!$B$11="Annual",MONTH(A9)=7),(H9+I9)*CONFIG!$B$6/12,J8)</f>
        <v/>
      </c>
      <c r="K9" s="19">
        <f>MAX(0,I9-J9)</f>
        <v/>
      </c>
      <c r="L9">
        <f>IF(OR(MONTH(A9)=3,MONTH(A9)=6,MONTH(A9)=9,MONTH(A9)=12),"Y","N")</f>
        <v/>
      </c>
      <c r="M9" s="21">
        <f>IF((H9+K9)=0,0,K9/(H9+K9))</f>
        <v/>
      </c>
      <c r="N9">
        <f>IF(AND(L9="Y",OR(M9&lt;CONFIG!$B$8,M9&gt;CONFIG!$B$9)),"Y","N")</f>
        <v/>
      </c>
      <c r="O9" s="19">
        <f>IF(N9="Y",(H9+K9)*0.8,H9)</f>
        <v/>
      </c>
      <c r="P9" s="19">
        <f>IF(N9="Y",(H9+K9)*0.2,K9)</f>
        <v/>
      </c>
      <c r="R9" s="18">
        <f>DATA!A9</f>
        <v/>
      </c>
      <c r="S9">
        <f>DATA!B9</f>
        <v/>
      </c>
      <c r="T9" s="19">
        <f>AF8</f>
        <v/>
      </c>
      <c r="U9" s="19">
        <f>AG8</f>
        <v/>
      </c>
      <c r="V9" s="19">
        <f>T9+U9</f>
        <v/>
      </c>
      <c r="W9" s="20">
        <f>DATA!D9</f>
        <v/>
      </c>
      <c r="X9" s="20">
        <f>DATA!F9</f>
        <v/>
      </c>
      <c r="Y9" s="19">
        <f>T9*(1+W9)</f>
        <v/>
      </c>
      <c r="Z9" s="19">
        <f>U9*(1+X9)</f>
        <v/>
      </c>
      <c r="AA9" s="19">
        <f>IF(AND(CONFIG!$B$11="Annual",MONTH(R9)=7),(Y9+Z9)*CONFIG!$B$6/12,AA8)</f>
        <v/>
      </c>
      <c r="AB9" s="19">
        <f>MAX(0,Z9-AA9)</f>
        <v/>
      </c>
      <c r="AC9">
        <f>IF(OR(MONTH(R9)=3,MONTH(R9)=6,MONTH(R9)=9,MONTH(R9)=12),"Y","N")</f>
        <v/>
      </c>
      <c r="AD9" s="21">
        <f>IF((Y9+AB9)=0,0,AB9/(Y9+AB9))</f>
        <v/>
      </c>
      <c r="AE9">
        <f>IF(AND(AC9="Y",OR(AD9&lt;CONFIG!$B$8,AD9&gt;CONFIG!$B$9)),"Y","N")</f>
        <v/>
      </c>
      <c r="AF9" s="19">
        <f>IF(AE9="Y",(Y9+AB9)*0.8,Y9)</f>
        <v/>
      </c>
      <c r="AG9" s="19">
        <f>IF(AE9="Y",(Y9+AB9)*0.2,AB9)</f>
        <v/>
      </c>
      <c r="AI9" s="18">
        <f>DATA!A9</f>
        <v/>
      </c>
      <c r="AJ9">
        <f>DATA!B9</f>
        <v/>
      </c>
      <c r="AK9" s="19">
        <f>AW8</f>
        <v/>
      </c>
      <c r="AL9" s="19">
        <f>AX8</f>
        <v/>
      </c>
      <c r="AM9" s="19">
        <f>AK9+AL9</f>
        <v/>
      </c>
      <c r="AN9" s="20">
        <f>DATA!E9</f>
        <v/>
      </c>
      <c r="AO9" s="20">
        <f>DATA!F9</f>
        <v/>
      </c>
      <c r="AP9" s="19">
        <f>AK9*(1+AN9)</f>
        <v/>
      </c>
      <c r="AQ9" s="19">
        <f>AL9*(1+AO9)</f>
        <v/>
      </c>
      <c r="AR9" s="19">
        <f>IF(AND(CONFIG!$B$11="Annual",MONTH(AI9)=7),(AP9+AQ9)*CONFIG!$B$6/12,AR8)</f>
        <v/>
      </c>
      <c r="AS9" s="19">
        <f>MAX(0,AQ9-AR9)</f>
        <v/>
      </c>
      <c r="AT9">
        <f>IF(OR(MONTH(AI9)=3,MONTH(AI9)=6,MONTH(AI9)=9,MONTH(AI9)=12),"Y","N")</f>
        <v/>
      </c>
      <c r="AU9" s="21">
        <f>IF((AP9+AS9)=0,0,AS9/(AP9+AS9))</f>
        <v/>
      </c>
      <c r="AV9">
        <f>IF(AND(AT9="Y",OR(AU9&lt;CONFIG!$B$8,AU9&gt;CONFIG!$B$9)),"Y","N")</f>
        <v/>
      </c>
      <c r="AW9" s="19">
        <f>IF(AV9="Y",(AP9+AS9)*0.8,AP9)</f>
        <v/>
      </c>
      <c r="AX9" s="19">
        <f>IF(AV9="Y",(AP9+AS9)*0.2,AS9)</f>
        <v/>
      </c>
    </row>
    <row r="10">
      <c r="A10" s="18">
        <f>DATA!A10</f>
        <v/>
      </c>
      <c r="B10">
        <f>DATA!B10</f>
        <v/>
      </c>
      <c r="C10" s="19">
        <f>O9</f>
        <v/>
      </c>
      <c r="D10" s="19">
        <f>P9</f>
        <v/>
      </c>
      <c r="E10" s="19">
        <f>C10+D10</f>
        <v/>
      </c>
      <c r="F10" s="20">
        <f>DATA!C10</f>
        <v/>
      </c>
      <c r="G10" s="20">
        <f>DATA!F10</f>
        <v/>
      </c>
      <c r="H10" s="19">
        <f>C10*(1+F10)</f>
        <v/>
      </c>
      <c r="I10" s="19">
        <f>D10*(1+G10)</f>
        <v/>
      </c>
      <c r="J10" s="19">
        <f>IF(AND(CONFIG!$B$11="Annual",MONTH(A10)=7),(H10+I10)*CONFIG!$B$6/12,J9)</f>
        <v/>
      </c>
      <c r="K10" s="19">
        <f>MAX(0,I10-J10)</f>
        <v/>
      </c>
      <c r="L10">
        <f>IF(OR(MONTH(A10)=3,MONTH(A10)=6,MONTH(A10)=9,MONTH(A10)=12),"Y","N")</f>
        <v/>
      </c>
      <c r="M10" s="21">
        <f>IF((H10+K10)=0,0,K10/(H10+K10))</f>
        <v/>
      </c>
      <c r="N10">
        <f>IF(AND(L10="Y",OR(M10&lt;CONFIG!$B$8,M10&gt;CONFIG!$B$9)),"Y","N")</f>
        <v/>
      </c>
      <c r="O10" s="19">
        <f>IF(N10="Y",(H10+K10)*0.8,H10)</f>
        <v/>
      </c>
      <c r="P10" s="19">
        <f>IF(N10="Y",(H10+K10)*0.2,K10)</f>
        <v/>
      </c>
      <c r="R10" s="18">
        <f>DATA!A10</f>
        <v/>
      </c>
      <c r="S10">
        <f>DATA!B10</f>
        <v/>
      </c>
      <c r="T10" s="19">
        <f>AF9</f>
        <v/>
      </c>
      <c r="U10" s="19">
        <f>AG9</f>
        <v/>
      </c>
      <c r="V10" s="19">
        <f>T10+U10</f>
        <v/>
      </c>
      <c r="W10" s="20">
        <f>DATA!D10</f>
        <v/>
      </c>
      <c r="X10" s="20">
        <f>DATA!F10</f>
        <v/>
      </c>
      <c r="Y10" s="19">
        <f>T10*(1+W10)</f>
        <v/>
      </c>
      <c r="Z10" s="19">
        <f>U10*(1+X10)</f>
        <v/>
      </c>
      <c r="AA10" s="19">
        <f>IF(AND(CONFIG!$B$11="Annual",MONTH(R10)=7),(Y10+Z10)*CONFIG!$B$6/12,AA9)</f>
        <v/>
      </c>
      <c r="AB10" s="19">
        <f>MAX(0,Z10-AA10)</f>
        <v/>
      </c>
      <c r="AC10">
        <f>IF(OR(MONTH(R10)=3,MONTH(R10)=6,MONTH(R10)=9,MONTH(R10)=12),"Y","N")</f>
        <v/>
      </c>
      <c r="AD10" s="21">
        <f>IF((Y10+AB10)=0,0,AB10/(Y10+AB10))</f>
        <v/>
      </c>
      <c r="AE10">
        <f>IF(AND(AC10="Y",OR(AD10&lt;CONFIG!$B$8,AD10&gt;CONFIG!$B$9)),"Y","N")</f>
        <v/>
      </c>
      <c r="AF10" s="19">
        <f>IF(AE10="Y",(Y10+AB10)*0.8,Y10)</f>
        <v/>
      </c>
      <c r="AG10" s="19">
        <f>IF(AE10="Y",(Y10+AB10)*0.2,AB10)</f>
        <v/>
      </c>
      <c r="AI10" s="18">
        <f>DATA!A10</f>
        <v/>
      </c>
      <c r="AJ10">
        <f>DATA!B10</f>
        <v/>
      </c>
      <c r="AK10" s="19">
        <f>AW9</f>
        <v/>
      </c>
      <c r="AL10" s="19">
        <f>AX9</f>
        <v/>
      </c>
      <c r="AM10" s="19">
        <f>AK10+AL10</f>
        <v/>
      </c>
      <c r="AN10" s="20">
        <f>DATA!E10</f>
        <v/>
      </c>
      <c r="AO10" s="20">
        <f>DATA!F10</f>
        <v/>
      </c>
      <c r="AP10" s="19">
        <f>AK10*(1+AN10)</f>
        <v/>
      </c>
      <c r="AQ10" s="19">
        <f>AL10*(1+AO10)</f>
        <v/>
      </c>
      <c r="AR10" s="19">
        <f>IF(AND(CONFIG!$B$11="Annual",MONTH(AI10)=7),(AP10+AQ10)*CONFIG!$B$6/12,AR9)</f>
        <v/>
      </c>
      <c r="AS10" s="19">
        <f>MAX(0,AQ10-AR10)</f>
        <v/>
      </c>
      <c r="AT10">
        <f>IF(OR(MONTH(AI10)=3,MONTH(AI10)=6,MONTH(AI10)=9,MONTH(AI10)=12),"Y","N")</f>
        <v/>
      </c>
      <c r="AU10" s="21">
        <f>IF((AP10+AS10)=0,0,AS10/(AP10+AS10))</f>
        <v/>
      </c>
      <c r="AV10">
        <f>IF(AND(AT10="Y",OR(AU10&lt;CONFIG!$B$8,AU10&gt;CONFIG!$B$9)),"Y","N")</f>
        <v/>
      </c>
      <c r="AW10" s="19">
        <f>IF(AV10="Y",(AP10+AS10)*0.8,AP10)</f>
        <v/>
      </c>
      <c r="AX10" s="19">
        <f>IF(AV10="Y",(AP10+AS10)*0.2,AS10)</f>
        <v/>
      </c>
    </row>
    <row r="11">
      <c r="A11" s="18">
        <f>DATA!A11</f>
        <v/>
      </c>
      <c r="B11">
        <f>DATA!B11</f>
        <v/>
      </c>
      <c r="C11" s="19">
        <f>O10</f>
        <v/>
      </c>
      <c r="D11" s="19">
        <f>P10</f>
        <v/>
      </c>
      <c r="E11" s="19">
        <f>C11+D11</f>
        <v/>
      </c>
      <c r="F11" s="20">
        <f>DATA!C11</f>
        <v/>
      </c>
      <c r="G11" s="20">
        <f>DATA!F11</f>
        <v/>
      </c>
      <c r="H11" s="19">
        <f>C11*(1+F11)</f>
        <v/>
      </c>
      <c r="I11" s="19">
        <f>D11*(1+G11)</f>
        <v/>
      </c>
      <c r="J11" s="19">
        <f>IF(AND(CONFIG!$B$11="Annual",MONTH(A11)=7),(H11+I11)*CONFIG!$B$6/12,J10)</f>
        <v/>
      </c>
      <c r="K11" s="19">
        <f>MAX(0,I11-J11)</f>
        <v/>
      </c>
      <c r="L11">
        <f>IF(OR(MONTH(A11)=3,MONTH(A11)=6,MONTH(A11)=9,MONTH(A11)=12),"Y","N")</f>
        <v/>
      </c>
      <c r="M11" s="21">
        <f>IF((H11+K11)=0,0,K11/(H11+K11))</f>
        <v/>
      </c>
      <c r="N11">
        <f>IF(AND(L11="Y",OR(M11&lt;CONFIG!$B$8,M11&gt;CONFIG!$B$9)),"Y","N")</f>
        <v/>
      </c>
      <c r="O11" s="19">
        <f>IF(N11="Y",(H11+K11)*0.8,H11)</f>
        <v/>
      </c>
      <c r="P11" s="19">
        <f>IF(N11="Y",(H11+K11)*0.2,K11)</f>
        <v/>
      </c>
      <c r="R11" s="18">
        <f>DATA!A11</f>
        <v/>
      </c>
      <c r="S11">
        <f>DATA!B11</f>
        <v/>
      </c>
      <c r="T11" s="19">
        <f>AF10</f>
        <v/>
      </c>
      <c r="U11" s="19">
        <f>AG10</f>
        <v/>
      </c>
      <c r="V11" s="19">
        <f>T11+U11</f>
        <v/>
      </c>
      <c r="W11" s="20">
        <f>DATA!D11</f>
        <v/>
      </c>
      <c r="X11" s="20">
        <f>DATA!F11</f>
        <v/>
      </c>
      <c r="Y11" s="19">
        <f>T11*(1+W11)</f>
        <v/>
      </c>
      <c r="Z11" s="19">
        <f>U11*(1+X11)</f>
        <v/>
      </c>
      <c r="AA11" s="19">
        <f>IF(AND(CONFIG!$B$11="Annual",MONTH(R11)=7),(Y11+Z11)*CONFIG!$B$6/12,AA10)</f>
        <v/>
      </c>
      <c r="AB11" s="19">
        <f>MAX(0,Z11-AA11)</f>
        <v/>
      </c>
      <c r="AC11">
        <f>IF(OR(MONTH(R11)=3,MONTH(R11)=6,MONTH(R11)=9,MONTH(R11)=12),"Y","N")</f>
        <v/>
      </c>
      <c r="AD11" s="21">
        <f>IF((Y11+AB11)=0,0,AB11/(Y11+AB11))</f>
        <v/>
      </c>
      <c r="AE11">
        <f>IF(AND(AC11="Y",OR(AD11&lt;CONFIG!$B$8,AD11&gt;CONFIG!$B$9)),"Y","N")</f>
        <v/>
      </c>
      <c r="AF11" s="19">
        <f>IF(AE11="Y",(Y11+AB11)*0.8,Y11)</f>
        <v/>
      </c>
      <c r="AG11" s="19">
        <f>IF(AE11="Y",(Y11+AB11)*0.2,AB11)</f>
        <v/>
      </c>
      <c r="AI11" s="18">
        <f>DATA!A11</f>
        <v/>
      </c>
      <c r="AJ11">
        <f>DATA!B11</f>
        <v/>
      </c>
      <c r="AK11" s="19">
        <f>AW10</f>
        <v/>
      </c>
      <c r="AL11" s="19">
        <f>AX10</f>
        <v/>
      </c>
      <c r="AM11" s="19">
        <f>AK11+AL11</f>
        <v/>
      </c>
      <c r="AN11" s="20">
        <f>DATA!E11</f>
        <v/>
      </c>
      <c r="AO11" s="20">
        <f>DATA!F11</f>
        <v/>
      </c>
      <c r="AP11" s="19">
        <f>AK11*(1+AN11)</f>
        <v/>
      </c>
      <c r="AQ11" s="19">
        <f>AL11*(1+AO11)</f>
        <v/>
      </c>
      <c r="AR11" s="19">
        <f>IF(AND(CONFIG!$B$11="Annual",MONTH(AI11)=7),(AP11+AQ11)*CONFIG!$B$6/12,AR10)</f>
        <v/>
      </c>
      <c r="AS11" s="19">
        <f>MAX(0,AQ11-AR11)</f>
        <v/>
      </c>
      <c r="AT11">
        <f>IF(OR(MONTH(AI11)=3,MONTH(AI11)=6,MONTH(AI11)=9,MONTH(AI11)=12),"Y","N")</f>
        <v/>
      </c>
      <c r="AU11" s="21">
        <f>IF((AP11+AS11)=0,0,AS11/(AP11+AS11))</f>
        <v/>
      </c>
      <c r="AV11">
        <f>IF(AND(AT11="Y",OR(AU11&lt;CONFIG!$B$8,AU11&gt;CONFIG!$B$9)),"Y","N")</f>
        <v/>
      </c>
      <c r="AW11" s="19">
        <f>IF(AV11="Y",(AP11+AS11)*0.8,AP11)</f>
        <v/>
      </c>
      <c r="AX11" s="19">
        <f>IF(AV11="Y",(AP11+AS11)*0.2,AS11)</f>
        <v/>
      </c>
    </row>
    <row r="12">
      <c r="A12" s="18">
        <f>DATA!A12</f>
        <v/>
      </c>
      <c r="B12">
        <f>DATA!B12</f>
        <v/>
      </c>
      <c r="C12" s="19">
        <f>O11</f>
        <v/>
      </c>
      <c r="D12" s="19">
        <f>P11</f>
        <v/>
      </c>
      <c r="E12" s="19">
        <f>C12+D12</f>
        <v/>
      </c>
      <c r="F12" s="20">
        <f>DATA!C12</f>
        <v/>
      </c>
      <c r="G12" s="20">
        <f>DATA!F12</f>
        <v/>
      </c>
      <c r="H12" s="19">
        <f>C12*(1+F12)</f>
        <v/>
      </c>
      <c r="I12" s="19">
        <f>D12*(1+G12)</f>
        <v/>
      </c>
      <c r="J12" s="19">
        <f>IF(AND(CONFIG!$B$11="Annual",MONTH(A12)=7),(H12+I12)*CONFIG!$B$6/12,J11)</f>
        <v/>
      </c>
      <c r="K12" s="19">
        <f>MAX(0,I12-J12)</f>
        <v/>
      </c>
      <c r="L12">
        <f>IF(OR(MONTH(A12)=3,MONTH(A12)=6,MONTH(A12)=9,MONTH(A12)=12),"Y","N")</f>
        <v/>
      </c>
      <c r="M12" s="21">
        <f>IF((H12+K12)=0,0,K12/(H12+K12))</f>
        <v/>
      </c>
      <c r="N12">
        <f>IF(AND(L12="Y",OR(M12&lt;CONFIG!$B$8,M12&gt;CONFIG!$B$9)),"Y","N")</f>
        <v/>
      </c>
      <c r="O12" s="19">
        <f>IF(N12="Y",(H12+K12)*0.8,H12)</f>
        <v/>
      </c>
      <c r="P12" s="19">
        <f>IF(N12="Y",(H12+K12)*0.2,K12)</f>
        <v/>
      </c>
      <c r="R12" s="18">
        <f>DATA!A12</f>
        <v/>
      </c>
      <c r="S12">
        <f>DATA!B12</f>
        <v/>
      </c>
      <c r="T12" s="19">
        <f>AF11</f>
        <v/>
      </c>
      <c r="U12" s="19">
        <f>AG11</f>
        <v/>
      </c>
      <c r="V12" s="19">
        <f>T12+U12</f>
        <v/>
      </c>
      <c r="W12" s="20">
        <f>DATA!D12</f>
        <v/>
      </c>
      <c r="X12" s="20">
        <f>DATA!F12</f>
        <v/>
      </c>
      <c r="Y12" s="19">
        <f>T12*(1+W12)</f>
        <v/>
      </c>
      <c r="Z12" s="19">
        <f>U12*(1+X12)</f>
        <v/>
      </c>
      <c r="AA12" s="19">
        <f>IF(AND(CONFIG!$B$11="Annual",MONTH(R12)=7),(Y12+Z12)*CONFIG!$B$6/12,AA11)</f>
        <v/>
      </c>
      <c r="AB12" s="19">
        <f>MAX(0,Z12-AA12)</f>
        <v/>
      </c>
      <c r="AC12">
        <f>IF(OR(MONTH(R12)=3,MONTH(R12)=6,MONTH(R12)=9,MONTH(R12)=12),"Y","N")</f>
        <v/>
      </c>
      <c r="AD12" s="21">
        <f>IF((Y12+AB12)=0,0,AB12/(Y12+AB12))</f>
        <v/>
      </c>
      <c r="AE12">
        <f>IF(AND(AC12="Y",OR(AD12&lt;CONFIG!$B$8,AD12&gt;CONFIG!$B$9)),"Y","N")</f>
        <v/>
      </c>
      <c r="AF12" s="19">
        <f>IF(AE12="Y",(Y12+AB12)*0.8,Y12)</f>
        <v/>
      </c>
      <c r="AG12" s="19">
        <f>IF(AE12="Y",(Y12+AB12)*0.2,AB12)</f>
        <v/>
      </c>
      <c r="AI12" s="18">
        <f>DATA!A12</f>
        <v/>
      </c>
      <c r="AJ12">
        <f>DATA!B12</f>
        <v/>
      </c>
      <c r="AK12" s="19">
        <f>AW11</f>
        <v/>
      </c>
      <c r="AL12" s="19">
        <f>AX11</f>
        <v/>
      </c>
      <c r="AM12" s="19">
        <f>AK12+AL12</f>
        <v/>
      </c>
      <c r="AN12" s="20">
        <f>DATA!E12</f>
        <v/>
      </c>
      <c r="AO12" s="20">
        <f>DATA!F12</f>
        <v/>
      </c>
      <c r="AP12" s="19">
        <f>AK12*(1+AN12)</f>
        <v/>
      </c>
      <c r="AQ12" s="19">
        <f>AL12*(1+AO12)</f>
        <v/>
      </c>
      <c r="AR12" s="19">
        <f>IF(AND(CONFIG!$B$11="Annual",MONTH(AI12)=7),(AP12+AQ12)*CONFIG!$B$6/12,AR11)</f>
        <v/>
      </c>
      <c r="AS12" s="19">
        <f>MAX(0,AQ12-AR12)</f>
        <v/>
      </c>
      <c r="AT12">
        <f>IF(OR(MONTH(AI12)=3,MONTH(AI12)=6,MONTH(AI12)=9,MONTH(AI12)=12),"Y","N")</f>
        <v/>
      </c>
      <c r="AU12" s="21">
        <f>IF((AP12+AS12)=0,0,AS12/(AP12+AS12))</f>
        <v/>
      </c>
      <c r="AV12">
        <f>IF(AND(AT12="Y",OR(AU12&lt;CONFIG!$B$8,AU12&gt;CONFIG!$B$9)),"Y","N")</f>
        <v/>
      </c>
      <c r="AW12" s="19">
        <f>IF(AV12="Y",(AP12+AS12)*0.8,AP12)</f>
        <v/>
      </c>
      <c r="AX12" s="19">
        <f>IF(AV12="Y",(AP12+AS12)*0.2,AS12)</f>
        <v/>
      </c>
    </row>
    <row r="13">
      <c r="A13" s="18">
        <f>DATA!A13</f>
        <v/>
      </c>
      <c r="B13">
        <f>DATA!B13</f>
        <v/>
      </c>
      <c r="C13" s="19">
        <f>O12</f>
        <v/>
      </c>
      <c r="D13" s="19">
        <f>P12</f>
        <v/>
      </c>
      <c r="E13" s="19">
        <f>C13+D13</f>
        <v/>
      </c>
      <c r="F13" s="20">
        <f>DATA!C13</f>
        <v/>
      </c>
      <c r="G13" s="20">
        <f>DATA!F13</f>
        <v/>
      </c>
      <c r="H13" s="19">
        <f>C13*(1+F13)</f>
        <v/>
      </c>
      <c r="I13" s="19">
        <f>D13*(1+G13)</f>
        <v/>
      </c>
      <c r="J13" s="19">
        <f>IF(AND(CONFIG!$B$11="Annual",MONTH(A13)=7),(H13+I13)*CONFIG!$B$6/12,J12)</f>
        <v/>
      </c>
      <c r="K13" s="19">
        <f>MAX(0,I13-J13)</f>
        <v/>
      </c>
      <c r="L13">
        <f>IF(OR(MONTH(A13)=3,MONTH(A13)=6,MONTH(A13)=9,MONTH(A13)=12),"Y","N")</f>
        <v/>
      </c>
      <c r="M13" s="21">
        <f>IF((H13+K13)=0,0,K13/(H13+K13))</f>
        <v/>
      </c>
      <c r="N13">
        <f>IF(AND(L13="Y",OR(M13&lt;CONFIG!$B$8,M13&gt;CONFIG!$B$9)),"Y","N")</f>
        <v/>
      </c>
      <c r="O13" s="19">
        <f>IF(N13="Y",(H13+K13)*0.8,H13)</f>
        <v/>
      </c>
      <c r="P13" s="19">
        <f>IF(N13="Y",(H13+K13)*0.2,K13)</f>
        <v/>
      </c>
      <c r="R13" s="18">
        <f>DATA!A13</f>
        <v/>
      </c>
      <c r="S13">
        <f>DATA!B13</f>
        <v/>
      </c>
      <c r="T13" s="19">
        <f>AF12</f>
        <v/>
      </c>
      <c r="U13" s="19">
        <f>AG12</f>
        <v/>
      </c>
      <c r="V13" s="19">
        <f>T13+U13</f>
        <v/>
      </c>
      <c r="W13" s="20">
        <f>DATA!D13</f>
        <v/>
      </c>
      <c r="X13" s="20">
        <f>DATA!F13</f>
        <v/>
      </c>
      <c r="Y13" s="19">
        <f>T13*(1+W13)</f>
        <v/>
      </c>
      <c r="Z13" s="19">
        <f>U13*(1+X13)</f>
        <v/>
      </c>
      <c r="AA13" s="19">
        <f>IF(AND(CONFIG!$B$11="Annual",MONTH(R13)=7),(Y13+Z13)*CONFIG!$B$6/12,AA12)</f>
        <v/>
      </c>
      <c r="AB13" s="19">
        <f>MAX(0,Z13-AA13)</f>
        <v/>
      </c>
      <c r="AC13">
        <f>IF(OR(MONTH(R13)=3,MONTH(R13)=6,MONTH(R13)=9,MONTH(R13)=12),"Y","N")</f>
        <v/>
      </c>
      <c r="AD13" s="21">
        <f>IF((Y13+AB13)=0,0,AB13/(Y13+AB13))</f>
        <v/>
      </c>
      <c r="AE13">
        <f>IF(AND(AC13="Y",OR(AD13&lt;CONFIG!$B$8,AD13&gt;CONFIG!$B$9)),"Y","N")</f>
        <v/>
      </c>
      <c r="AF13" s="19">
        <f>IF(AE13="Y",(Y13+AB13)*0.8,Y13)</f>
        <v/>
      </c>
      <c r="AG13" s="19">
        <f>IF(AE13="Y",(Y13+AB13)*0.2,AB13)</f>
        <v/>
      </c>
      <c r="AI13" s="18">
        <f>DATA!A13</f>
        <v/>
      </c>
      <c r="AJ13">
        <f>DATA!B13</f>
        <v/>
      </c>
      <c r="AK13" s="19">
        <f>AW12</f>
        <v/>
      </c>
      <c r="AL13" s="19">
        <f>AX12</f>
        <v/>
      </c>
      <c r="AM13" s="19">
        <f>AK13+AL13</f>
        <v/>
      </c>
      <c r="AN13" s="20">
        <f>DATA!E13</f>
        <v/>
      </c>
      <c r="AO13" s="20">
        <f>DATA!F13</f>
        <v/>
      </c>
      <c r="AP13" s="19">
        <f>AK13*(1+AN13)</f>
        <v/>
      </c>
      <c r="AQ13" s="19">
        <f>AL13*(1+AO13)</f>
        <v/>
      </c>
      <c r="AR13" s="19">
        <f>IF(AND(CONFIG!$B$11="Annual",MONTH(AI13)=7),(AP13+AQ13)*CONFIG!$B$6/12,AR12)</f>
        <v/>
      </c>
      <c r="AS13" s="19">
        <f>MAX(0,AQ13-AR13)</f>
        <v/>
      </c>
      <c r="AT13">
        <f>IF(OR(MONTH(AI13)=3,MONTH(AI13)=6,MONTH(AI13)=9,MONTH(AI13)=12),"Y","N")</f>
        <v/>
      </c>
      <c r="AU13" s="21">
        <f>IF((AP13+AS13)=0,0,AS13/(AP13+AS13))</f>
        <v/>
      </c>
      <c r="AV13">
        <f>IF(AND(AT13="Y",OR(AU13&lt;CONFIG!$B$8,AU13&gt;CONFIG!$B$9)),"Y","N")</f>
        <v/>
      </c>
      <c r="AW13" s="19">
        <f>IF(AV13="Y",(AP13+AS13)*0.8,AP13)</f>
        <v/>
      </c>
      <c r="AX13" s="19">
        <f>IF(AV13="Y",(AP13+AS13)*0.2,AS13)</f>
        <v/>
      </c>
    </row>
    <row r="14">
      <c r="A14" s="18">
        <f>DATA!A14</f>
        <v/>
      </c>
      <c r="B14">
        <f>DATA!B14</f>
        <v/>
      </c>
      <c r="C14" s="19">
        <f>O13</f>
        <v/>
      </c>
      <c r="D14" s="19">
        <f>P13</f>
        <v/>
      </c>
      <c r="E14" s="19">
        <f>C14+D14</f>
        <v/>
      </c>
      <c r="F14" s="20">
        <f>DATA!C14</f>
        <v/>
      </c>
      <c r="G14" s="20">
        <f>DATA!F14</f>
        <v/>
      </c>
      <c r="H14" s="19">
        <f>C14*(1+F14)</f>
        <v/>
      </c>
      <c r="I14" s="19">
        <f>D14*(1+G14)</f>
        <v/>
      </c>
      <c r="J14" s="19">
        <f>IF(AND(CONFIG!$B$11="Annual",MONTH(A14)=7),(H14+I14)*CONFIG!$B$6/12,J13)</f>
        <v/>
      </c>
      <c r="K14" s="19">
        <f>MAX(0,I14-J14)</f>
        <v/>
      </c>
      <c r="L14">
        <f>IF(OR(MONTH(A14)=3,MONTH(A14)=6,MONTH(A14)=9,MONTH(A14)=12),"Y","N")</f>
        <v/>
      </c>
      <c r="M14" s="21">
        <f>IF((H14+K14)=0,0,K14/(H14+K14))</f>
        <v/>
      </c>
      <c r="N14">
        <f>IF(AND(L14="Y",OR(M14&lt;CONFIG!$B$8,M14&gt;CONFIG!$B$9)),"Y","N")</f>
        <v/>
      </c>
      <c r="O14" s="19">
        <f>IF(N14="Y",(H14+K14)*0.8,H14)</f>
        <v/>
      </c>
      <c r="P14" s="19">
        <f>IF(N14="Y",(H14+K14)*0.2,K14)</f>
        <v/>
      </c>
      <c r="R14" s="18">
        <f>DATA!A14</f>
        <v/>
      </c>
      <c r="S14">
        <f>DATA!B14</f>
        <v/>
      </c>
      <c r="T14" s="19">
        <f>AF13</f>
        <v/>
      </c>
      <c r="U14" s="19">
        <f>AG13</f>
        <v/>
      </c>
      <c r="V14" s="19">
        <f>T14+U14</f>
        <v/>
      </c>
      <c r="W14" s="20">
        <f>DATA!D14</f>
        <v/>
      </c>
      <c r="X14" s="20">
        <f>DATA!F14</f>
        <v/>
      </c>
      <c r="Y14" s="19">
        <f>T14*(1+W14)</f>
        <v/>
      </c>
      <c r="Z14" s="19">
        <f>U14*(1+X14)</f>
        <v/>
      </c>
      <c r="AA14" s="19">
        <f>IF(AND(CONFIG!$B$11="Annual",MONTH(R14)=7),(Y14+Z14)*CONFIG!$B$6/12,AA13)</f>
        <v/>
      </c>
      <c r="AB14" s="19">
        <f>MAX(0,Z14-AA14)</f>
        <v/>
      </c>
      <c r="AC14">
        <f>IF(OR(MONTH(R14)=3,MONTH(R14)=6,MONTH(R14)=9,MONTH(R14)=12),"Y","N")</f>
        <v/>
      </c>
      <c r="AD14" s="21">
        <f>IF((Y14+AB14)=0,0,AB14/(Y14+AB14))</f>
        <v/>
      </c>
      <c r="AE14">
        <f>IF(AND(AC14="Y",OR(AD14&lt;CONFIG!$B$8,AD14&gt;CONFIG!$B$9)),"Y","N")</f>
        <v/>
      </c>
      <c r="AF14" s="19">
        <f>IF(AE14="Y",(Y14+AB14)*0.8,Y14)</f>
        <v/>
      </c>
      <c r="AG14" s="19">
        <f>IF(AE14="Y",(Y14+AB14)*0.2,AB14)</f>
        <v/>
      </c>
      <c r="AI14" s="18">
        <f>DATA!A14</f>
        <v/>
      </c>
      <c r="AJ14">
        <f>DATA!B14</f>
        <v/>
      </c>
      <c r="AK14" s="19">
        <f>AW13</f>
        <v/>
      </c>
      <c r="AL14" s="19">
        <f>AX13</f>
        <v/>
      </c>
      <c r="AM14" s="19">
        <f>AK14+AL14</f>
        <v/>
      </c>
      <c r="AN14" s="20">
        <f>DATA!E14</f>
        <v/>
      </c>
      <c r="AO14" s="20">
        <f>DATA!F14</f>
        <v/>
      </c>
      <c r="AP14" s="19">
        <f>AK14*(1+AN14)</f>
        <v/>
      </c>
      <c r="AQ14" s="19">
        <f>AL14*(1+AO14)</f>
        <v/>
      </c>
      <c r="AR14" s="19">
        <f>IF(AND(CONFIG!$B$11="Annual",MONTH(AI14)=7),(AP14+AQ14)*CONFIG!$B$6/12,AR13)</f>
        <v/>
      </c>
      <c r="AS14" s="19">
        <f>MAX(0,AQ14-AR14)</f>
        <v/>
      </c>
      <c r="AT14">
        <f>IF(OR(MONTH(AI14)=3,MONTH(AI14)=6,MONTH(AI14)=9,MONTH(AI14)=12),"Y","N")</f>
        <v/>
      </c>
      <c r="AU14" s="21">
        <f>IF((AP14+AS14)=0,0,AS14/(AP14+AS14))</f>
        <v/>
      </c>
      <c r="AV14">
        <f>IF(AND(AT14="Y",OR(AU14&lt;CONFIG!$B$8,AU14&gt;CONFIG!$B$9)),"Y","N")</f>
        <v/>
      </c>
      <c r="AW14" s="19">
        <f>IF(AV14="Y",(AP14+AS14)*0.8,AP14)</f>
        <v/>
      </c>
      <c r="AX14" s="19">
        <f>IF(AV14="Y",(AP14+AS14)*0.2,AS14)</f>
        <v/>
      </c>
    </row>
    <row r="15">
      <c r="A15" s="18">
        <f>DATA!A15</f>
        <v/>
      </c>
      <c r="B15">
        <f>DATA!B15</f>
        <v/>
      </c>
      <c r="C15" s="19">
        <f>O14</f>
        <v/>
      </c>
      <c r="D15" s="19">
        <f>P14</f>
        <v/>
      </c>
      <c r="E15" s="19">
        <f>C15+D15</f>
        <v/>
      </c>
      <c r="F15" s="20">
        <f>DATA!C15</f>
        <v/>
      </c>
      <c r="G15" s="20">
        <f>DATA!F15</f>
        <v/>
      </c>
      <c r="H15" s="19">
        <f>C15*(1+F15)</f>
        <v/>
      </c>
      <c r="I15" s="19">
        <f>D15*(1+G15)</f>
        <v/>
      </c>
      <c r="J15" s="19">
        <f>IF(AND(CONFIG!$B$11="Annual",MONTH(A15)=7),(H15+I15)*CONFIG!$B$6/12,J14)</f>
        <v/>
      </c>
      <c r="K15" s="19">
        <f>MAX(0,I15-J15)</f>
        <v/>
      </c>
      <c r="L15">
        <f>IF(OR(MONTH(A15)=3,MONTH(A15)=6,MONTH(A15)=9,MONTH(A15)=12),"Y","N")</f>
        <v/>
      </c>
      <c r="M15" s="21">
        <f>IF((H15+K15)=0,0,K15/(H15+K15))</f>
        <v/>
      </c>
      <c r="N15">
        <f>IF(AND(L15="Y",OR(M15&lt;CONFIG!$B$8,M15&gt;CONFIG!$B$9)),"Y","N")</f>
        <v/>
      </c>
      <c r="O15" s="19">
        <f>IF(N15="Y",(H15+K15)*0.8,H15)</f>
        <v/>
      </c>
      <c r="P15" s="19">
        <f>IF(N15="Y",(H15+K15)*0.2,K15)</f>
        <v/>
      </c>
      <c r="R15" s="18">
        <f>DATA!A15</f>
        <v/>
      </c>
      <c r="S15">
        <f>DATA!B15</f>
        <v/>
      </c>
      <c r="T15" s="19">
        <f>AF14</f>
        <v/>
      </c>
      <c r="U15" s="19">
        <f>AG14</f>
        <v/>
      </c>
      <c r="V15" s="19">
        <f>T15+U15</f>
        <v/>
      </c>
      <c r="W15" s="20">
        <f>DATA!D15</f>
        <v/>
      </c>
      <c r="X15" s="20">
        <f>DATA!F15</f>
        <v/>
      </c>
      <c r="Y15" s="19">
        <f>T15*(1+W15)</f>
        <v/>
      </c>
      <c r="Z15" s="19">
        <f>U15*(1+X15)</f>
        <v/>
      </c>
      <c r="AA15" s="19">
        <f>IF(AND(CONFIG!$B$11="Annual",MONTH(R15)=7),(Y15+Z15)*CONFIG!$B$6/12,AA14)</f>
        <v/>
      </c>
      <c r="AB15" s="19">
        <f>MAX(0,Z15-AA15)</f>
        <v/>
      </c>
      <c r="AC15">
        <f>IF(OR(MONTH(R15)=3,MONTH(R15)=6,MONTH(R15)=9,MONTH(R15)=12),"Y","N")</f>
        <v/>
      </c>
      <c r="AD15" s="21">
        <f>IF((Y15+AB15)=0,0,AB15/(Y15+AB15))</f>
        <v/>
      </c>
      <c r="AE15">
        <f>IF(AND(AC15="Y",OR(AD15&lt;CONFIG!$B$8,AD15&gt;CONFIG!$B$9)),"Y","N")</f>
        <v/>
      </c>
      <c r="AF15" s="19">
        <f>IF(AE15="Y",(Y15+AB15)*0.8,Y15)</f>
        <v/>
      </c>
      <c r="AG15" s="19">
        <f>IF(AE15="Y",(Y15+AB15)*0.2,AB15)</f>
        <v/>
      </c>
      <c r="AI15" s="18">
        <f>DATA!A15</f>
        <v/>
      </c>
      <c r="AJ15">
        <f>DATA!B15</f>
        <v/>
      </c>
      <c r="AK15" s="19">
        <f>AW14</f>
        <v/>
      </c>
      <c r="AL15" s="19">
        <f>AX14</f>
        <v/>
      </c>
      <c r="AM15" s="19">
        <f>AK15+AL15</f>
        <v/>
      </c>
      <c r="AN15" s="20">
        <f>DATA!E15</f>
        <v/>
      </c>
      <c r="AO15" s="20">
        <f>DATA!F15</f>
        <v/>
      </c>
      <c r="AP15" s="19">
        <f>AK15*(1+AN15)</f>
        <v/>
      </c>
      <c r="AQ15" s="19">
        <f>AL15*(1+AO15)</f>
        <v/>
      </c>
      <c r="AR15" s="19">
        <f>IF(AND(CONFIG!$B$11="Annual",MONTH(AI15)=7),(AP15+AQ15)*CONFIG!$B$6/12,AR14)</f>
        <v/>
      </c>
      <c r="AS15" s="19">
        <f>MAX(0,AQ15-AR15)</f>
        <v/>
      </c>
      <c r="AT15">
        <f>IF(OR(MONTH(AI15)=3,MONTH(AI15)=6,MONTH(AI15)=9,MONTH(AI15)=12),"Y","N")</f>
        <v/>
      </c>
      <c r="AU15" s="21">
        <f>IF((AP15+AS15)=0,0,AS15/(AP15+AS15))</f>
        <v/>
      </c>
      <c r="AV15">
        <f>IF(AND(AT15="Y",OR(AU15&lt;CONFIG!$B$8,AU15&gt;CONFIG!$B$9)),"Y","N")</f>
        <v/>
      </c>
      <c r="AW15" s="19">
        <f>IF(AV15="Y",(AP15+AS15)*0.8,AP15)</f>
        <v/>
      </c>
      <c r="AX15" s="19">
        <f>IF(AV15="Y",(AP15+AS15)*0.2,AS15)</f>
        <v/>
      </c>
    </row>
    <row r="16">
      <c r="A16" s="18">
        <f>DATA!A16</f>
        <v/>
      </c>
      <c r="B16">
        <f>DATA!B16</f>
        <v/>
      </c>
      <c r="C16" s="19">
        <f>O15</f>
        <v/>
      </c>
      <c r="D16" s="19">
        <f>P15</f>
        <v/>
      </c>
      <c r="E16" s="19">
        <f>C16+D16</f>
        <v/>
      </c>
      <c r="F16" s="20">
        <f>DATA!C16</f>
        <v/>
      </c>
      <c r="G16" s="20">
        <f>DATA!F16</f>
        <v/>
      </c>
      <c r="H16" s="19">
        <f>C16*(1+F16)</f>
        <v/>
      </c>
      <c r="I16" s="19">
        <f>D16*(1+G16)</f>
        <v/>
      </c>
      <c r="J16" s="19">
        <f>IF(AND(CONFIG!$B$11="Annual",MONTH(A16)=7),(H16+I16)*CONFIG!$B$6/12,J15)</f>
        <v/>
      </c>
      <c r="K16" s="19">
        <f>MAX(0,I16-J16)</f>
        <v/>
      </c>
      <c r="L16">
        <f>IF(OR(MONTH(A16)=3,MONTH(A16)=6,MONTH(A16)=9,MONTH(A16)=12),"Y","N")</f>
        <v/>
      </c>
      <c r="M16" s="21">
        <f>IF((H16+K16)=0,0,K16/(H16+K16))</f>
        <v/>
      </c>
      <c r="N16">
        <f>IF(AND(L16="Y",OR(M16&lt;CONFIG!$B$8,M16&gt;CONFIG!$B$9)),"Y","N")</f>
        <v/>
      </c>
      <c r="O16" s="19">
        <f>IF(N16="Y",(H16+K16)*0.8,H16)</f>
        <v/>
      </c>
      <c r="P16" s="19">
        <f>IF(N16="Y",(H16+K16)*0.2,K16)</f>
        <v/>
      </c>
      <c r="R16" s="18">
        <f>DATA!A16</f>
        <v/>
      </c>
      <c r="S16">
        <f>DATA!B16</f>
        <v/>
      </c>
      <c r="T16" s="19">
        <f>AF15</f>
        <v/>
      </c>
      <c r="U16" s="19">
        <f>AG15</f>
        <v/>
      </c>
      <c r="V16" s="19">
        <f>T16+U16</f>
        <v/>
      </c>
      <c r="W16" s="20">
        <f>DATA!D16</f>
        <v/>
      </c>
      <c r="X16" s="20">
        <f>DATA!F16</f>
        <v/>
      </c>
      <c r="Y16" s="19">
        <f>T16*(1+W16)</f>
        <v/>
      </c>
      <c r="Z16" s="19">
        <f>U16*(1+X16)</f>
        <v/>
      </c>
      <c r="AA16" s="19">
        <f>IF(AND(CONFIG!$B$11="Annual",MONTH(R16)=7),(Y16+Z16)*CONFIG!$B$6/12,AA15)</f>
        <v/>
      </c>
      <c r="AB16" s="19">
        <f>MAX(0,Z16-AA16)</f>
        <v/>
      </c>
      <c r="AC16">
        <f>IF(OR(MONTH(R16)=3,MONTH(R16)=6,MONTH(R16)=9,MONTH(R16)=12),"Y","N")</f>
        <v/>
      </c>
      <c r="AD16" s="21">
        <f>IF((Y16+AB16)=0,0,AB16/(Y16+AB16))</f>
        <v/>
      </c>
      <c r="AE16">
        <f>IF(AND(AC16="Y",OR(AD16&lt;CONFIG!$B$8,AD16&gt;CONFIG!$B$9)),"Y","N")</f>
        <v/>
      </c>
      <c r="AF16" s="19">
        <f>IF(AE16="Y",(Y16+AB16)*0.8,Y16)</f>
        <v/>
      </c>
      <c r="AG16" s="19">
        <f>IF(AE16="Y",(Y16+AB16)*0.2,AB16)</f>
        <v/>
      </c>
      <c r="AI16" s="18">
        <f>DATA!A16</f>
        <v/>
      </c>
      <c r="AJ16">
        <f>DATA!B16</f>
        <v/>
      </c>
      <c r="AK16" s="19">
        <f>AW15</f>
        <v/>
      </c>
      <c r="AL16" s="19">
        <f>AX15</f>
        <v/>
      </c>
      <c r="AM16" s="19">
        <f>AK16+AL16</f>
        <v/>
      </c>
      <c r="AN16" s="20">
        <f>DATA!E16</f>
        <v/>
      </c>
      <c r="AO16" s="20">
        <f>DATA!F16</f>
        <v/>
      </c>
      <c r="AP16" s="19">
        <f>AK16*(1+AN16)</f>
        <v/>
      </c>
      <c r="AQ16" s="19">
        <f>AL16*(1+AO16)</f>
        <v/>
      </c>
      <c r="AR16" s="19">
        <f>IF(AND(CONFIG!$B$11="Annual",MONTH(AI16)=7),(AP16+AQ16)*CONFIG!$B$6/12,AR15)</f>
        <v/>
      </c>
      <c r="AS16" s="19">
        <f>MAX(0,AQ16-AR16)</f>
        <v/>
      </c>
      <c r="AT16">
        <f>IF(OR(MONTH(AI16)=3,MONTH(AI16)=6,MONTH(AI16)=9,MONTH(AI16)=12),"Y","N")</f>
        <v/>
      </c>
      <c r="AU16" s="21">
        <f>IF((AP16+AS16)=0,0,AS16/(AP16+AS16))</f>
        <v/>
      </c>
      <c r="AV16">
        <f>IF(AND(AT16="Y",OR(AU16&lt;CONFIG!$B$8,AU16&gt;CONFIG!$B$9)),"Y","N")</f>
        <v/>
      </c>
      <c r="AW16" s="19">
        <f>IF(AV16="Y",(AP16+AS16)*0.8,AP16)</f>
        <v/>
      </c>
      <c r="AX16" s="19">
        <f>IF(AV16="Y",(AP16+AS16)*0.2,AS16)</f>
        <v/>
      </c>
    </row>
    <row r="17">
      <c r="A17" s="18">
        <f>DATA!A17</f>
        <v/>
      </c>
      <c r="B17">
        <f>DATA!B17</f>
        <v/>
      </c>
      <c r="C17" s="19">
        <f>O16</f>
        <v/>
      </c>
      <c r="D17" s="19">
        <f>P16</f>
        <v/>
      </c>
      <c r="E17" s="19">
        <f>C17+D17</f>
        <v/>
      </c>
      <c r="F17" s="20">
        <f>DATA!C17</f>
        <v/>
      </c>
      <c r="G17" s="20">
        <f>DATA!F17</f>
        <v/>
      </c>
      <c r="H17" s="19">
        <f>C17*(1+F17)</f>
        <v/>
      </c>
      <c r="I17" s="19">
        <f>D17*(1+G17)</f>
        <v/>
      </c>
      <c r="J17" s="19">
        <f>IF(AND(CONFIG!$B$11="Annual",MONTH(A17)=7),(H17+I17)*CONFIG!$B$6/12,J16)</f>
        <v/>
      </c>
      <c r="K17" s="19">
        <f>MAX(0,I17-J17)</f>
        <v/>
      </c>
      <c r="L17">
        <f>IF(OR(MONTH(A17)=3,MONTH(A17)=6,MONTH(A17)=9,MONTH(A17)=12),"Y","N")</f>
        <v/>
      </c>
      <c r="M17" s="21">
        <f>IF((H17+K17)=0,0,K17/(H17+K17))</f>
        <v/>
      </c>
      <c r="N17">
        <f>IF(AND(L17="Y",OR(M17&lt;CONFIG!$B$8,M17&gt;CONFIG!$B$9)),"Y","N")</f>
        <v/>
      </c>
      <c r="O17" s="19">
        <f>IF(N17="Y",(H17+K17)*0.8,H17)</f>
        <v/>
      </c>
      <c r="P17" s="19">
        <f>IF(N17="Y",(H17+K17)*0.2,K17)</f>
        <v/>
      </c>
      <c r="R17" s="18">
        <f>DATA!A17</f>
        <v/>
      </c>
      <c r="S17">
        <f>DATA!B17</f>
        <v/>
      </c>
      <c r="T17" s="19">
        <f>AF16</f>
        <v/>
      </c>
      <c r="U17" s="19">
        <f>AG16</f>
        <v/>
      </c>
      <c r="V17" s="19">
        <f>T17+U17</f>
        <v/>
      </c>
      <c r="W17" s="20">
        <f>DATA!D17</f>
        <v/>
      </c>
      <c r="X17" s="20">
        <f>DATA!F17</f>
        <v/>
      </c>
      <c r="Y17" s="19">
        <f>T17*(1+W17)</f>
        <v/>
      </c>
      <c r="Z17" s="19">
        <f>U17*(1+X17)</f>
        <v/>
      </c>
      <c r="AA17" s="19">
        <f>IF(AND(CONFIG!$B$11="Annual",MONTH(R17)=7),(Y17+Z17)*CONFIG!$B$6/12,AA16)</f>
        <v/>
      </c>
      <c r="AB17" s="19">
        <f>MAX(0,Z17-AA17)</f>
        <v/>
      </c>
      <c r="AC17">
        <f>IF(OR(MONTH(R17)=3,MONTH(R17)=6,MONTH(R17)=9,MONTH(R17)=12),"Y","N")</f>
        <v/>
      </c>
      <c r="AD17" s="21">
        <f>IF((Y17+AB17)=0,0,AB17/(Y17+AB17))</f>
        <v/>
      </c>
      <c r="AE17">
        <f>IF(AND(AC17="Y",OR(AD17&lt;CONFIG!$B$8,AD17&gt;CONFIG!$B$9)),"Y","N")</f>
        <v/>
      </c>
      <c r="AF17" s="19">
        <f>IF(AE17="Y",(Y17+AB17)*0.8,Y17)</f>
        <v/>
      </c>
      <c r="AG17" s="19">
        <f>IF(AE17="Y",(Y17+AB17)*0.2,AB17)</f>
        <v/>
      </c>
      <c r="AI17" s="18">
        <f>DATA!A17</f>
        <v/>
      </c>
      <c r="AJ17">
        <f>DATA!B17</f>
        <v/>
      </c>
      <c r="AK17" s="19">
        <f>AW16</f>
        <v/>
      </c>
      <c r="AL17" s="19">
        <f>AX16</f>
        <v/>
      </c>
      <c r="AM17" s="19">
        <f>AK17+AL17</f>
        <v/>
      </c>
      <c r="AN17" s="20">
        <f>DATA!E17</f>
        <v/>
      </c>
      <c r="AO17" s="20">
        <f>DATA!F17</f>
        <v/>
      </c>
      <c r="AP17" s="19">
        <f>AK17*(1+AN17)</f>
        <v/>
      </c>
      <c r="AQ17" s="19">
        <f>AL17*(1+AO17)</f>
        <v/>
      </c>
      <c r="AR17" s="19">
        <f>IF(AND(CONFIG!$B$11="Annual",MONTH(AI17)=7),(AP17+AQ17)*CONFIG!$B$6/12,AR16)</f>
        <v/>
      </c>
      <c r="AS17" s="19">
        <f>MAX(0,AQ17-AR17)</f>
        <v/>
      </c>
      <c r="AT17">
        <f>IF(OR(MONTH(AI17)=3,MONTH(AI17)=6,MONTH(AI17)=9,MONTH(AI17)=12),"Y","N")</f>
        <v/>
      </c>
      <c r="AU17" s="21">
        <f>IF((AP17+AS17)=0,0,AS17/(AP17+AS17))</f>
        <v/>
      </c>
      <c r="AV17">
        <f>IF(AND(AT17="Y",OR(AU17&lt;CONFIG!$B$8,AU17&gt;CONFIG!$B$9)),"Y","N")</f>
        <v/>
      </c>
      <c r="AW17" s="19">
        <f>IF(AV17="Y",(AP17+AS17)*0.8,AP17)</f>
        <v/>
      </c>
      <c r="AX17" s="19">
        <f>IF(AV17="Y",(AP17+AS17)*0.2,AS17)</f>
        <v/>
      </c>
    </row>
    <row r="18">
      <c r="A18" s="18">
        <f>DATA!A18</f>
        <v/>
      </c>
      <c r="B18">
        <f>DATA!B18</f>
        <v/>
      </c>
      <c r="C18" s="19">
        <f>O17</f>
        <v/>
      </c>
      <c r="D18" s="19">
        <f>P17</f>
        <v/>
      </c>
      <c r="E18" s="19">
        <f>C18+D18</f>
        <v/>
      </c>
      <c r="F18" s="20">
        <f>DATA!C18</f>
        <v/>
      </c>
      <c r="G18" s="20">
        <f>DATA!F18</f>
        <v/>
      </c>
      <c r="H18" s="19">
        <f>C18*(1+F18)</f>
        <v/>
      </c>
      <c r="I18" s="19">
        <f>D18*(1+G18)</f>
        <v/>
      </c>
      <c r="J18" s="19">
        <f>IF(AND(CONFIG!$B$11="Annual",MONTH(A18)=7),(H18+I18)*CONFIG!$B$6/12,J17)</f>
        <v/>
      </c>
      <c r="K18" s="19">
        <f>MAX(0,I18-J18)</f>
        <v/>
      </c>
      <c r="L18">
        <f>IF(OR(MONTH(A18)=3,MONTH(A18)=6,MONTH(A18)=9,MONTH(A18)=12),"Y","N")</f>
        <v/>
      </c>
      <c r="M18" s="21">
        <f>IF((H18+K18)=0,0,K18/(H18+K18))</f>
        <v/>
      </c>
      <c r="N18">
        <f>IF(AND(L18="Y",OR(M18&lt;CONFIG!$B$8,M18&gt;CONFIG!$B$9)),"Y","N")</f>
        <v/>
      </c>
      <c r="O18" s="19">
        <f>IF(N18="Y",(H18+K18)*0.8,H18)</f>
        <v/>
      </c>
      <c r="P18" s="19">
        <f>IF(N18="Y",(H18+K18)*0.2,K18)</f>
        <v/>
      </c>
      <c r="R18" s="18">
        <f>DATA!A18</f>
        <v/>
      </c>
      <c r="S18">
        <f>DATA!B18</f>
        <v/>
      </c>
      <c r="T18" s="19">
        <f>AF17</f>
        <v/>
      </c>
      <c r="U18" s="19">
        <f>AG17</f>
        <v/>
      </c>
      <c r="V18" s="19">
        <f>T18+U18</f>
        <v/>
      </c>
      <c r="W18" s="20">
        <f>DATA!D18</f>
        <v/>
      </c>
      <c r="X18" s="20">
        <f>DATA!F18</f>
        <v/>
      </c>
      <c r="Y18" s="19">
        <f>T18*(1+W18)</f>
        <v/>
      </c>
      <c r="Z18" s="19">
        <f>U18*(1+X18)</f>
        <v/>
      </c>
      <c r="AA18" s="19">
        <f>IF(AND(CONFIG!$B$11="Annual",MONTH(R18)=7),(Y18+Z18)*CONFIG!$B$6/12,AA17)</f>
        <v/>
      </c>
      <c r="AB18" s="19">
        <f>MAX(0,Z18-AA18)</f>
        <v/>
      </c>
      <c r="AC18">
        <f>IF(OR(MONTH(R18)=3,MONTH(R18)=6,MONTH(R18)=9,MONTH(R18)=12),"Y","N")</f>
        <v/>
      </c>
      <c r="AD18" s="21">
        <f>IF((Y18+AB18)=0,0,AB18/(Y18+AB18))</f>
        <v/>
      </c>
      <c r="AE18">
        <f>IF(AND(AC18="Y",OR(AD18&lt;CONFIG!$B$8,AD18&gt;CONFIG!$B$9)),"Y","N")</f>
        <v/>
      </c>
      <c r="AF18" s="19">
        <f>IF(AE18="Y",(Y18+AB18)*0.8,Y18)</f>
        <v/>
      </c>
      <c r="AG18" s="19">
        <f>IF(AE18="Y",(Y18+AB18)*0.2,AB18)</f>
        <v/>
      </c>
      <c r="AI18" s="18">
        <f>DATA!A18</f>
        <v/>
      </c>
      <c r="AJ18">
        <f>DATA!B18</f>
        <v/>
      </c>
      <c r="AK18" s="19">
        <f>AW17</f>
        <v/>
      </c>
      <c r="AL18" s="19">
        <f>AX17</f>
        <v/>
      </c>
      <c r="AM18" s="19">
        <f>AK18+AL18</f>
        <v/>
      </c>
      <c r="AN18" s="20">
        <f>DATA!E18</f>
        <v/>
      </c>
      <c r="AO18" s="20">
        <f>DATA!F18</f>
        <v/>
      </c>
      <c r="AP18" s="19">
        <f>AK18*(1+AN18)</f>
        <v/>
      </c>
      <c r="AQ18" s="19">
        <f>AL18*(1+AO18)</f>
        <v/>
      </c>
      <c r="AR18" s="19">
        <f>IF(AND(CONFIG!$B$11="Annual",MONTH(AI18)=7),(AP18+AQ18)*CONFIG!$B$6/12,AR17)</f>
        <v/>
      </c>
      <c r="AS18" s="19">
        <f>MAX(0,AQ18-AR18)</f>
        <v/>
      </c>
      <c r="AT18">
        <f>IF(OR(MONTH(AI18)=3,MONTH(AI18)=6,MONTH(AI18)=9,MONTH(AI18)=12),"Y","N")</f>
        <v/>
      </c>
      <c r="AU18" s="21">
        <f>IF((AP18+AS18)=0,0,AS18/(AP18+AS18))</f>
        <v/>
      </c>
      <c r="AV18">
        <f>IF(AND(AT18="Y",OR(AU18&lt;CONFIG!$B$8,AU18&gt;CONFIG!$B$9)),"Y","N")</f>
        <v/>
      </c>
      <c r="AW18" s="19">
        <f>IF(AV18="Y",(AP18+AS18)*0.8,AP18)</f>
        <v/>
      </c>
      <c r="AX18" s="19">
        <f>IF(AV18="Y",(AP18+AS18)*0.2,AS18)</f>
        <v/>
      </c>
    </row>
    <row r="19">
      <c r="A19" s="18">
        <f>DATA!A19</f>
        <v/>
      </c>
      <c r="B19">
        <f>DATA!B19</f>
        <v/>
      </c>
      <c r="C19" s="19">
        <f>O18</f>
        <v/>
      </c>
      <c r="D19" s="19">
        <f>P18</f>
        <v/>
      </c>
      <c r="E19" s="19">
        <f>C19+D19</f>
        <v/>
      </c>
      <c r="F19" s="20">
        <f>DATA!C19</f>
        <v/>
      </c>
      <c r="G19" s="20">
        <f>DATA!F19</f>
        <v/>
      </c>
      <c r="H19" s="19">
        <f>C19*(1+F19)</f>
        <v/>
      </c>
      <c r="I19" s="19">
        <f>D19*(1+G19)</f>
        <v/>
      </c>
      <c r="J19" s="19">
        <f>IF(AND(CONFIG!$B$11="Annual",MONTH(A19)=7),(H19+I19)*CONFIG!$B$6/12,J18)</f>
        <v/>
      </c>
      <c r="K19" s="19">
        <f>MAX(0,I19-J19)</f>
        <v/>
      </c>
      <c r="L19">
        <f>IF(OR(MONTH(A19)=3,MONTH(A19)=6,MONTH(A19)=9,MONTH(A19)=12),"Y","N")</f>
        <v/>
      </c>
      <c r="M19" s="21">
        <f>IF((H19+K19)=0,0,K19/(H19+K19))</f>
        <v/>
      </c>
      <c r="N19">
        <f>IF(AND(L19="Y",OR(M19&lt;CONFIG!$B$8,M19&gt;CONFIG!$B$9)),"Y","N")</f>
        <v/>
      </c>
      <c r="O19" s="19">
        <f>IF(N19="Y",(H19+K19)*0.8,H19)</f>
        <v/>
      </c>
      <c r="P19" s="19">
        <f>IF(N19="Y",(H19+K19)*0.2,K19)</f>
        <v/>
      </c>
      <c r="R19" s="18">
        <f>DATA!A19</f>
        <v/>
      </c>
      <c r="S19">
        <f>DATA!B19</f>
        <v/>
      </c>
      <c r="T19" s="19">
        <f>AF18</f>
        <v/>
      </c>
      <c r="U19" s="19">
        <f>AG18</f>
        <v/>
      </c>
      <c r="V19" s="19">
        <f>T19+U19</f>
        <v/>
      </c>
      <c r="W19" s="20">
        <f>DATA!D19</f>
        <v/>
      </c>
      <c r="X19" s="20">
        <f>DATA!F19</f>
        <v/>
      </c>
      <c r="Y19" s="19">
        <f>T19*(1+W19)</f>
        <v/>
      </c>
      <c r="Z19" s="19">
        <f>U19*(1+X19)</f>
        <v/>
      </c>
      <c r="AA19" s="19">
        <f>IF(AND(CONFIG!$B$11="Annual",MONTH(R19)=7),(Y19+Z19)*CONFIG!$B$6/12,AA18)</f>
        <v/>
      </c>
      <c r="AB19" s="19">
        <f>MAX(0,Z19-AA19)</f>
        <v/>
      </c>
      <c r="AC19">
        <f>IF(OR(MONTH(R19)=3,MONTH(R19)=6,MONTH(R19)=9,MONTH(R19)=12),"Y","N")</f>
        <v/>
      </c>
      <c r="AD19" s="21">
        <f>IF((Y19+AB19)=0,0,AB19/(Y19+AB19))</f>
        <v/>
      </c>
      <c r="AE19">
        <f>IF(AND(AC19="Y",OR(AD19&lt;CONFIG!$B$8,AD19&gt;CONFIG!$B$9)),"Y","N")</f>
        <v/>
      </c>
      <c r="AF19" s="19">
        <f>IF(AE19="Y",(Y19+AB19)*0.8,Y19)</f>
        <v/>
      </c>
      <c r="AG19" s="19">
        <f>IF(AE19="Y",(Y19+AB19)*0.2,AB19)</f>
        <v/>
      </c>
      <c r="AI19" s="18">
        <f>DATA!A19</f>
        <v/>
      </c>
      <c r="AJ19">
        <f>DATA!B19</f>
        <v/>
      </c>
      <c r="AK19" s="19">
        <f>AW18</f>
        <v/>
      </c>
      <c r="AL19" s="19">
        <f>AX18</f>
        <v/>
      </c>
      <c r="AM19" s="19">
        <f>AK19+AL19</f>
        <v/>
      </c>
      <c r="AN19" s="20">
        <f>DATA!E19</f>
        <v/>
      </c>
      <c r="AO19" s="20">
        <f>DATA!F19</f>
        <v/>
      </c>
      <c r="AP19" s="19">
        <f>AK19*(1+AN19)</f>
        <v/>
      </c>
      <c r="AQ19" s="19">
        <f>AL19*(1+AO19)</f>
        <v/>
      </c>
      <c r="AR19" s="19">
        <f>IF(AND(CONFIG!$B$11="Annual",MONTH(AI19)=7),(AP19+AQ19)*CONFIG!$B$6/12,AR18)</f>
        <v/>
      </c>
      <c r="AS19" s="19">
        <f>MAX(0,AQ19-AR19)</f>
        <v/>
      </c>
      <c r="AT19">
        <f>IF(OR(MONTH(AI19)=3,MONTH(AI19)=6,MONTH(AI19)=9,MONTH(AI19)=12),"Y","N")</f>
        <v/>
      </c>
      <c r="AU19" s="21">
        <f>IF((AP19+AS19)=0,0,AS19/(AP19+AS19))</f>
        <v/>
      </c>
      <c r="AV19">
        <f>IF(AND(AT19="Y",OR(AU19&lt;CONFIG!$B$8,AU19&gt;CONFIG!$B$9)),"Y","N")</f>
        <v/>
      </c>
      <c r="AW19" s="19">
        <f>IF(AV19="Y",(AP19+AS19)*0.8,AP19)</f>
        <v/>
      </c>
      <c r="AX19" s="19">
        <f>IF(AV19="Y",(AP19+AS19)*0.2,AS19)</f>
        <v/>
      </c>
    </row>
    <row r="20">
      <c r="A20" s="18">
        <f>DATA!A20</f>
        <v/>
      </c>
      <c r="B20">
        <f>DATA!B20</f>
        <v/>
      </c>
      <c r="C20" s="19">
        <f>O19</f>
        <v/>
      </c>
      <c r="D20" s="19">
        <f>P19</f>
        <v/>
      </c>
      <c r="E20" s="19">
        <f>C20+D20</f>
        <v/>
      </c>
      <c r="F20" s="20">
        <f>DATA!C20</f>
        <v/>
      </c>
      <c r="G20" s="20">
        <f>DATA!F20</f>
        <v/>
      </c>
      <c r="H20" s="19">
        <f>C20*(1+F20)</f>
        <v/>
      </c>
      <c r="I20" s="19">
        <f>D20*(1+G20)</f>
        <v/>
      </c>
      <c r="J20" s="19">
        <f>IF(AND(CONFIG!$B$11="Annual",MONTH(A20)=7),(H20+I20)*CONFIG!$B$6/12,J19)</f>
        <v/>
      </c>
      <c r="K20" s="19">
        <f>MAX(0,I20-J20)</f>
        <v/>
      </c>
      <c r="L20">
        <f>IF(OR(MONTH(A20)=3,MONTH(A20)=6,MONTH(A20)=9,MONTH(A20)=12),"Y","N")</f>
        <v/>
      </c>
      <c r="M20" s="21">
        <f>IF((H20+K20)=0,0,K20/(H20+K20))</f>
        <v/>
      </c>
      <c r="N20">
        <f>IF(AND(L20="Y",OR(M20&lt;CONFIG!$B$8,M20&gt;CONFIG!$B$9)),"Y","N")</f>
        <v/>
      </c>
      <c r="O20" s="19">
        <f>IF(N20="Y",(H20+K20)*0.8,H20)</f>
        <v/>
      </c>
      <c r="P20" s="19">
        <f>IF(N20="Y",(H20+K20)*0.2,K20)</f>
        <v/>
      </c>
      <c r="R20" s="18">
        <f>DATA!A20</f>
        <v/>
      </c>
      <c r="S20">
        <f>DATA!B20</f>
        <v/>
      </c>
      <c r="T20" s="19">
        <f>AF19</f>
        <v/>
      </c>
      <c r="U20" s="19">
        <f>AG19</f>
        <v/>
      </c>
      <c r="V20" s="19">
        <f>T20+U20</f>
        <v/>
      </c>
      <c r="W20" s="20">
        <f>DATA!D20</f>
        <v/>
      </c>
      <c r="X20" s="20">
        <f>DATA!F20</f>
        <v/>
      </c>
      <c r="Y20" s="19">
        <f>T20*(1+W20)</f>
        <v/>
      </c>
      <c r="Z20" s="19">
        <f>U20*(1+X20)</f>
        <v/>
      </c>
      <c r="AA20" s="19">
        <f>IF(AND(CONFIG!$B$11="Annual",MONTH(R20)=7),(Y20+Z20)*CONFIG!$B$6/12,AA19)</f>
        <v/>
      </c>
      <c r="AB20" s="19">
        <f>MAX(0,Z20-AA20)</f>
        <v/>
      </c>
      <c r="AC20">
        <f>IF(OR(MONTH(R20)=3,MONTH(R20)=6,MONTH(R20)=9,MONTH(R20)=12),"Y","N")</f>
        <v/>
      </c>
      <c r="AD20" s="21">
        <f>IF((Y20+AB20)=0,0,AB20/(Y20+AB20))</f>
        <v/>
      </c>
      <c r="AE20">
        <f>IF(AND(AC20="Y",OR(AD20&lt;CONFIG!$B$8,AD20&gt;CONFIG!$B$9)),"Y","N")</f>
        <v/>
      </c>
      <c r="AF20" s="19">
        <f>IF(AE20="Y",(Y20+AB20)*0.8,Y20)</f>
        <v/>
      </c>
      <c r="AG20" s="19">
        <f>IF(AE20="Y",(Y20+AB20)*0.2,AB20)</f>
        <v/>
      </c>
      <c r="AI20" s="18">
        <f>DATA!A20</f>
        <v/>
      </c>
      <c r="AJ20">
        <f>DATA!B20</f>
        <v/>
      </c>
      <c r="AK20" s="19">
        <f>AW19</f>
        <v/>
      </c>
      <c r="AL20" s="19">
        <f>AX19</f>
        <v/>
      </c>
      <c r="AM20" s="19">
        <f>AK20+AL20</f>
        <v/>
      </c>
      <c r="AN20" s="20">
        <f>DATA!E20</f>
        <v/>
      </c>
      <c r="AO20" s="20">
        <f>DATA!F20</f>
        <v/>
      </c>
      <c r="AP20" s="19">
        <f>AK20*(1+AN20)</f>
        <v/>
      </c>
      <c r="AQ20" s="19">
        <f>AL20*(1+AO20)</f>
        <v/>
      </c>
      <c r="AR20" s="19">
        <f>IF(AND(CONFIG!$B$11="Annual",MONTH(AI20)=7),(AP20+AQ20)*CONFIG!$B$6/12,AR19)</f>
        <v/>
      </c>
      <c r="AS20" s="19">
        <f>MAX(0,AQ20-AR20)</f>
        <v/>
      </c>
      <c r="AT20">
        <f>IF(OR(MONTH(AI20)=3,MONTH(AI20)=6,MONTH(AI20)=9,MONTH(AI20)=12),"Y","N")</f>
        <v/>
      </c>
      <c r="AU20" s="21">
        <f>IF((AP20+AS20)=0,0,AS20/(AP20+AS20))</f>
        <v/>
      </c>
      <c r="AV20">
        <f>IF(AND(AT20="Y",OR(AU20&lt;CONFIG!$B$8,AU20&gt;CONFIG!$B$9)),"Y","N")</f>
        <v/>
      </c>
      <c r="AW20" s="19">
        <f>IF(AV20="Y",(AP20+AS20)*0.8,AP20)</f>
        <v/>
      </c>
      <c r="AX20" s="19">
        <f>IF(AV20="Y",(AP20+AS20)*0.2,AS20)</f>
        <v/>
      </c>
    </row>
    <row r="21">
      <c r="A21" s="18">
        <f>DATA!A21</f>
        <v/>
      </c>
      <c r="B21">
        <f>DATA!B21</f>
        <v/>
      </c>
      <c r="C21" s="19">
        <f>O20</f>
        <v/>
      </c>
      <c r="D21" s="19">
        <f>P20</f>
        <v/>
      </c>
      <c r="E21" s="19">
        <f>C21+D21</f>
        <v/>
      </c>
      <c r="F21" s="20">
        <f>DATA!C21</f>
        <v/>
      </c>
      <c r="G21" s="20">
        <f>DATA!F21</f>
        <v/>
      </c>
      <c r="H21" s="19">
        <f>C21*(1+F21)</f>
        <v/>
      </c>
      <c r="I21" s="19">
        <f>D21*(1+G21)</f>
        <v/>
      </c>
      <c r="J21" s="19">
        <f>IF(AND(CONFIG!$B$11="Annual",MONTH(A21)=7),(H21+I21)*CONFIG!$B$6/12,J20)</f>
        <v/>
      </c>
      <c r="K21" s="19">
        <f>MAX(0,I21-J21)</f>
        <v/>
      </c>
      <c r="L21">
        <f>IF(OR(MONTH(A21)=3,MONTH(A21)=6,MONTH(A21)=9,MONTH(A21)=12),"Y","N")</f>
        <v/>
      </c>
      <c r="M21" s="21">
        <f>IF((H21+K21)=0,0,K21/(H21+K21))</f>
        <v/>
      </c>
      <c r="N21">
        <f>IF(AND(L21="Y",OR(M21&lt;CONFIG!$B$8,M21&gt;CONFIG!$B$9)),"Y","N")</f>
        <v/>
      </c>
      <c r="O21" s="19">
        <f>IF(N21="Y",(H21+K21)*0.8,H21)</f>
        <v/>
      </c>
      <c r="P21" s="19">
        <f>IF(N21="Y",(H21+K21)*0.2,K21)</f>
        <v/>
      </c>
      <c r="R21" s="18">
        <f>DATA!A21</f>
        <v/>
      </c>
      <c r="S21">
        <f>DATA!B21</f>
        <v/>
      </c>
      <c r="T21" s="19">
        <f>AF20</f>
        <v/>
      </c>
      <c r="U21" s="19">
        <f>AG20</f>
        <v/>
      </c>
      <c r="V21" s="19">
        <f>T21+U21</f>
        <v/>
      </c>
      <c r="W21" s="20">
        <f>DATA!D21</f>
        <v/>
      </c>
      <c r="X21" s="20">
        <f>DATA!F21</f>
        <v/>
      </c>
      <c r="Y21" s="19">
        <f>T21*(1+W21)</f>
        <v/>
      </c>
      <c r="Z21" s="19">
        <f>U21*(1+X21)</f>
        <v/>
      </c>
      <c r="AA21" s="19">
        <f>IF(AND(CONFIG!$B$11="Annual",MONTH(R21)=7),(Y21+Z21)*CONFIG!$B$6/12,AA20)</f>
        <v/>
      </c>
      <c r="AB21" s="19">
        <f>MAX(0,Z21-AA21)</f>
        <v/>
      </c>
      <c r="AC21">
        <f>IF(OR(MONTH(R21)=3,MONTH(R21)=6,MONTH(R21)=9,MONTH(R21)=12),"Y","N")</f>
        <v/>
      </c>
      <c r="AD21" s="21">
        <f>IF((Y21+AB21)=0,0,AB21/(Y21+AB21))</f>
        <v/>
      </c>
      <c r="AE21">
        <f>IF(AND(AC21="Y",OR(AD21&lt;CONFIG!$B$8,AD21&gt;CONFIG!$B$9)),"Y","N")</f>
        <v/>
      </c>
      <c r="AF21" s="19">
        <f>IF(AE21="Y",(Y21+AB21)*0.8,Y21)</f>
        <v/>
      </c>
      <c r="AG21" s="19">
        <f>IF(AE21="Y",(Y21+AB21)*0.2,AB21)</f>
        <v/>
      </c>
      <c r="AI21" s="18">
        <f>DATA!A21</f>
        <v/>
      </c>
      <c r="AJ21">
        <f>DATA!B21</f>
        <v/>
      </c>
      <c r="AK21" s="19">
        <f>AW20</f>
        <v/>
      </c>
      <c r="AL21" s="19">
        <f>AX20</f>
        <v/>
      </c>
      <c r="AM21" s="19">
        <f>AK21+AL21</f>
        <v/>
      </c>
      <c r="AN21" s="20">
        <f>DATA!E21</f>
        <v/>
      </c>
      <c r="AO21" s="20">
        <f>DATA!F21</f>
        <v/>
      </c>
      <c r="AP21" s="19">
        <f>AK21*(1+AN21)</f>
        <v/>
      </c>
      <c r="AQ21" s="19">
        <f>AL21*(1+AO21)</f>
        <v/>
      </c>
      <c r="AR21" s="19">
        <f>IF(AND(CONFIG!$B$11="Annual",MONTH(AI21)=7),(AP21+AQ21)*CONFIG!$B$6/12,AR20)</f>
        <v/>
      </c>
      <c r="AS21" s="19">
        <f>MAX(0,AQ21-AR21)</f>
        <v/>
      </c>
      <c r="AT21">
        <f>IF(OR(MONTH(AI21)=3,MONTH(AI21)=6,MONTH(AI21)=9,MONTH(AI21)=12),"Y","N")</f>
        <v/>
      </c>
      <c r="AU21" s="21">
        <f>IF((AP21+AS21)=0,0,AS21/(AP21+AS21))</f>
        <v/>
      </c>
      <c r="AV21">
        <f>IF(AND(AT21="Y",OR(AU21&lt;CONFIG!$B$8,AU21&gt;CONFIG!$B$9)),"Y","N")</f>
        <v/>
      </c>
      <c r="AW21" s="19">
        <f>IF(AV21="Y",(AP21+AS21)*0.8,AP21)</f>
        <v/>
      </c>
      <c r="AX21" s="19">
        <f>IF(AV21="Y",(AP21+AS21)*0.2,AS21)</f>
        <v/>
      </c>
    </row>
    <row r="22">
      <c r="A22" s="18">
        <f>DATA!A22</f>
        <v/>
      </c>
      <c r="B22">
        <f>DATA!B22</f>
        <v/>
      </c>
      <c r="C22" s="19">
        <f>O21</f>
        <v/>
      </c>
      <c r="D22" s="19">
        <f>P21</f>
        <v/>
      </c>
      <c r="E22" s="19">
        <f>C22+D22</f>
        <v/>
      </c>
      <c r="F22" s="20">
        <f>DATA!C22</f>
        <v/>
      </c>
      <c r="G22" s="20">
        <f>DATA!F22</f>
        <v/>
      </c>
      <c r="H22" s="19">
        <f>C22*(1+F22)</f>
        <v/>
      </c>
      <c r="I22" s="19">
        <f>D22*(1+G22)</f>
        <v/>
      </c>
      <c r="J22" s="19">
        <f>IF(AND(CONFIG!$B$11="Annual",MONTH(A22)=7),(H22+I22)*CONFIG!$B$6/12,J21)</f>
        <v/>
      </c>
      <c r="K22" s="19">
        <f>MAX(0,I22-J22)</f>
        <v/>
      </c>
      <c r="L22">
        <f>IF(OR(MONTH(A22)=3,MONTH(A22)=6,MONTH(A22)=9,MONTH(A22)=12),"Y","N")</f>
        <v/>
      </c>
      <c r="M22" s="21">
        <f>IF((H22+K22)=0,0,K22/(H22+K22))</f>
        <v/>
      </c>
      <c r="N22">
        <f>IF(AND(L22="Y",OR(M22&lt;CONFIG!$B$8,M22&gt;CONFIG!$B$9)),"Y","N")</f>
        <v/>
      </c>
      <c r="O22" s="19">
        <f>IF(N22="Y",(H22+K22)*0.8,H22)</f>
        <v/>
      </c>
      <c r="P22" s="19">
        <f>IF(N22="Y",(H22+K22)*0.2,K22)</f>
        <v/>
      </c>
      <c r="R22" s="18">
        <f>DATA!A22</f>
        <v/>
      </c>
      <c r="S22">
        <f>DATA!B22</f>
        <v/>
      </c>
      <c r="T22" s="19">
        <f>AF21</f>
        <v/>
      </c>
      <c r="U22" s="19">
        <f>AG21</f>
        <v/>
      </c>
      <c r="V22" s="19">
        <f>T22+U22</f>
        <v/>
      </c>
      <c r="W22" s="20">
        <f>DATA!D22</f>
        <v/>
      </c>
      <c r="X22" s="20">
        <f>DATA!F22</f>
        <v/>
      </c>
      <c r="Y22" s="19">
        <f>T22*(1+W22)</f>
        <v/>
      </c>
      <c r="Z22" s="19">
        <f>U22*(1+X22)</f>
        <v/>
      </c>
      <c r="AA22" s="19">
        <f>IF(AND(CONFIG!$B$11="Annual",MONTH(R22)=7),(Y22+Z22)*CONFIG!$B$6/12,AA21)</f>
        <v/>
      </c>
      <c r="AB22" s="19">
        <f>MAX(0,Z22-AA22)</f>
        <v/>
      </c>
      <c r="AC22">
        <f>IF(OR(MONTH(R22)=3,MONTH(R22)=6,MONTH(R22)=9,MONTH(R22)=12),"Y","N")</f>
        <v/>
      </c>
      <c r="AD22" s="21">
        <f>IF((Y22+AB22)=0,0,AB22/(Y22+AB22))</f>
        <v/>
      </c>
      <c r="AE22">
        <f>IF(AND(AC22="Y",OR(AD22&lt;CONFIG!$B$8,AD22&gt;CONFIG!$B$9)),"Y","N")</f>
        <v/>
      </c>
      <c r="AF22" s="19">
        <f>IF(AE22="Y",(Y22+AB22)*0.8,Y22)</f>
        <v/>
      </c>
      <c r="AG22" s="19">
        <f>IF(AE22="Y",(Y22+AB22)*0.2,AB22)</f>
        <v/>
      </c>
      <c r="AI22" s="18">
        <f>DATA!A22</f>
        <v/>
      </c>
      <c r="AJ22">
        <f>DATA!B22</f>
        <v/>
      </c>
      <c r="AK22" s="19">
        <f>AW21</f>
        <v/>
      </c>
      <c r="AL22" s="19">
        <f>AX21</f>
        <v/>
      </c>
      <c r="AM22" s="19">
        <f>AK22+AL22</f>
        <v/>
      </c>
      <c r="AN22" s="20">
        <f>DATA!E22</f>
        <v/>
      </c>
      <c r="AO22" s="20">
        <f>DATA!F22</f>
        <v/>
      </c>
      <c r="AP22" s="19">
        <f>AK22*(1+AN22)</f>
        <v/>
      </c>
      <c r="AQ22" s="19">
        <f>AL22*(1+AO22)</f>
        <v/>
      </c>
      <c r="AR22" s="19">
        <f>IF(AND(CONFIG!$B$11="Annual",MONTH(AI22)=7),(AP22+AQ22)*CONFIG!$B$6/12,AR21)</f>
        <v/>
      </c>
      <c r="AS22" s="19">
        <f>MAX(0,AQ22-AR22)</f>
        <v/>
      </c>
      <c r="AT22">
        <f>IF(OR(MONTH(AI22)=3,MONTH(AI22)=6,MONTH(AI22)=9,MONTH(AI22)=12),"Y","N")</f>
        <v/>
      </c>
      <c r="AU22" s="21">
        <f>IF((AP22+AS22)=0,0,AS22/(AP22+AS22))</f>
        <v/>
      </c>
      <c r="AV22">
        <f>IF(AND(AT22="Y",OR(AU22&lt;CONFIG!$B$8,AU22&gt;CONFIG!$B$9)),"Y","N")</f>
        <v/>
      </c>
      <c r="AW22" s="19">
        <f>IF(AV22="Y",(AP22+AS22)*0.8,AP22)</f>
        <v/>
      </c>
      <c r="AX22" s="19">
        <f>IF(AV22="Y",(AP22+AS22)*0.2,AS22)</f>
        <v/>
      </c>
    </row>
    <row r="23">
      <c r="A23" s="18">
        <f>DATA!A23</f>
        <v/>
      </c>
      <c r="B23">
        <f>DATA!B23</f>
        <v/>
      </c>
      <c r="C23" s="19">
        <f>O22</f>
        <v/>
      </c>
      <c r="D23" s="19">
        <f>P22</f>
        <v/>
      </c>
      <c r="E23" s="19">
        <f>C23+D23</f>
        <v/>
      </c>
      <c r="F23" s="20">
        <f>DATA!C23</f>
        <v/>
      </c>
      <c r="G23" s="20">
        <f>DATA!F23</f>
        <v/>
      </c>
      <c r="H23" s="19">
        <f>C23*(1+F23)</f>
        <v/>
      </c>
      <c r="I23" s="19">
        <f>D23*(1+G23)</f>
        <v/>
      </c>
      <c r="J23" s="19">
        <f>IF(AND(CONFIG!$B$11="Annual",MONTH(A23)=7),(H23+I23)*CONFIG!$B$6/12,J22)</f>
        <v/>
      </c>
      <c r="K23" s="19">
        <f>MAX(0,I23-J23)</f>
        <v/>
      </c>
      <c r="L23">
        <f>IF(OR(MONTH(A23)=3,MONTH(A23)=6,MONTH(A23)=9,MONTH(A23)=12),"Y","N")</f>
        <v/>
      </c>
      <c r="M23" s="21">
        <f>IF((H23+K23)=0,0,K23/(H23+K23))</f>
        <v/>
      </c>
      <c r="N23">
        <f>IF(AND(L23="Y",OR(M23&lt;CONFIG!$B$8,M23&gt;CONFIG!$B$9)),"Y","N")</f>
        <v/>
      </c>
      <c r="O23" s="19">
        <f>IF(N23="Y",(H23+K23)*0.8,H23)</f>
        <v/>
      </c>
      <c r="P23" s="19">
        <f>IF(N23="Y",(H23+K23)*0.2,K23)</f>
        <v/>
      </c>
      <c r="R23" s="18">
        <f>DATA!A23</f>
        <v/>
      </c>
      <c r="S23">
        <f>DATA!B23</f>
        <v/>
      </c>
      <c r="T23" s="19">
        <f>AF22</f>
        <v/>
      </c>
      <c r="U23" s="19">
        <f>AG22</f>
        <v/>
      </c>
      <c r="V23" s="19">
        <f>T23+U23</f>
        <v/>
      </c>
      <c r="W23" s="20">
        <f>DATA!D23</f>
        <v/>
      </c>
      <c r="X23" s="20">
        <f>DATA!F23</f>
        <v/>
      </c>
      <c r="Y23" s="19">
        <f>T23*(1+W23)</f>
        <v/>
      </c>
      <c r="Z23" s="19">
        <f>U23*(1+X23)</f>
        <v/>
      </c>
      <c r="AA23" s="19">
        <f>IF(AND(CONFIG!$B$11="Annual",MONTH(R23)=7),(Y23+Z23)*CONFIG!$B$6/12,AA22)</f>
        <v/>
      </c>
      <c r="AB23" s="19">
        <f>MAX(0,Z23-AA23)</f>
        <v/>
      </c>
      <c r="AC23">
        <f>IF(OR(MONTH(R23)=3,MONTH(R23)=6,MONTH(R23)=9,MONTH(R23)=12),"Y","N")</f>
        <v/>
      </c>
      <c r="AD23" s="21">
        <f>IF((Y23+AB23)=0,0,AB23/(Y23+AB23))</f>
        <v/>
      </c>
      <c r="AE23">
        <f>IF(AND(AC23="Y",OR(AD23&lt;CONFIG!$B$8,AD23&gt;CONFIG!$B$9)),"Y","N")</f>
        <v/>
      </c>
      <c r="AF23" s="19">
        <f>IF(AE23="Y",(Y23+AB23)*0.8,Y23)</f>
        <v/>
      </c>
      <c r="AG23" s="19">
        <f>IF(AE23="Y",(Y23+AB23)*0.2,AB23)</f>
        <v/>
      </c>
      <c r="AI23" s="18">
        <f>DATA!A23</f>
        <v/>
      </c>
      <c r="AJ23">
        <f>DATA!B23</f>
        <v/>
      </c>
      <c r="AK23" s="19">
        <f>AW22</f>
        <v/>
      </c>
      <c r="AL23" s="19">
        <f>AX22</f>
        <v/>
      </c>
      <c r="AM23" s="19">
        <f>AK23+AL23</f>
        <v/>
      </c>
      <c r="AN23" s="20">
        <f>DATA!E23</f>
        <v/>
      </c>
      <c r="AO23" s="20">
        <f>DATA!F23</f>
        <v/>
      </c>
      <c r="AP23" s="19">
        <f>AK23*(1+AN23)</f>
        <v/>
      </c>
      <c r="AQ23" s="19">
        <f>AL23*(1+AO23)</f>
        <v/>
      </c>
      <c r="AR23" s="19">
        <f>IF(AND(CONFIG!$B$11="Annual",MONTH(AI23)=7),(AP23+AQ23)*CONFIG!$B$6/12,AR22)</f>
        <v/>
      </c>
      <c r="AS23" s="19">
        <f>MAX(0,AQ23-AR23)</f>
        <v/>
      </c>
      <c r="AT23">
        <f>IF(OR(MONTH(AI23)=3,MONTH(AI23)=6,MONTH(AI23)=9,MONTH(AI23)=12),"Y","N")</f>
        <v/>
      </c>
      <c r="AU23" s="21">
        <f>IF((AP23+AS23)=0,0,AS23/(AP23+AS23))</f>
        <v/>
      </c>
      <c r="AV23">
        <f>IF(AND(AT23="Y",OR(AU23&lt;CONFIG!$B$8,AU23&gt;CONFIG!$B$9)),"Y","N")</f>
        <v/>
      </c>
      <c r="AW23" s="19">
        <f>IF(AV23="Y",(AP23+AS23)*0.8,AP23)</f>
        <v/>
      </c>
      <c r="AX23" s="19">
        <f>IF(AV23="Y",(AP23+AS23)*0.2,AS23)</f>
        <v/>
      </c>
    </row>
    <row r="24">
      <c r="A24" s="18">
        <f>DATA!A24</f>
        <v/>
      </c>
      <c r="B24">
        <f>DATA!B24</f>
        <v/>
      </c>
      <c r="C24" s="19">
        <f>O23</f>
        <v/>
      </c>
      <c r="D24" s="19">
        <f>P23</f>
        <v/>
      </c>
      <c r="E24" s="19">
        <f>C24+D24</f>
        <v/>
      </c>
      <c r="F24" s="20">
        <f>DATA!C24</f>
        <v/>
      </c>
      <c r="G24" s="20">
        <f>DATA!F24</f>
        <v/>
      </c>
      <c r="H24" s="19">
        <f>C24*(1+F24)</f>
        <v/>
      </c>
      <c r="I24" s="19">
        <f>D24*(1+G24)</f>
        <v/>
      </c>
      <c r="J24" s="19">
        <f>IF(AND(CONFIG!$B$11="Annual",MONTH(A24)=7),(H24+I24)*CONFIG!$B$6/12,J23)</f>
        <v/>
      </c>
      <c r="K24" s="19">
        <f>MAX(0,I24-J24)</f>
        <v/>
      </c>
      <c r="L24">
        <f>IF(OR(MONTH(A24)=3,MONTH(A24)=6,MONTH(A24)=9,MONTH(A24)=12),"Y","N")</f>
        <v/>
      </c>
      <c r="M24" s="21">
        <f>IF((H24+K24)=0,0,K24/(H24+K24))</f>
        <v/>
      </c>
      <c r="N24">
        <f>IF(AND(L24="Y",OR(M24&lt;CONFIG!$B$8,M24&gt;CONFIG!$B$9)),"Y","N")</f>
        <v/>
      </c>
      <c r="O24" s="19">
        <f>IF(N24="Y",(H24+K24)*0.8,H24)</f>
        <v/>
      </c>
      <c r="P24" s="19">
        <f>IF(N24="Y",(H24+K24)*0.2,K24)</f>
        <v/>
      </c>
      <c r="R24" s="18">
        <f>DATA!A24</f>
        <v/>
      </c>
      <c r="S24">
        <f>DATA!B24</f>
        <v/>
      </c>
      <c r="T24" s="19">
        <f>AF23</f>
        <v/>
      </c>
      <c r="U24" s="19">
        <f>AG23</f>
        <v/>
      </c>
      <c r="V24" s="19">
        <f>T24+U24</f>
        <v/>
      </c>
      <c r="W24" s="20">
        <f>DATA!D24</f>
        <v/>
      </c>
      <c r="X24" s="20">
        <f>DATA!F24</f>
        <v/>
      </c>
      <c r="Y24" s="19">
        <f>T24*(1+W24)</f>
        <v/>
      </c>
      <c r="Z24" s="19">
        <f>U24*(1+X24)</f>
        <v/>
      </c>
      <c r="AA24" s="19">
        <f>IF(AND(CONFIG!$B$11="Annual",MONTH(R24)=7),(Y24+Z24)*CONFIG!$B$6/12,AA23)</f>
        <v/>
      </c>
      <c r="AB24" s="19">
        <f>MAX(0,Z24-AA24)</f>
        <v/>
      </c>
      <c r="AC24">
        <f>IF(OR(MONTH(R24)=3,MONTH(R24)=6,MONTH(R24)=9,MONTH(R24)=12),"Y","N")</f>
        <v/>
      </c>
      <c r="AD24" s="21">
        <f>IF((Y24+AB24)=0,0,AB24/(Y24+AB24))</f>
        <v/>
      </c>
      <c r="AE24">
        <f>IF(AND(AC24="Y",OR(AD24&lt;CONFIG!$B$8,AD24&gt;CONFIG!$B$9)),"Y","N")</f>
        <v/>
      </c>
      <c r="AF24" s="19">
        <f>IF(AE24="Y",(Y24+AB24)*0.8,Y24)</f>
        <v/>
      </c>
      <c r="AG24" s="19">
        <f>IF(AE24="Y",(Y24+AB24)*0.2,AB24)</f>
        <v/>
      </c>
      <c r="AI24" s="18">
        <f>DATA!A24</f>
        <v/>
      </c>
      <c r="AJ24">
        <f>DATA!B24</f>
        <v/>
      </c>
      <c r="AK24" s="19">
        <f>AW23</f>
        <v/>
      </c>
      <c r="AL24" s="19">
        <f>AX23</f>
        <v/>
      </c>
      <c r="AM24" s="19">
        <f>AK24+AL24</f>
        <v/>
      </c>
      <c r="AN24" s="20">
        <f>DATA!E24</f>
        <v/>
      </c>
      <c r="AO24" s="20">
        <f>DATA!F24</f>
        <v/>
      </c>
      <c r="AP24" s="19">
        <f>AK24*(1+AN24)</f>
        <v/>
      </c>
      <c r="AQ24" s="19">
        <f>AL24*(1+AO24)</f>
        <v/>
      </c>
      <c r="AR24" s="19">
        <f>IF(AND(CONFIG!$B$11="Annual",MONTH(AI24)=7),(AP24+AQ24)*CONFIG!$B$6/12,AR23)</f>
        <v/>
      </c>
      <c r="AS24" s="19">
        <f>MAX(0,AQ24-AR24)</f>
        <v/>
      </c>
      <c r="AT24">
        <f>IF(OR(MONTH(AI24)=3,MONTH(AI24)=6,MONTH(AI24)=9,MONTH(AI24)=12),"Y","N")</f>
        <v/>
      </c>
      <c r="AU24" s="21">
        <f>IF((AP24+AS24)=0,0,AS24/(AP24+AS24))</f>
        <v/>
      </c>
      <c r="AV24">
        <f>IF(AND(AT24="Y",OR(AU24&lt;CONFIG!$B$8,AU24&gt;CONFIG!$B$9)),"Y","N")</f>
        <v/>
      </c>
      <c r="AW24" s="19">
        <f>IF(AV24="Y",(AP24+AS24)*0.8,AP24)</f>
        <v/>
      </c>
      <c r="AX24" s="19">
        <f>IF(AV24="Y",(AP24+AS24)*0.2,AS24)</f>
        <v/>
      </c>
    </row>
    <row r="25">
      <c r="A25" s="18">
        <f>DATA!A25</f>
        <v/>
      </c>
      <c r="B25">
        <f>DATA!B25</f>
        <v/>
      </c>
      <c r="C25" s="19">
        <f>O24</f>
        <v/>
      </c>
      <c r="D25" s="19">
        <f>P24</f>
        <v/>
      </c>
      <c r="E25" s="19">
        <f>C25+D25</f>
        <v/>
      </c>
      <c r="F25" s="20">
        <f>DATA!C25</f>
        <v/>
      </c>
      <c r="G25" s="20">
        <f>DATA!F25</f>
        <v/>
      </c>
      <c r="H25" s="19">
        <f>C25*(1+F25)</f>
        <v/>
      </c>
      <c r="I25" s="19">
        <f>D25*(1+G25)</f>
        <v/>
      </c>
      <c r="J25" s="19">
        <f>IF(AND(CONFIG!$B$11="Annual",MONTH(A25)=7),(H25+I25)*CONFIG!$B$6/12,J24)</f>
        <v/>
      </c>
      <c r="K25" s="19">
        <f>MAX(0,I25-J25)</f>
        <v/>
      </c>
      <c r="L25">
        <f>IF(OR(MONTH(A25)=3,MONTH(A25)=6,MONTH(A25)=9,MONTH(A25)=12),"Y","N")</f>
        <v/>
      </c>
      <c r="M25" s="21">
        <f>IF((H25+K25)=0,0,K25/(H25+K25))</f>
        <v/>
      </c>
      <c r="N25">
        <f>IF(AND(L25="Y",OR(M25&lt;CONFIG!$B$8,M25&gt;CONFIG!$B$9)),"Y","N")</f>
        <v/>
      </c>
      <c r="O25" s="19">
        <f>IF(N25="Y",(H25+K25)*0.8,H25)</f>
        <v/>
      </c>
      <c r="P25" s="19">
        <f>IF(N25="Y",(H25+K25)*0.2,K25)</f>
        <v/>
      </c>
      <c r="R25" s="18">
        <f>DATA!A25</f>
        <v/>
      </c>
      <c r="S25">
        <f>DATA!B25</f>
        <v/>
      </c>
      <c r="T25" s="19">
        <f>AF24</f>
        <v/>
      </c>
      <c r="U25" s="19">
        <f>AG24</f>
        <v/>
      </c>
      <c r="V25" s="19">
        <f>T25+U25</f>
        <v/>
      </c>
      <c r="W25" s="20">
        <f>DATA!D25</f>
        <v/>
      </c>
      <c r="X25" s="20">
        <f>DATA!F25</f>
        <v/>
      </c>
      <c r="Y25" s="19">
        <f>T25*(1+W25)</f>
        <v/>
      </c>
      <c r="Z25" s="19">
        <f>U25*(1+X25)</f>
        <v/>
      </c>
      <c r="AA25" s="19">
        <f>IF(AND(CONFIG!$B$11="Annual",MONTH(R25)=7),(Y25+Z25)*CONFIG!$B$6/12,AA24)</f>
        <v/>
      </c>
      <c r="AB25" s="19">
        <f>MAX(0,Z25-AA25)</f>
        <v/>
      </c>
      <c r="AC25">
        <f>IF(OR(MONTH(R25)=3,MONTH(R25)=6,MONTH(R25)=9,MONTH(R25)=12),"Y","N")</f>
        <v/>
      </c>
      <c r="AD25" s="21">
        <f>IF((Y25+AB25)=0,0,AB25/(Y25+AB25))</f>
        <v/>
      </c>
      <c r="AE25">
        <f>IF(AND(AC25="Y",OR(AD25&lt;CONFIG!$B$8,AD25&gt;CONFIG!$B$9)),"Y","N")</f>
        <v/>
      </c>
      <c r="AF25" s="19">
        <f>IF(AE25="Y",(Y25+AB25)*0.8,Y25)</f>
        <v/>
      </c>
      <c r="AG25" s="19">
        <f>IF(AE25="Y",(Y25+AB25)*0.2,AB25)</f>
        <v/>
      </c>
      <c r="AI25" s="18">
        <f>DATA!A25</f>
        <v/>
      </c>
      <c r="AJ25">
        <f>DATA!B25</f>
        <v/>
      </c>
      <c r="AK25" s="19">
        <f>AW24</f>
        <v/>
      </c>
      <c r="AL25" s="19">
        <f>AX24</f>
        <v/>
      </c>
      <c r="AM25" s="19">
        <f>AK25+AL25</f>
        <v/>
      </c>
      <c r="AN25" s="20">
        <f>DATA!E25</f>
        <v/>
      </c>
      <c r="AO25" s="20">
        <f>DATA!F25</f>
        <v/>
      </c>
      <c r="AP25" s="19">
        <f>AK25*(1+AN25)</f>
        <v/>
      </c>
      <c r="AQ25" s="19">
        <f>AL25*(1+AO25)</f>
        <v/>
      </c>
      <c r="AR25" s="19">
        <f>IF(AND(CONFIG!$B$11="Annual",MONTH(AI25)=7),(AP25+AQ25)*CONFIG!$B$6/12,AR24)</f>
        <v/>
      </c>
      <c r="AS25" s="19">
        <f>MAX(0,AQ25-AR25)</f>
        <v/>
      </c>
      <c r="AT25">
        <f>IF(OR(MONTH(AI25)=3,MONTH(AI25)=6,MONTH(AI25)=9,MONTH(AI25)=12),"Y","N")</f>
        <v/>
      </c>
      <c r="AU25" s="21">
        <f>IF((AP25+AS25)=0,0,AS25/(AP25+AS25))</f>
        <v/>
      </c>
      <c r="AV25">
        <f>IF(AND(AT25="Y",OR(AU25&lt;CONFIG!$B$8,AU25&gt;CONFIG!$B$9)),"Y","N")</f>
        <v/>
      </c>
      <c r="AW25" s="19">
        <f>IF(AV25="Y",(AP25+AS25)*0.8,AP25)</f>
        <v/>
      </c>
      <c r="AX25" s="19">
        <f>IF(AV25="Y",(AP25+AS25)*0.2,AS25)</f>
        <v/>
      </c>
    </row>
    <row r="26">
      <c r="A26" s="18">
        <f>DATA!A26</f>
        <v/>
      </c>
      <c r="B26">
        <f>DATA!B26</f>
        <v/>
      </c>
      <c r="C26" s="19">
        <f>O25</f>
        <v/>
      </c>
      <c r="D26" s="19">
        <f>P25</f>
        <v/>
      </c>
      <c r="E26" s="19">
        <f>C26+D26</f>
        <v/>
      </c>
      <c r="F26" s="20">
        <f>DATA!C26</f>
        <v/>
      </c>
      <c r="G26" s="20">
        <f>DATA!F26</f>
        <v/>
      </c>
      <c r="H26" s="19">
        <f>C26*(1+F26)</f>
        <v/>
      </c>
      <c r="I26" s="19">
        <f>D26*(1+G26)</f>
        <v/>
      </c>
      <c r="J26" s="19">
        <f>IF(AND(CONFIG!$B$11="Annual",MONTH(A26)=7),(H26+I26)*CONFIG!$B$6/12,J25)</f>
        <v/>
      </c>
      <c r="K26" s="19">
        <f>MAX(0,I26-J26)</f>
        <v/>
      </c>
      <c r="L26">
        <f>IF(OR(MONTH(A26)=3,MONTH(A26)=6,MONTH(A26)=9,MONTH(A26)=12),"Y","N")</f>
        <v/>
      </c>
      <c r="M26" s="21">
        <f>IF((H26+K26)=0,0,K26/(H26+K26))</f>
        <v/>
      </c>
      <c r="N26">
        <f>IF(AND(L26="Y",OR(M26&lt;CONFIG!$B$8,M26&gt;CONFIG!$B$9)),"Y","N")</f>
        <v/>
      </c>
      <c r="O26" s="19">
        <f>IF(N26="Y",(H26+K26)*0.8,H26)</f>
        <v/>
      </c>
      <c r="P26" s="19">
        <f>IF(N26="Y",(H26+K26)*0.2,K26)</f>
        <v/>
      </c>
      <c r="R26" s="18">
        <f>DATA!A26</f>
        <v/>
      </c>
      <c r="S26">
        <f>DATA!B26</f>
        <v/>
      </c>
      <c r="T26" s="19">
        <f>AF25</f>
        <v/>
      </c>
      <c r="U26" s="19">
        <f>AG25</f>
        <v/>
      </c>
      <c r="V26" s="19">
        <f>T26+U26</f>
        <v/>
      </c>
      <c r="W26" s="20">
        <f>DATA!D26</f>
        <v/>
      </c>
      <c r="X26" s="20">
        <f>DATA!F26</f>
        <v/>
      </c>
      <c r="Y26" s="19">
        <f>T26*(1+W26)</f>
        <v/>
      </c>
      <c r="Z26" s="19">
        <f>U26*(1+X26)</f>
        <v/>
      </c>
      <c r="AA26" s="19">
        <f>IF(AND(CONFIG!$B$11="Annual",MONTH(R26)=7),(Y26+Z26)*CONFIG!$B$6/12,AA25)</f>
        <v/>
      </c>
      <c r="AB26" s="19">
        <f>MAX(0,Z26-AA26)</f>
        <v/>
      </c>
      <c r="AC26">
        <f>IF(OR(MONTH(R26)=3,MONTH(R26)=6,MONTH(R26)=9,MONTH(R26)=12),"Y","N")</f>
        <v/>
      </c>
      <c r="AD26" s="21">
        <f>IF((Y26+AB26)=0,0,AB26/(Y26+AB26))</f>
        <v/>
      </c>
      <c r="AE26">
        <f>IF(AND(AC26="Y",OR(AD26&lt;CONFIG!$B$8,AD26&gt;CONFIG!$B$9)),"Y","N")</f>
        <v/>
      </c>
      <c r="AF26" s="19">
        <f>IF(AE26="Y",(Y26+AB26)*0.8,Y26)</f>
        <v/>
      </c>
      <c r="AG26" s="19">
        <f>IF(AE26="Y",(Y26+AB26)*0.2,AB26)</f>
        <v/>
      </c>
      <c r="AI26" s="18">
        <f>DATA!A26</f>
        <v/>
      </c>
      <c r="AJ26">
        <f>DATA!B26</f>
        <v/>
      </c>
      <c r="AK26" s="19">
        <f>AW25</f>
        <v/>
      </c>
      <c r="AL26" s="19">
        <f>AX25</f>
        <v/>
      </c>
      <c r="AM26" s="19">
        <f>AK26+AL26</f>
        <v/>
      </c>
      <c r="AN26" s="20">
        <f>DATA!E26</f>
        <v/>
      </c>
      <c r="AO26" s="20">
        <f>DATA!F26</f>
        <v/>
      </c>
      <c r="AP26" s="19">
        <f>AK26*(1+AN26)</f>
        <v/>
      </c>
      <c r="AQ26" s="19">
        <f>AL26*(1+AO26)</f>
        <v/>
      </c>
      <c r="AR26" s="19">
        <f>IF(AND(CONFIG!$B$11="Annual",MONTH(AI26)=7),(AP26+AQ26)*CONFIG!$B$6/12,AR25)</f>
        <v/>
      </c>
      <c r="AS26" s="19">
        <f>MAX(0,AQ26-AR26)</f>
        <v/>
      </c>
      <c r="AT26">
        <f>IF(OR(MONTH(AI26)=3,MONTH(AI26)=6,MONTH(AI26)=9,MONTH(AI26)=12),"Y","N")</f>
        <v/>
      </c>
      <c r="AU26" s="21">
        <f>IF((AP26+AS26)=0,0,AS26/(AP26+AS26))</f>
        <v/>
      </c>
      <c r="AV26">
        <f>IF(AND(AT26="Y",OR(AU26&lt;CONFIG!$B$8,AU26&gt;CONFIG!$B$9)),"Y","N")</f>
        <v/>
      </c>
      <c r="AW26" s="19">
        <f>IF(AV26="Y",(AP26+AS26)*0.8,AP26)</f>
        <v/>
      </c>
      <c r="AX26" s="19">
        <f>IF(AV26="Y",(AP26+AS26)*0.2,AS26)</f>
        <v/>
      </c>
    </row>
    <row r="27">
      <c r="A27" s="18">
        <f>DATA!A27</f>
        <v/>
      </c>
      <c r="B27">
        <f>DATA!B27</f>
        <v/>
      </c>
      <c r="C27" s="19">
        <f>O26</f>
        <v/>
      </c>
      <c r="D27" s="19">
        <f>P26</f>
        <v/>
      </c>
      <c r="E27" s="19">
        <f>C27+D27</f>
        <v/>
      </c>
      <c r="F27" s="20">
        <f>DATA!C27</f>
        <v/>
      </c>
      <c r="G27" s="20">
        <f>DATA!F27</f>
        <v/>
      </c>
      <c r="H27" s="19">
        <f>C27*(1+F27)</f>
        <v/>
      </c>
      <c r="I27" s="19">
        <f>D27*(1+G27)</f>
        <v/>
      </c>
      <c r="J27" s="19">
        <f>IF(AND(CONFIG!$B$11="Annual",MONTH(A27)=7),(H27+I27)*CONFIG!$B$6/12,J26)</f>
        <v/>
      </c>
      <c r="K27" s="19">
        <f>MAX(0,I27-J27)</f>
        <v/>
      </c>
      <c r="L27">
        <f>IF(OR(MONTH(A27)=3,MONTH(A27)=6,MONTH(A27)=9,MONTH(A27)=12),"Y","N")</f>
        <v/>
      </c>
      <c r="M27" s="21">
        <f>IF((H27+K27)=0,0,K27/(H27+K27))</f>
        <v/>
      </c>
      <c r="N27">
        <f>IF(AND(L27="Y",OR(M27&lt;CONFIG!$B$8,M27&gt;CONFIG!$B$9)),"Y","N")</f>
        <v/>
      </c>
      <c r="O27" s="19">
        <f>IF(N27="Y",(H27+K27)*0.8,H27)</f>
        <v/>
      </c>
      <c r="P27" s="19">
        <f>IF(N27="Y",(H27+K27)*0.2,K27)</f>
        <v/>
      </c>
      <c r="R27" s="18">
        <f>DATA!A27</f>
        <v/>
      </c>
      <c r="S27">
        <f>DATA!B27</f>
        <v/>
      </c>
      <c r="T27" s="19">
        <f>AF26</f>
        <v/>
      </c>
      <c r="U27" s="19">
        <f>AG26</f>
        <v/>
      </c>
      <c r="V27" s="19">
        <f>T27+U27</f>
        <v/>
      </c>
      <c r="W27" s="20">
        <f>DATA!D27</f>
        <v/>
      </c>
      <c r="X27" s="20">
        <f>DATA!F27</f>
        <v/>
      </c>
      <c r="Y27" s="19">
        <f>T27*(1+W27)</f>
        <v/>
      </c>
      <c r="Z27" s="19">
        <f>U27*(1+X27)</f>
        <v/>
      </c>
      <c r="AA27" s="19">
        <f>IF(AND(CONFIG!$B$11="Annual",MONTH(R27)=7),(Y27+Z27)*CONFIG!$B$6/12,AA26)</f>
        <v/>
      </c>
      <c r="AB27" s="19">
        <f>MAX(0,Z27-AA27)</f>
        <v/>
      </c>
      <c r="AC27">
        <f>IF(OR(MONTH(R27)=3,MONTH(R27)=6,MONTH(R27)=9,MONTH(R27)=12),"Y","N")</f>
        <v/>
      </c>
      <c r="AD27" s="21">
        <f>IF((Y27+AB27)=0,0,AB27/(Y27+AB27))</f>
        <v/>
      </c>
      <c r="AE27">
        <f>IF(AND(AC27="Y",OR(AD27&lt;CONFIG!$B$8,AD27&gt;CONFIG!$B$9)),"Y","N")</f>
        <v/>
      </c>
      <c r="AF27" s="19">
        <f>IF(AE27="Y",(Y27+AB27)*0.8,Y27)</f>
        <v/>
      </c>
      <c r="AG27" s="19">
        <f>IF(AE27="Y",(Y27+AB27)*0.2,AB27)</f>
        <v/>
      </c>
      <c r="AI27" s="18">
        <f>DATA!A27</f>
        <v/>
      </c>
      <c r="AJ27">
        <f>DATA!B27</f>
        <v/>
      </c>
      <c r="AK27" s="19">
        <f>AW26</f>
        <v/>
      </c>
      <c r="AL27" s="19">
        <f>AX26</f>
        <v/>
      </c>
      <c r="AM27" s="19">
        <f>AK27+AL27</f>
        <v/>
      </c>
      <c r="AN27" s="20">
        <f>DATA!E27</f>
        <v/>
      </c>
      <c r="AO27" s="20">
        <f>DATA!F27</f>
        <v/>
      </c>
      <c r="AP27" s="19">
        <f>AK27*(1+AN27)</f>
        <v/>
      </c>
      <c r="AQ27" s="19">
        <f>AL27*(1+AO27)</f>
        <v/>
      </c>
      <c r="AR27" s="19">
        <f>IF(AND(CONFIG!$B$11="Annual",MONTH(AI27)=7),(AP27+AQ27)*CONFIG!$B$6/12,AR26)</f>
        <v/>
      </c>
      <c r="AS27" s="19">
        <f>MAX(0,AQ27-AR27)</f>
        <v/>
      </c>
      <c r="AT27">
        <f>IF(OR(MONTH(AI27)=3,MONTH(AI27)=6,MONTH(AI27)=9,MONTH(AI27)=12),"Y","N")</f>
        <v/>
      </c>
      <c r="AU27" s="21">
        <f>IF((AP27+AS27)=0,0,AS27/(AP27+AS27))</f>
        <v/>
      </c>
      <c r="AV27">
        <f>IF(AND(AT27="Y",OR(AU27&lt;CONFIG!$B$8,AU27&gt;CONFIG!$B$9)),"Y","N")</f>
        <v/>
      </c>
      <c r="AW27" s="19">
        <f>IF(AV27="Y",(AP27+AS27)*0.8,AP27)</f>
        <v/>
      </c>
      <c r="AX27" s="19">
        <f>IF(AV27="Y",(AP27+AS27)*0.2,AS27)</f>
        <v/>
      </c>
    </row>
    <row r="28">
      <c r="A28" s="18">
        <f>DATA!A28</f>
        <v/>
      </c>
      <c r="B28">
        <f>DATA!B28</f>
        <v/>
      </c>
      <c r="C28" s="19">
        <f>O27</f>
        <v/>
      </c>
      <c r="D28" s="19">
        <f>P27</f>
        <v/>
      </c>
      <c r="E28" s="19">
        <f>C28+D28</f>
        <v/>
      </c>
      <c r="F28" s="20">
        <f>DATA!C28</f>
        <v/>
      </c>
      <c r="G28" s="20">
        <f>DATA!F28</f>
        <v/>
      </c>
      <c r="H28" s="19">
        <f>C28*(1+F28)</f>
        <v/>
      </c>
      <c r="I28" s="19">
        <f>D28*(1+G28)</f>
        <v/>
      </c>
      <c r="J28" s="19">
        <f>IF(AND(CONFIG!$B$11="Annual",MONTH(A28)=7),(H28+I28)*CONFIG!$B$6/12,J27)</f>
        <v/>
      </c>
      <c r="K28" s="19">
        <f>MAX(0,I28-J28)</f>
        <v/>
      </c>
      <c r="L28">
        <f>IF(OR(MONTH(A28)=3,MONTH(A28)=6,MONTH(A28)=9,MONTH(A28)=12),"Y","N")</f>
        <v/>
      </c>
      <c r="M28" s="21">
        <f>IF((H28+K28)=0,0,K28/(H28+K28))</f>
        <v/>
      </c>
      <c r="N28">
        <f>IF(AND(L28="Y",OR(M28&lt;CONFIG!$B$8,M28&gt;CONFIG!$B$9)),"Y","N")</f>
        <v/>
      </c>
      <c r="O28" s="19">
        <f>IF(N28="Y",(H28+K28)*0.8,H28)</f>
        <v/>
      </c>
      <c r="P28" s="19">
        <f>IF(N28="Y",(H28+K28)*0.2,K28)</f>
        <v/>
      </c>
      <c r="R28" s="18">
        <f>DATA!A28</f>
        <v/>
      </c>
      <c r="S28">
        <f>DATA!B28</f>
        <v/>
      </c>
      <c r="T28" s="19">
        <f>AF27</f>
        <v/>
      </c>
      <c r="U28" s="19">
        <f>AG27</f>
        <v/>
      </c>
      <c r="V28" s="19">
        <f>T28+U28</f>
        <v/>
      </c>
      <c r="W28" s="20">
        <f>DATA!D28</f>
        <v/>
      </c>
      <c r="X28" s="20">
        <f>DATA!F28</f>
        <v/>
      </c>
      <c r="Y28" s="19">
        <f>T28*(1+W28)</f>
        <v/>
      </c>
      <c r="Z28" s="19">
        <f>U28*(1+X28)</f>
        <v/>
      </c>
      <c r="AA28" s="19">
        <f>IF(AND(CONFIG!$B$11="Annual",MONTH(R28)=7),(Y28+Z28)*CONFIG!$B$6/12,AA27)</f>
        <v/>
      </c>
      <c r="AB28" s="19">
        <f>MAX(0,Z28-AA28)</f>
        <v/>
      </c>
      <c r="AC28">
        <f>IF(OR(MONTH(R28)=3,MONTH(R28)=6,MONTH(R28)=9,MONTH(R28)=12),"Y","N")</f>
        <v/>
      </c>
      <c r="AD28" s="21">
        <f>IF((Y28+AB28)=0,0,AB28/(Y28+AB28))</f>
        <v/>
      </c>
      <c r="AE28">
        <f>IF(AND(AC28="Y",OR(AD28&lt;CONFIG!$B$8,AD28&gt;CONFIG!$B$9)),"Y","N")</f>
        <v/>
      </c>
      <c r="AF28" s="19">
        <f>IF(AE28="Y",(Y28+AB28)*0.8,Y28)</f>
        <v/>
      </c>
      <c r="AG28" s="19">
        <f>IF(AE28="Y",(Y28+AB28)*0.2,AB28)</f>
        <v/>
      </c>
      <c r="AI28" s="18">
        <f>DATA!A28</f>
        <v/>
      </c>
      <c r="AJ28">
        <f>DATA!B28</f>
        <v/>
      </c>
      <c r="AK28" s="19">
        <f>AW27</f>
        <v/>
      </c>
      <c r="AL28" s="19">
        <f>AX27</f>
        <v/>
      </c>
      <c r="AM28" s="19">
        <f>AK28+AL28</f>
        <v/>
      </c>
      <c r="AN28" s="20">
        <f>DATA!E28</f>
        <v/>
      </c>
      <c r="AO28" s="20">
        <f>DATA!F28</f>
        <v/>
      </c>
      <c r="AP28" s="19">
        <f>AK28*(1+AN28)</f>
        <v/>
      </c>
      <c r="AQ28" s="19">
        <f>AL28*(1+AO28)</f>
        <v/>
      </c>
      <c r="AR28" s="19">
        <f>IF(AND(CONFIG!$B$11="Annual",MONTH(AI28)=7),(AP28+AQ28)*CONFIG!$B$6/12,AR27)</f>
        <v/>
      </c>
      <c r="AS28" s="19">
        <f>MAX(0,AQ28-AR28)</f>
        <v/>
      </c>
      <c r="AT28">
        <f>IF(OR(MONTH(AI28)=3,MONTH(AI28)=6,MONTH(AI28)=9,MONTH(AI28)=12),"Y","N")</f>
        <v/>
      </c>
      <c r="AU28" s="21">
        <f>IF((AP28+AS28)=0,0,AS28/(AP28+AS28))</f>
        <v/>
      </c>
      <c r="AV28">
        <f>IF(AND(AT28="Y",OR(AU28&lt;CONFIG!$B$8,AU28&gt;CONFIG!$B$9)),"Y","N")</f>
        <v/>
      </c>
      <c r="AW28" s="19">
        <f>IF(AV28="Y",(AP28+AS28)*0.8,AP28)</f>
        <v/>
      </c>
      <c r="AX28" s="19">
        <f>IF(AV28="Y",(AP28+AS28)*0.2,AS28)</f>
        <v/>
      </c>
    </row>
    <row r="29">
      <c r="A29" s="18">
        <f>DATA!A29</f>
        <v/>
      </c>
      <c r="B29">
        <f>DATA!B29</f>
        <v/>
      </c>
      <c r="C29" s="19">
        <f>O28</f>
        <v/>
      </c>
      <c r="D29" s="19">
        <f>P28</f>
        <v/>
      </c>
      <c r="E29" s="19">
        <f>C29+D29</f>
        <v/>
      </c>
      <c r="F29" s="20">
        <f>DATA!C29</f>
        <v/>
      </c>
      <c r="G29" s="20">
        <f>DATA!F29</f>
        <v/>
      </c>
      <c r="H29" s="19">
        <f>C29*(1+F29)</f>
        <v/>
      </c>
      <c r="I29" s="19">
        <f>D29*(1+G29)</f>
        <v/>
      </c>
      <c r="J29" s="19">
        <f>IF(AND(CONFIG!$B$11="Annual",MONTH(A29)=7),(H29+I29)*CONFIG!$B$6/12,J28)</f>
        <v/>
      </c>
      <c r="K29" s="19">
        <f>MAX(0,I29-J29)</f>
        <v/>
      </c>
      <c r="L29">
        <f>IF(OR(MONTH(A29)=3,MONTH(A29)=6,MONTH(A29)=9,MONTH(A29)=12),"Y","N")</f>
        <v/>
      </c>
      <c r="M29" s="21">
        <f>IF((H29+K29)=0,0,K29/(H29+K29))</f>
        <v/>
      </c>
      <c r="N29">
        <f>IF(AND(L29="Y",OR(M29&lt;CONFIG!$B$8,M29&gt;CONFIG!$B$9)),"Y","N")</f>
        <v/>
      </c>
      <c r="O29" s="19">
        <f>IF(N29="Y",(H29+K29)*0.8,H29)</f>
        <v/>
      </c>
      <c r="P29" s="19">
        <f>IF(N29="Y",(H29+K29)*0.2,K29)</f>
        <v/>
      </c>
      <c r="R29" s="18">
        <f>DATA!A29</f>
        <v/>
      </c>
      <c r="S29">
        <f>DATA!B29</f>
        <v/>
      </c>
      <c r="T29" s="19">
        <f>AF28</f>
        <v/>
      </c>
      <c r="U29" s="19">
        <f>AG28</f>
        <v/>
      </c>
      <c r="V29" s="19">
        <f>T29+U29</f>
        <v/>
      </c>
      <c r="W29" s="20">
        <f>DATA!D29</f>
        <v/>
      </c>
      <c r="X29" s="20">
        <f>DATA!F29</f>
        <v/>
      </c>
      <c r="Y29" s="19">
        <f>T29*(1+W29)</f>
        <v/>
      </c>
      <c r="Z29" s="19">
        <f>U29*(1+X29)</f>
        <v/>
      </c>
      <c r="AA29" s="19">
        <f>IF(AND(CONFIG!$B$11="Annual",MONTH(R29)=7),(Y29+Z29)*CONFIG!$B$6/12,AA28)</f>
        <v/>
      </c>
      <c r="AB29" s="19">
        <f>MAX(0,Z29-AA29)</f>
        <v/>
      </c>
      <c r="AC29">
        <f>IF(OR(MONTH(R29)=3,MONTH(R29)=6,MONTH(R29)=9,MONTH(R29)=12),"Y","N")</f>
        <v/>
      </c>
      <c r="AD29" s="21">
        <f>IF((Y29+AB29)=0,0,AB29/(Y29+AB29))</f>
        <v/>
      </c>
      <c r="AE29">
        <f>IF(AND(AC29="Y",OR(AD29&lt;CONFIG!$B$8,AD29&gt;CONFIG!$B$9)),"Y","N")</f>
        <v/>
      </c>
      <c r="AF29" s="19">
        <f>IF(AE29="Y",(Y29+AB29)*0.8,Y29)</f>
        <v/>
      </c>
      <c r="AG29" s="19">
        <f>IF(AE29="Y",(Y29+AB29)*0.2,AB29)</f>
        <v/>
      </c>
      <c r="AI29" s="18">
        <f>DATA!A29</f>
        <v/>
      </c>
      <c r="AJ29">
        <f>DATA!B29</f>
        <v/>
      </c>
      <c r="AK29" s="19">
        <f>AW28</f>
        <v/>
      </c>
      <c r="AL29" s="19">
        <f>AX28</f>
        <v/>
      </c>
      <c r="AM29" s="19">
        <f>AK29+AL29</f>
        <v/>
      </c>
      <c r="AN29" s="20">
        <f>DATA!E29</f>
        <v/>
      </c>
      <c r="AO29" s="20">
        <f>DATA!F29</f>
        <v/>
      </c>
      <c r="AP29" s="19">
        <f>AK29*(1+AN29)</f>
        <v/>
      </c>
      <c r="AQ29" s="19">
        <f>AL29*(1+AO29)</f>
        <v/>
      </c>
      <c r="AR29" s="19">
        <f>IF(AND(CONFIG!$B$11="Annual",MONTH(AI29)=7),(AP29+AQ29)*CONFIG!$B$6/12,AR28)</f>
        <v/>
      </c>
      <c r="AS29" s="19">
        <f>MAX(0,AQ29-AR29)</f>
        <v/>
      </c>
      <c r="AT29">
        <f>IF(OR(MONTH(AI29)=3,MONTH(AI29)=6,MONTH(AI29)=9,MONTH(AI29)=12),"Y","N")</f>
        <v/>
      </c>
      <c r="AU29" s="21">
        <f>IF((AP29+AS29)=0,0,AS29/(AP29+AS29))</f>
        <v/>
      </c>
      <c r="AV29">
        <f>IF(AND(AT29="Y",OR(AU29&lt;CONFIG!$B$8,AU29&gt;CONFIG!$B$9)),"Y","N")</f>
        <v/>
      </c>
      <c r="AW29" s="19">
        <f>IF(AV29="Y",(AP29+AS29)*0.8,AP29)</f>
        <v/>
      </c>
      <c r="AX29" s="19">
        <f>IF(AV29="Y",(AP29+AS29)*0.2,AS29)</f>
        <v/>
      </c>
    </row>
    <row r="30">
      <c r="A30" s="18">
        <f>DATA!A30</f>
        <v/>
      </c>
      <c r="B30">
        <f>DATA!B30</f>
        <v/>
      </c>
      <c r="C30" s="19">
        <f>O29</f>
        <v/>
      </c>
      <c r="D30" s="19">
        <f>P29</f>
        <v/>
      </c>
      <c r="E30" s="19">
        <f>C30+D30</f>
        <v/>
      </c>
      <c r="F30" s="20">
        <f>DATA!C30</f>
        <v/>
      </c>
      <c r="G30" s="20">
        <f>DATA!F30</f>
        <v/>
      </c>
      <c r="H30" s="19">
        <f>C30*(1+F30)</f>
        <v/>
      </c>
      <c r="I30" s="19">
        <f>D30*(1+G30)</f>
        <v/>
      </c>
      <c r="J30" s="19">
        <f>IF(AND(CONFIG!$B$11="Annual",MONTH(A30)=7),(H30+I30)*CONFIG!$B$6/12,J29)</f>
        <v/>
      </c>
      <c r="K30" s="19">
        <f>MAX(0,I30-J30)</f>
        <v/>
      </c>
      <c r="L30">
        <f>IF(OR(MONTH(A30)=3,MONTH(A30)=6,MONTH(A30)=9,MONTH(A30)=12),"Y","N")</f>
        <v/>
      </c>
      <c r="M30" s="21">
        <f>IF((H30+K30)=0,0,K30/(H30+K30))</f>
        <v/>
      </c>
      <c r="N30">
        <f>IF(AND(L30="Y",OR(M30&lt;CONFIG!$B$8,M30&gt;CONFIG!$B$9)),"Y","N")</f>
        <v/>
      </c>
      <c r="O30" s="19">
        <f>IF(N30="Y",(H30+K30)*0.8,H30)</f>
        <v/>
      </c>
      <c r="P30" s="19">
        <f>IF(N30="Y",(H30+K30)*0.2,K30)</f>
        <v/>
      </c>
      <c r="R30" s="18">
        <f>DATA!A30</f>
        <v/>
      </c>
      <c r="S30">
        <f>DATA!B30</f>
        <v/>
      </c>
      <c r="T30" s="19">
        <f>AF29</f>
        <v/>
      </c>
      <c r="U30" s="19">
        <f>AG29</f>
        <v/>
      </c>
      <c r="V30" s="19">
        <f>T30+U30</f>
        <v/>
      </c>
      <c r="W30" s="20">
        <f>DATA!D30</f>
        <v/>
      </c>
      <c r="X30" s="20">
        <f>DATA!F30</f>
        <v/>
      </c>
      <c r="Y30" s="19">
        <f>T30*(1+W30)</f>
        <v/>
      </c>
      <c r="Z30" s="19">
        <f>U30*(1+X30)</f>
        <v/>
      </c>
      <c r="AA30" s="19">
        <f>IF(AND(CONFIG!$B$11="Annual",MONTH(R30)=7),(Y30+Z30)*CONFIG!$B$6/12,AA29)</f>
        <v/>
      </c>
      <c r="AB30" s="19">
        <f>MAX(0,Z30-AA30)</f>
        <v/>
      </c>
      <c r="AC30">
        <f>IF(OR(MONTH(R30)=3,MONTH(R30)=6,MONTH(R30)=9,MONTH(R30)=12),"Y","N")</f>
        <v/>
      </c>
      <c r="AD30" s="21">
        <f>IF((Y30+AB30)=0,0,AB30/(Y30+AB30))</f>
        <v/>
      </c>
      <c r="AE30">
        <f>IF(AND(AC30="Y",OR(AD30&lt;CONFIG!$B$8,AD30&gt;CONFIG!$B$9)),"Y","N")</f>
        <v/>
      </c>
      <c r="AF30" s="19">
        <f>IF(AE30="Y",(Y30+AB30)*0.8,Y30)</f>
        <v/>
      </c>
      <c r="AG30" s="19">
        <f>IF(AE30="Y",(Y30+AB30)*0.2,AB30)</f>
        <v/>
      </c>
      <c r="AI30" s="18">
        <f>DATA!A30</f>
        <v/>
      </c>
      <c r="AJ30">
        <f>DATA!B30</f>
        <v/>
      </c>
      <c r="AK30" s="19">
        <f>AW29</f>
        <v/>
      </c>
      <c r="AL30" s="19">
        <f>AX29</f>
        <v/>
      </c>
      <c r="AM30" s="19">
        <f>AK30+AL30</f>
        <v/>
      </c>
      <c r="AN30" s="20">
        <f>DATA!E30</f>
        <v/>
      </c>
      <c r="AO30" s="20">
        <f>DATA!F30</f>
        <v/>
      </c>
      <c r="AP30" s="19">
        <f>AK30*(1+AN30)</f>
        <v/>
      </c>
      <c r="AQ30" s="19">
        <f>AL30*(1+AO30)</f>
        <v/>
      </c>
      <c r="AR30" s="19">
        <f>IF(AND(CONFIG!$B$11="Annual",MONTH(AI30)=7),(AP30+AQ30)*CONFIG!$B$6/12,AR29)</f>
        <v/>
      </c>
      <c r="AS30" s="19">
        <f>MAX(0,AQ30-AR30)</f>
        <v/>
      </c>
      <c r="AT30">
        <f>IF(OR(MONTH(AI30)=3,MONTH(AI30)=6,MONTH(AI30)=9,MONTH(AI30)=12),"Y","N")</f>
        <v/>
      </c>
      <c r="AU30" s="21">
        <f>IF((AP30+AS30)=0,0,AS30/(AP30+AS30))</f>
        <v/>
      </c>
      <c r="AV30">
        <f>IF(AND(AT30="Y",OR(AU30&lt;CONFIG!$B$8,AU30&gt;CONFIG!$B$9)),"Y","N")</f>
        <v/>
      </c>
      <c r="AW30" s="19">
        <f>IF(AV30="Y",(AP30+AS30)*0.8,AP30)</f>
        <v/>
      </c>
      <c r="AX30" s="19">
        <f>IF(AV30="Y",(AP30+AS30)*0.2,AS30)</f>
        <v/>
      </c>
    </row>
    <row r="31">
      <c r="A31" s="18">
        <f>DATA!A31</f>
        <v/>
      </c>
      <c r="B31">
        <f>DATA!B31</f>
        <v/>
      </c>
      <c r="C31" s="19">
        <f>O30</f>
        <v/>
      </c>
      <c r="D31" s="19">
        <f>P30</f>
        <v/>
      </c>
      <c r="E31" s="19">
        <f>C31+D31</f>
        <v/>
      </c>
      <c r="F31" s="20">
        <f>DATA!C31</f>
        <v/>
      </c>
      <c r="G31" s="20">
        <f>DATA!F31</f>
        <v/>
      </c>
      <c r="H31" s="19">
        <f>C31*(1+F31)</f>
        <v/>
      </c>
      <c r="I31" s="19">
        <f>D31*(1+G31)</f>
        <v/>
      </c>
      <c r="J31" s="19">
        <f>IF(AND(CONFIG!$B$11="Annual",MONTH(A31)=7),(H31+I31)*CONFIG!$B$6/12,J30)</f>
        <v/>
      </c>
      <c r="K31" s="19">
        <f>MAX(0,I31-J31)</f>
        <v/>
      </c>
      <c r="L31">
        <f>IF(OR(MONTH(A31)=3,MONTH(A31)=6,MONTH(A31)=9,MONTH(A31)=12),"Y","N")</f>
        <v/>
      </c>
      <c r="M31" s="21">
        <f>IF((H31+K31)=0,0,K31/(H31+K31))</f>
        <v/>
      </c>
      <c r="N31">
        <f>IF(AND(L31="Y",OR(M31&lt;CONFIG!$B$8,M31&gt;CONFIG!$B$9)),"Y","N")</f>
        <v/>
      </c>
      <c r="O31" s="19">
        <f>IF(N31="Y",(H31+K31)*0.8,H31)</f>
        <v/>
      </c>
      <c r="P31" s="19">
        <f>IF(N31="Y",(H31+K31)*0.2,K31)</f>
        <v/>
      </c>
      <c r="R31" s="18">
        <f>DATA!A31</f>
        <v/>
      </c>
      <c r="S31">
        <f>DATA!B31</f>
        <v/>
      </c>
      <c r="T31" s="19">
        <f>AF30</f>
        <v/>
      </c>
      <c r="U31" s="19">
        <f>AG30</f>
        <v/>
      </c>
      <c r="V31" s="19">
        <f>T31+U31</f>
        <v/>
      </c>
      <c r="W31" s="20">
        <f>DATA!D31</f>
        <v/>
      </c>
      <c r="X31" s="20">
        <f>DATA!F31</f>
        <v/>
      </c>
      <c r="Y31" s="19">
        <f>T31*(1+W31)</f>
        <v/>
      </c>
      <c r="Z31" s="19">
        <f>U31*(1+X31)</f>
        <v/>
      </c>
      <c r="AA31" s="19">
        <f>IF(AND(CONFIG!$B$11="Annual",MONTH(R31)=7),(Y31+Z31)*CONFIG!$B$6/12,AA30)</f>
        <v/>
      </c>
      <c r="AB31" s="19">
        <f>MAX(0,Z31-AA31)</f>
        <v/>
      </c>
      <c r="AC31">
        <f>IF(OR(MONTH(R31)=3,MONTH(R31)=6,MONTH(R31)=9,MONTH(R31)=12),"Y","N")</f>
        <v/>
      </c>
      <c r="AD31" s="21">
        <f>IF((Y31+AB31)=0,0,AB31/(Y31+AB31))</f>
        <v/>
      </c>
      <c r="AE31">
        <f>IF(AND(AC31="Y",OR(AD31&lt;CONFIG!$B$8,AD31&gt;CONFIG!$B$9)),"Y","N")</f>
        <v/>
      </c>
      <c r="AF31" s="19">
        <f>IF(AE31="Y",(Y31+AB31)*0.8,Y31)</f>
        <v/>
      </c>
      <c r="AG31" s="19">
        <f>IF(AE31="Y",(Y31+AB31)*0.2,AB31)</f>
        <v/>
      </c>
      <c r="AI31" s="18">
        <f>DATA!A31</f>
        <v/>
      </c>
      <c r="AJ31">
        <f>DATA!B31</f>
        <v/>
      </c>
      <c r="AK31" s="19">
        <f>AW30</f>
        <v/>
      </c>
      <c r="AL31" s="19">
        <f>AX30</f>
        <v/>
      </c>
      <c r="AM31" s="19">
        <f>AK31+AL31</f>
        <v/>
      </c>
      <c r="AN31" s="20">
        <f>DATA!E31</f>
        <v/>
      </c>
      <c r="AO31" s="20">
        <f>DATA!F31</f>
        <v/>
      </c>
      <c r="AP31" s="19">
        <f>AK31*(1+AN31)</f>
        <v/>
      </c>
      <c r="AQ31" s="19">
        <f>AL31*(1+AO31)</f>
        <v/>
      </c>
      <c r="AR31" s="19">
        <f>IF(AND(CONFIG!$B$11="Annual",MONTH(AI31)=7),(AP31+AQ31)*CONFIG!$B$6/12,AR30)</f>
        <v/>
      </c>
      <c r="AS31" s="19">
        <f>MAX(0,AQ31-AR31)</f>
        <v/>
      </c>
      <c r="AT31">
        <f>IF(OR(MONTH(AI31)=3,MONTH(AI31)=6,MONTH(AI31)=9,MONTH(AI31)=12),"Y","N")</f>
        <v/>
      </c>
      <c r="AU31" s="21">
        <f>IF((AP31+AS31)=0,0,AS31/(AP31+AS31))</f>
        <v/>
      </c>
      <c r="AV31">
        <f>IF(AND(AT31="Y",OR(AU31&lt;CONFIG!$B$8,AU31&gt;CONFIG!$B$9)),"Y","N")</f>
        <v/>
      </c>
      <c r="AW31" s="19">
        <f>IF(AV31="Y",(AP31+AS31)*0.8,AP31)</f>
        <v/>
      </c>
      <c r="AX31" s="19">
        <f>IF(AV31="Y",(AP31+AS31)*0.2,AS31)</f>
        <v/>
      </c>
    </row>
    <row r="32">
      <c r="A32" s="18">
        <f>DATA!A32</f>
        <v/>
      </c>
      <c r="B32">
        <f>DATA!B32</f>
        <v/>
      </c>
      <c r="C32" s="19">
        <f>O31</f>
        <v/>
      </c>
      <c r="D32" s="19">
        <f>P31</f>
        <v/>
      </c>
      <c r="E32" s="19">
        <f>C32+D32</f>
        <v/>
      </c>
      <c r="F32" s="20">
        <f>DATA!C32</f>
        <v/>
      </c>
      <c r="G32" s="20">
        <f>DATA!F32</f>
        <v/>
      </c>
      <c r="H32" s="19">
        <f>C32*(1+F32)</f>
        <v/>
      </c>
      <c r="I32" s="19">
        <f>D32*(1+G32)</f>
        <v/>
      </c>
      <c r="J32" s="19">
        <f>IF(AND(CONFIG!$B$11="Annual",MONTH(A32)=7),(H32+I32)*CONFIG!$B$6/12,J31)</f>
        <v/>
      </c>
      <c r="K32" s="19">
        <f>MAX(0,I32-J32)</f>
        <v/>
      </c>
      <c r="L32">
        <f>IF(OR(MONTH(A32)=3,MONTH(A32)=6,MONTH(A32)=9,MONTH(A32)=12),"Y","N")</f>
        <v/>
      </c>
      <c r="M32" s="21">
        <f>IF((H32+K32)=0,0,K32/(H32+K32))</f>
        <v/>
      </c>
      <c r="N32">
        <f>IF(AND(L32="Y",OR(M32&lt;CONFIG!$B$8,M32&gt;CONFIG!$B$9)),"Y","N")</f>
        <v/>
      </c>
      <c r="O32" s="19">
        <f>IF(N32="Y",(H32+K32)*0.8,H32)</f>
        <v/>
      </c>
      <c r="P32" s="19">
        <f>IF(N32="Y",(H32+K32)*0.2,K32)</f>
        <v/>
      </c>
      <c r="R32" s="18">
        <f>DATA!A32</f>
        <v/>
      </c>
      <c r="S32">
        <f>DATA!B32</f>
        <v/>
      </c>
      <c r="T32" s="19">
        <f>AF31</f>
        <v/>
      </c>
      <c r="U32" s="19">
        <f>AG31</f>
        <v/>
      </c>
      <c r="V32" s="19">
        <f>T32+U32</f>
        <v/>
      </c>
      <c r="W32" s="20">
        <f>DATA!D32</f>
        <v/>
      </c>
      <c r="X32" s="20">
        <f>DATA!F32</f>
        <v/>
      </c>
      <c r="Y32" s="19">
        <f>T32*(1+W32)</f>
        <v/>
      </c>
      <c r="Z32" s="19">
        <f>U32*(1+X32)</f>
        <v/>
      </c>
      <c r="AA32" s="19">
        <f>IF(AND(CONFIG!$B$11="Annual",MONTH(R32)=7),(Y32+Z32)*CONFIG!$B$6/12,AA31)</f>
        <v/>
      </c>
      <c r="AB32" s="19">
        <f>MAX(0,Z32-AA32)</f>
        <v/>
      </c>
      <c r="AC32">
        <f>IF(OR(MONTH(R32)=3,MONTH(R32)=6,MONTH(R32)=9,MONTH(R32)=12),"Y","N")</f>
        <v/>
      </c>
      <c r="AD32" s="21">
        <f>IF((Y32+AB32)=0,0,AB32/(Y32+AB32))</f>
        <v/>
      </c>
      <c r="AE32">
        <f>IF(AND(AC32="Y",OR(AD32&lt;CONFIG!$B$8,AD32&gt;CONFIG!$B$9)),"Y","N")</f>
        <v/>
      </c>
      <c r="AF32" s="19">
        <f>IF(AE32="Y",(Y32+AB32)*0.8,Y32)</f>
        <v/>
      </c>
      <c r="AG32" s="19">
        <f>IF(AE32="Y",(Y32+AB32)*0.2,AB32)</f>
        <v/>
      </c>
      <c r="AI32" s="18">
        <f>DATA!A32</f>
        <v/>
      </c>
      <c r="AJ32">
        <f>DATA!B32</f>
        <v/>
      </c>
      <c r="AK32" s="19">
        <f>AW31</f>
        <v/>
      </c>
      <c r="AL32" s="19">
        <f>AX31</f>
        <v/>
      </c>
      <c r="AM32" s="19">
        <f>AK32+AL32</f>
        <v/>
      </c>
      <c r="AN32" s="20">
        <f>DATA!E32</f>
        <v/>
      </c>
      <c r="AO32" s="20">
        <f>DATA!F32</f>
        <v/>
      </c>
      <c r="AP32" s="19">
        <f>AK32*(1+AN32)</f>
        <v/>
      </c>
      <c r="AQ32" s="19">
        <f>AL32*(1+AO32)</f>
        <v/>
      </c>
      <c r="AR32" s="19">
        <f>IF(AND(CONFIG!$B$11="Annual",MONTH(AI32)=7),(AP32+AQ32)*CONFIG!$B$6/12,AR31)</f>
        <v/>
      </c>
      <c r="AS32" s="19">
        <f>MAX(0,AQ32-AR32)</f>
        <v/>
      </c>
      <c r="AT32">
        <f>IF(OR(MONTH(AI32)=3,MONTH(AI32)=6,MONTH(AI32)=9,MONTH(AI32)=12),"Y","N")</f>
        <v/>
      </c>
      <c r="AU32" s="21">
        <f>IF((AP32+AS32)=0,0,AS32/(AP32+AS32))</f>
        <v/>
      </c>
      <c r="AV32">
        <f>IF(AND(AT32="Y",OR(AU32&lt;CONFIG!$B$8,AU32&gt;CONFIG!$B$9)),"Y","N")</f>
        <v/>
      </c>
      <c r="AW32" s="19">
        <f>IF(AV32="Y",(AP32+AS32)*0.8,AP32)</f>
        <v/>
      </c>
      <c r="AX32" s="19">
        <f>IF(AV32="Y",(AP32+AS32)*0.2,AS32)</f>
        <v/>
      </c>
    </row>
    <row r="33">
      <c r="A33" s="18">
        <f>DATA!A33</f>
        <v/>
      </c>
      <c r="B33">
        <f>DATA!B33</f>
        <v/>
      </c>
      <c r="C33" s="19">
        <f>O32</f>
        <v/>
      </c>
      <c r="D33" s="19">
        <f>P32</f>
        <v/>
      </c>
      <c r="E33" s="19">
        <f>C33+D33</f>
        <v/>
      </c>
      <c r="F33" s="20">
        <f>DATA!C33</f>
        <v/>
      </c>
      <c r="G33" s="20">
        <f>DATA!F33</f>
        <v/>
      </c>
      <c r="H33" s="19">
        <f>C33*(1+F33)</f>
        <v/>
      </c>
      <c r="I33" s="19">
        <f>D33*(1+G33)</f>
        <v/>
      </c>
      <c r="J33" s="19">
        <f>IF(AND(CONFIG!$B$11="Annual",MONTH(A33)=7),(H33+I33)*CONFIG!$B$6/12,J32)</f>
        <v/>
      </c>
      <c r="K33" s="19">
        <f>MAX(0,I33-J33)</f>
        <v/>
      </c>
      <c r="L33">
        <f>IF(OR(MONTH(A33)=3,MONTH(A33)=6,MONTH(A33)=9,MONTH(A33)=12),"Y","N")</f>
        <v/>
      </c>
      <c r="M33" s="21">
        <f>IF((H33+K33)=0,0,K33/(H33+K33))</f>
        <v/>
      </c>
      <c r="N33">
        <f>IF(AND(L33="Y",OR(M33&lt;CONFIG!$B$8,M33&gt;CONFIG!$B$9)),"Y","N")</f>
        <v/>
      </c>
      <c r="O33" s="19">
        <f>IF(N33="Y",(H33+K33)*0.8,H33)</f>
        <v/>
      </c>
      <c r="P33" s="19">
        <f>IF(N33="Y",(H33+K33)*0.2,K33)</f>
        <v/>
      </c>
      <c r="R33" s="18">
        <f>DATA!A33</f>
        <v/>
      </c>
      <c r="S33">
        <f>DATA!B33</f>
        <v/>
      </c>
      <c r="T33" s="19">
        <f>AF32</f>
        <v/>
      </c>
      <c r="U33" s="19">
        <f>AG32</f>
        <v/>
      </c>
      <c r="V33" s="19">
        <f>T33+U33</f>
        <v/>
      </c>
      <c r="W33" s="20">
        <f>DATA!D33</f>
        <v/>
      </c>
      <c r="X33" s="20">
        <f>DATA!F33</f>
        <v/>
      </c>
      <c r="Y33" s="19">
        <f>T33*(1+W33)</f>
        <v/>
      </c>
      <c r="Z33" s="19">
        <f>U33*(1+X33)</f>
        <v/>
      </c>
      <c r="AA33" s="19">
        <f>IF(AND(CONFIG!$B$11="Annual",MONTH(R33)=7),(Y33+Z33)*CONFIG!$B$6/12,AA32)</f>
        <v/>
      </c>
      <c r="AB33" s="19">
        <f>MAX(0,Z33-AA33)</f>
        <v/>
      </c>
      <c r="AC33">
        <f>IF(OR(MONTH(R33)=3,MONTH(R33)=6,MONTH(R33)=9,MONTH(R33)=12),"Y","N")</f>
        <v/>
      </c>
      <c r="AD33" s="21">
        <f>IF((Y33+AB33)=0,0,AB33/(Y33+AB33))</f>
        <v/>
      </c>
      <c r="AE33">
        <f>IF(AND(AC33="Y",OR(AD33&lt;CONFIG!$B$8,AD33&gt;CONFIG!$B$9)),"Y","N")</f>
        <v/>
      </c>
      <c r="AF33" s="19">
        <f>IF(AE33="Y",(Y33+AB33)*0.8,Y33)</f>
        <v/>
      </c>
      <c r="AG33" s="19">
        <f>IF(AE33="Y",(Y33+AB33)*0.2,AB33)</f>
        <v/>
      </c>
      <c r="AI33" s="18">
        <f>DATA!A33</f>
        <v/>
      </c>
      <c r="AJ33">
        <f>DATA!B33</f>
        <v/>
      </c>
      <c r="AK33" s="19">
        <f>AW32</f>
        <v/>
      </c>
      <c r="AL33" s="19">
        <f>AX32</f>
        <v/>
      </c>
      <c r="AM33" s="19">
        <f>AK33+AL33</f>
        <v/>
      </c>
      <c r="AN33" s="20">
        <f>DATA!E33</f>
        <v/>
      </c>
      <c r="AO33" s="20">
        <f>DATA!F33</f>
        <v/>
      </c>
      <c r="AP33" s="19">
        <f>AK33*(1+AN33)</f>
        <v/>
      </c>
      <c r="AQ33" s="19">
        <f>AL33*(1+AO33)</f>
        <v/>
      </c>
      <c r="AR33" s="19">
        <f>IF(AND(CONFIG!$B$11="Annual",MONTH(AI33)=7),(AP33+AQ33)*CONFIG!$B$6/12,AR32)</f>
        <v/>
      </c>
      <c r="AS33" s="19">
        <f>MAX(0,AQ33-AR33)</f>
        <v/>
      </c>
      <c r="AT33">
        <f>IF(OR(MONTH(AI33)=3,MONTH(AI33)=6,MONTH(AI33)=9,MONTH(AI33)=12),"Y","N")</f>
        <v/>
      </c>
      <c r="AU33" s="21">
        <f>IF((AP33+AS33)=0,0,AS33/(AP33+AS33))</f>
        <v/>
      </c>
      <c r="AV33">
        <f>IF(AND(AT33="Y",OR(AU33&lt;CONFIG!$B$8,AU33&gt;CONFIG!$B$9)),"Y","N")</f>
        <v/>
      </c>
      <c r="AW33" s="19">
        <f>IF(AV33="Y",(AP33+AS33)*0.8,AP33)</f>
        <v/>
      </c>
      <c r="AX33" s="19">
        <f>IF(AV33="Y",(AP33+AS33)*0.2,AS33)</f>
        <v/>
      </c>
    </row>
    <row r="34">
      <c r="A34" s="18">
        <f>DATA!A34</f>
        <v/>
      </c>
      <c r="B34">
        <f>DATA!B34</f>
        <v/>
      </c>
      <c r="C34" s="19">
        <f>O33</f>
        <v/>
      </c>
      <c r="D34" s="19">
        <f>P33</f>
        <v/>
      </c>
      <c r="E34" s="19">
        <f>C34+D34</f>
        <v/>
      </c>
      <c r="F34" s="20">
        <f>DATA!C34</f>
        <v/>
      </c>
      <c r="G34" s="20">
        <f>DATA!F34</f>
        <v/>
      </c>
      <c r="H34" s="19">
        <f>C34*(1+F34)</f>
        <v/>
      </c>
      <c r="I34" s="19">
        <f>D34*(1+G34)</f>
        <v/>
      </c>
      <c r="J34" s="19">
        <f>IF(AND(CONFIG!$B$11="Annual",MONTH(A34)=7),(H34+I34)*CONFIG!$B$6/12,J33)</f>
        <v/>
      </c>
      <c r="K34" s="19">
        <f>MAX(0,I34-J34)</f>
        <v/>
      </c>
      <c r="L34">
        <f>IF(OR(MONTH(A34)=3,MONTH(A34)=6,MONTH(A34)=9,MONTH(A34)=12),"Y","N")</f>
        <v/>
      </c>
      <c r="M34" s="21">
        <f>IF((H34+K34)=0,0,K34/(H34+K34))</f>
        <v/>
      </c>
      <c r="N34">
        <f>IF(AND(L34="Y",OR(M34&lt;CONFIG!$B$8,M34&gt;CONFIG!$B$9)),"Y","N")</f>
        <v/>
      </c>
      <c r="O34" s="19">
        <f>IF(N34="Y",(H34+K34)*0.8,H34)</f>
        <v/>
      </c>
      <c r="P34" s="19">
        <f>IF(N34="Y",(H34+K34)*0.2,K34)</f>
        <v/>
      </c>
      <c r="R34" s="18">
        <f>DATA!A34</f>
        <v/>
      </c>
      <c r="S34">
        <f>DATA!B34</f>
        <v/>
      </c>
      <c r="T34" s="19">
        <f>AF33</f>
        <v/>
      </c>
      <c r="U34" s="19">
        <f>AG33</f>
        <v/>
      </c>
      <c r="V34" s="19">
        <f>T34+U34</f>
        <v/>
      </c>
      <c r="W34" s="20">
        <f>DATA!D34</f>
        <v/>
      </c>
      <c r="X34" s="20">
        <f>DATA!F34</f>
        <v/>
      </c>
      <c r="Y34" s="19">
        <f>T34*(1+W34)</f>
        <v/>
      </c>
      <c r="Z34" s="19">
        <f>U34*(1+X34)</f>
        <v/>
      </c>
      <c r="AA34" s="19">
        <f>IF(AND(CONFIG!$B$11="Annual",MONTH(R34)=7),(Y34+Z34)*CONFIG!$B$6/12,AA33)</f>
        <v/>
      </c>
      <c r="AB34" s="19">
        <f>MAX(0,Z34-AA34)</f>
        <v/>
      </c>
      <c r="AC34">
        <f>IF(OR(MONTH(R34)=3,MONTH(R34)=6,MONTH(R34)=9,MONTH(R34)=12),"Y","N")</f>
        <v/>
      </c>
      <c r="AD34" s="21">
        <f>IF((Y34+AB34)=0,0,AB34/(Y34+AB34))</f>
        <v/>
      </c>
      <c r="AE34">
        <f>IF(AND(AC34="Y",OR(AD34&lt;CONFIG!$B$8,AD34&gt;CONFIG!$B$9)),"Y","N")</f>
        <v/>
      </c>
      <c r="AF34" s="19">
        <f>IF(AE34="Y",(Y34+AB34)*0.8,Y34)</f>
        <v/>
      </c>
      <c r="AG34" s="19">
        <f>IF(AE34="Y",(Y34+AB34)*0.2,AB34)</f>
        <v/>
      </c>
      <c r="AI34" s="18">
        <f>DATA!A34</f>
        <v/>
      </c>
      <c r="AJ34">
        <f>DATA!B34</f>
        <v/>
      </c>
      <c r="AK34" s="19">
        <f>AW33</f>
        <v/>
      </c>
      <c r="AL34" s="19">
        <f>AX33</f>
        <v/>
      </c>
      <c r="AM34" s="19">
        <f>AK34+AL34</f>
        <v/>
      </c>
      <c r="AN34" s="20">
        <f>DATA!E34</f>
        <v/>
      </c>
      <c r="AO34" s="20">
        <f>DATA!F34</f>
        <v/>
      </c>
      <c r="AP34" s="19">
        <f>AK34*(1+AN34)</f>
        <v/>
      </c>
      <c r="AQ34" s="19">
        <f>AL34*(1+AO34)</f>
        <v/>
      </c>
      <c r="AR34" s="19">
        <f>IF(AND(CONFIG!$B$11="Annual",MONTH(AI34)=7),(AP34+AQ34)*CONFIG!$B$6/12,AR33)</f>
        <v/>
      </c>
      <c r="AS34" s="19">
        <f>MAX(0,AQ34-AR34)</f>
        <v/>
      </c>
      <c r="AT34">
        <f>IF(OR(MONTH(AI34)=3,MONTH(AI34)=6,MONTH(AI34)=9,MONTH(AI34)=12),"Y","N")</f>
        <v/>
      </c>
      <c r="AU34" s="21">
        <f>IF((AP34+AS34)=0,0,AS34/(AP34+AS34))</f>
        <v/>
      </c>
      <c r="AV34">
        <f>IF(AND(AT34="Y",OR(AU34&lt;CONFIG!$B$8,AU34&gt;CONFIG!$B$9)),"Y","N")</f>
        <v/>
      </c>
      <c r="AW34" s="19">
        <f>IF(AV34="Y",(AP34+AS34)*0.8,AP34)</f>
        <v/>
      </c>
      <c r="AX34" s="19">
        <f>IF(AV34="Y",(AP34+AS34)*0.2,AS34)</f>
        <v/>
      </c>
    </row>
    <row r="35">
      <c r="A35" s="18">
        <f>DATA!A35</f>
        <v/>
      </c>
      <c r="B35">
        <f>DATA!B35</f>
        <v/>
      </c>
      <c r="C35" s="19">
        <f>O34</f>
        <v/>
      </c>
      <c r="D35" s="19">
        <f>P34</f>
        <v/>
      </c>
      <c r="E35" s="19">
        <f>C35+D35</f>
        <v/>
      </c>
      <c r="F35" s="20">
        <f>DATA!C35</f>
        <v/>
      </c>
      <c r="G35" s="20">
        <f>DATA!F35</f>
        <v/>
      </c>
      <c r="H35" s="19">
        <f>C35*(1+F35)</f>
        <v/>
      </c>
      <c r="I35" s="19">
        <f>D35*(1+G35)</f>
        <v/>
      </c>
      <c r="J35" s="19">
        <f>IF(AND(CONFIG!$B$11="Annual",MONTH(A35)=7),(H35+I35)*CONFIG!$B$6/12,J34)</f>
        <v/>
      </c>
      <c r="K35" s="19">
        <f>MAX(0,I35-J35)</f>
        <v/>
      </c>
      <c r="L35">
        <f>IF(OR(MONTH(A35)=3,MONTH(A35)=6,MONTH(A35)=9,MONTH(A35)=12),"Y","N")</f>
        <v/>
      </c>
      <c r="M35" s="21">
        <f>IF((H35+K35)=0,0,K35/(H35+K35))</f>
        <v/>
      </c>
      <c r="N35">
        <f>IF(AND(L35="Y",OR(M35&lt;CONFIG!$B$8,M35&gt;CONFIG!$B$9)),"Y","N")</f>
        <v/>
      </c>
      <c r="O35" s="19">
        <f>IF(N35="Y",(H35+K35)*0.8,H35)</f>
        <v/>
      </c>
      <c r="P35" s="19">
        <f>IF(N35="Y",(H35+K35)*0.2,K35)</f>
        <v/>
      </c>
      <c r="R35" s="18">
        <f>DATA!A35</f>
        <v/>
      </c>
      <c r="S35">
        <f>DATA!B35</f>
        <v/>
      </c>
      <c r="T35" s="19">
        <f>AF34</f>
        <v/>
      </c>
      <c r="U35" s="19">
        <f>AG34</f>
        <v/>
      </c>
      <c r="V35" s="19">
        <f>T35+U35</f>
        <v/>
      </c>
      <c r="W35" s="20">
        <f>DATA!D35</f>
        <v/>
      </c>
      <c r="X35" s="20">
        <f>DATA!F35</f>
        <v/>
      </c>
      <c r="Y35" s="19">
        <f>T35*(1+W35)</f>
        <v/>
      </c>
      <c r="Z35" s="19">
        <f>U35*(1+X35)</f>
        <v/>
      </c>
      <c r="AA35" s="19">
        <f>IF(AND(CONFIG!$B$11="Annual",MONTH(R35)=7),(Y35+Z35)*CONFIG!$B$6/12,AA34)</f>
        <v/>
      </c>
      <c r="AB35" s="19">
        <f>MAX(0,Z35-AA35)</f>
        <v/>
      </c>
      <c r="AC35">
        <f>IF(OR(MONTH(R35)=3,MONTH(R35)=6,MONTH(R35)=9,MONTH(R35)=12),"Y","N")</f>
        <v/>
      </c>
      <c r="AD35" s="21">
        <f>IF((Y35+AB35)=0,0,AB35/(Y35+AB35))</f>
        <v/>
      </c>
      <c r="AE35">
        <f>IF(AND(AC35="Y",OR(AD35&lt;CONFIG!$B$8,AD35&gt;CONFIG!$B$9)),"Y","N")</f>
        <v/>
      </c>
      <c r="AF35" s="19">
        <f>IF(AE35="Y",(Y35+AB35)*0.8,Y35)</f>
        <v/>
      </c>
      <c r="AG35" s="19">
        <f>IF(AE35="Y",(Y35+AB35)*0.2,AB35)</f>
        <v/>
      </c>
      <c r="AI35" s="18">
        <f>DATA!A35</f>
        <v/>
      </c>
      <c r="AJ35">
        <f>DATA!B35</f>
        <v/>
      </c>
      <c r="AK35" s="19">
        <f>AW34</f>
        <v/>
      </c>
      <c r="AL35" s="19">
        <f>AX34</f>
        <v/>
      </c>
      <c r="AM35" s="19">
        <f>AK35+AL35</f>
        <v/>
      </c>
      <c r="AN35" s="20">
        <f>DATA!E35</f>
        <v/>
      </c>
      <c r="AO35" s="20">
        <f>DATA!F35</f>
        <v/>
      </c>
      <c r="AP35" s="19">
        <f>AK35*(1+AN35)</f>
        <v/>
      </c>
      <c r="AQ35" s="19">
        <f>AL35*(1+AO35)</f>
        <v/>
      </c>
      <c r="AR35" s="19">
        <f>IF(AND(CONFIG!$B$11="Annual",MONTH(AI35)=7),(AP35+AQ35)*CONFIG!$B$6/12,AR34)</f>
        <v/>
      </c>
      <c r="AS35" s="19">
        <f>MAX(0,AQ35-AR35)</f>
        <v/>
      </c>
      <c r="AT35">
        <f>IF(OR(MONTH(AI35)=3,MONTH(AI35)=6,MONTH(AI35)=9,MONTH(AI35)=12),"Y","N")</f>
        <v/>
      </c>
      <c r="AU35" s="21">
        <f>IF((AP35+AS35)=0,0,AS35/(AP35+AS35))</f>
        <v/>
      </c>
      <c r="AV35">
        <f>IF(AND(AT35="Y",OR(AU35&lt;CONFIG!$B$8,AU35&gt;CONFIG!$B$9)),"Y","N")</f>
        <v/>
      </c>
      <c r="AW35" s="19">
        <f>IF(AV35="Y",(AP35+AS35)*0.8,AP35)</f>
        <v/>
      </c>
      <c r="AX35" s="19">
        <f>IF(AV35="Y",(AP35+AS35)*0.2,AS35)</f>
        <v/>
      </c>
    </row>
    <row r="36">
      <c r="A36" s="18">
        <f>DATA!A36</f>
        <v/>
      </c>
      <c r="B36">
        <f>DATA!B36</f>
        <v/>
      </c>
      <c r="C36" s="19">
        <f>O35</f>
        <v/>
      </c>
      <c r="D36" s="19">
        <f>P35</f>
        <v/>
      </c>
      <c r="E36" s="19">
        <f>C36+D36</f>
        <v/>
      </c>
      <c r="F36" s="20">
        <f>DATA!C36</f>
        <v/>
      </c>
      <c r="G36" s="20">
        <f>DATA!F36</f>
        <v/>
      </c>
      <c r="H36" s="19">
        <f>C36*(1+F36)</f>
        <v/>
      </c>
      <c r="I36" s="19">
        <f>D36*(1+G36)</f>
        <v/>
      </c>
      <c r="J36" s="19">
        <f>IF(AND(CONFIG!$B$11="Annual",MONTH(A36)=7),(H36+I36)*CONFIG!$B$6/12,J35)</f>
        <v/>
      </c>
      <c r="K36" s="19">
        <f>MAX(0,I36-J36)</f>
        <v/>
      </c>
      <c r="L36">
        <f>IF(OR(MONTH(A36)=3,MONTH(A36)=6,MONTH(A36)=9,MONTH(A36)=12),"Y","N")</f>
        <v/>
      </c>
      <c r="M36" s="21">
        <f>IF((H36+K36)=0,0,K36/(H36+K36))</f>
        <v/>
      </c>
      <c r="N36">
        <f>IF(AND(L36="Y",OR(M36&lt;CONFIG!$B$8,M36&gt;CONFIG!$B$9)),"Y","N")</f>
        <v/>
      </c>
      <c r="O36" s="19">
        <f>IF(N36="Y",(H36+K36)*0.8,H36)</f>
        <v/>
      </c>
      <c r="P36" s="19">
        <f>IF(N36="Y",(H36+K36)*0.2,K36)</f>
        <v/>
      </c>
      <c r="R36" s="18">
        <f>DATA!A36</f>
        <v/>
      </c>
      <c r="S36">
        <f>DATA!B36</f>
        <v/>
      </c>
      <c r="T36" s="19">
        <f>AF35</f>
        <v/>
      </c>
      <c r="U36" s="19">
        <f>AG35</f>
        <v/>
      </c>
      <c r="V36" s="19">
        <f>T36+U36</f>
        <v/>
      </c>
      <c r="W36" s="20">
        <f>DATA!D36</f>
        <v/>
      </c>
      <c r="X36" s="20">
        <f>DATA!F36</f>
        <v/>
      </c>
      <c r="Y36" s="19">
        <f>T36*(1+W36)</f>
        <v/>
      </c>
      <c r="Z36" s="19">
        <f>U36*(1+X36)</f>
        <v/>
      </c>
      <c r="AA36" s="19">
        <f>IF(AND(CONFIG!$B$11="Annual",MONTH(R36)=7),(Y36+Z36)*CONFIG!$B$6/12,AA35)</f>
        <v/>
      </c>
      <c r="AB36" s="19">
        <f>MAX(0,Z36-AA36)</f>
        <v/>
      </c>
      <c r="AC36">
        <f>IF(OR(MONTH(R36)=3,MONTH(R36)=6,MONTH(R36)=9,MONTH(R36)=12),"Y","N")</f>
        <v/>
      </c>
      <c r="AD36" s="21">
        <f>IF((Y36+AB36)=0,0,AB36/(Y36+AB36))</f>
        <v/>
      </c>
      <c r="AE36">
        <f>IF(AND(AC36="Y",OR(AD36&lt;CONFIG!$B$8,AD36&gt;CONFIG!$B$9)),"Y","N")</f>
        <v/>
      </c>
      <c r="AF36" s="19">
        <f>IF(AE36="Y",(Y36+AB36)*0.8,Y36)</f>
        <v/>
      </c>
      <c r="AG36" s="19">
        <f>IF(AE36="Y",(Y36+AB36)*0.2,AB36)</f>
        <v/>
      </c>
      <c r="AI36" s="18">
        <f>DATA!A36</f>
        <v/>
      </c>
      <c r="AJ36">
        <f>DATA!B36</f>
        <v/>
      </c>
      <c r="AK36" s="19">
        <f>AW35</f>
        <v/>
      </c>
      <c r="AL36" s="19">
        <f>AX35</f>
        <v/>
      </c>
      <c r="AM36" s="19">
        <f>AK36+AL36</f>
        <v/>
      </c>
      <c r="AN36" s="20">
        <f>DATA!E36</f>
        <v/>
      </c>
      <c r="AO36" s="20">
        <f>DATA!F36</f>
        <v/>
      </c>
      <c r="AP36" s="19">
        <f>AK36*(1+AN36)</f>
        <v/>
      </c>
      <c r="AQ36" s="19">
        <f>AL36*(1+AO36)</f>
        <v/>
      </c>
      <c r="AR36" s="19">
        <f>IF(AND(CONFIG!$B$11="Annual",MONTH(AI36)=7),(AP36+AQ36)*CONFIG!$B$6/12,AR35)</f>
        <v/>
      </c>
      <c r="AS36" s="19">
        <f>MAX(0,AQ36-AR36)</f>
        <v/>
      </c>
      <c r="AT36">
        <f>IF(OR(MONTH(AI36)=3,MONTH(AI36)=6,MONTH(AI36)=9,MONTH(AI36)=12),"Y","N")</f>
        <v/>
      </c>
      <c r="AU36" s="21">
        <f>IF((AP36+AS36)=0,0,AS36/(AP36+AS36))</f>
        <v/>
      </c>
      <c r="AV36">
        <f>IF(AND(AT36="Y",OR(AU36&lt;CONFIG!$B$8,AU36&gt;CONFIG!$B$9)),"Y","N")</f>
        <v/>
      </c>
      <c r="AW36" s="19">
        <f>IF(AV36="Y",(AP36+AS36)*0.8,AP36)</f>
        <v/>
      </c>
      <c r="AX36" s="19">
        <f>IF(AV36="Y",(AP36+AS36)*0.2,AS36)</f>
        <v/>
      </c>
    </row>
    <row r="37">
      <c r="A37" s="18">
        <f>DATA!A37</f>
        <v/>
      </c>
      <c r="B37">
        <f>DATA!B37</f>
        <v/>
      </c>
      <c r="C37" s="19">
        <f>O36</f>
        <v/>
      </c>
      <c r="D37" s="19">
        <f>P36</f>
        <v/>
      </c>
      <c r="E37" s="19">
        <f>C37+D37</f>
        <v/>
      </c>
      <c r="F37" s="20">
        <f>DATA!C37</f>
        <v/>
      </c>
      <c r="G37" s="20">
        <f>DATA!F37</f>
        <v/>
      </c>
      <c r="H37" s="19">
        <f>C37*(1+F37)</f>
        <v/>
      </c>
      <c r="I37" s="19">
        <f>D37*(1+G37)</f>
        <v/>
      </c>
      <c r="J37" s="19">
        <f>IF(AND(CONFIG!$B$11="Annual",MONTH(A37)=7),(H37+I37)*CONFIG!$B$6/12,J36)</f>
        <v/>
      </c>
      <c r="K37" s="19">
        <f>MAX(0,I37-J37)</f>
        <v/>
      </c>
      <c r="L37">
        <f>IF(OR(MONTH(A37)=3,MONTH(A37)=6,MONTH(A37)=9,MONTH(A37)=12),"Y","N")</f>
        <v/>
      </c>
      <c r="M37" s="21">
        <f>IF((H37+K37)=0,0,K37/(H37+K37))</f>
        <v/>
      </c>
      <c r="N37">
        <f>IF(AND(L37="Y",OR(M37&lt;CONFIG!$B$8,M37&gt;CONFIG!$B$9)),"Y","N")</f>
        <v/>
      </c>
      <c r="O37" s="19">
        <f>IF(N37="Y",(H37+K37)*0.8,H37)</f>
        <v/>
      </c>
      <c r="P37" s="19">
        <f>IF(N37="Y",(H37+K37)*0.2,K37)</f>
        <v/>
      </c>
      <c r="R37" s="18">
        <f>DATA!A37</f>
        <v/>
      </c>
      <c r="S37">
        <f>DATA!B37</f>
        <v/>
      </c>
      <c r="T37" s="19">
        <f>AF36</f>
        <v/>
      </c>
      <c r="U37" s="19">
        <f>AG36</f>
        <v/>
      </c>
      <c r="V37" s="19">
        <f>T37+U37</f>
        <v/>
      </c>
      <c r="W37" s="20">
        <f>DATA!D37</f>
        <v/>
      </c>
      <c r="X37" s="20">
        <f>DATA!F37</f>
        <v/>
      </c>
      <c r="Y37" s="19">
        <f>T37*(1+W37)</f>
        <v/>
      </c>
      <c r="Z37" s="19">
        <f>U37*(1+X37)</f>
        <v/>
      </c>
      <c r="AA37" s="19">
        <f>IF(AND(CONFIG!$B$11="Annual",MONTH(R37)=7),(Y37+Z37)*CONFIG!$B$6/12,AA36)</f>
        <v/>
      </c>
      <c r="AB37" s="19">
        <f>MAX(0,Z37-AA37)</f>
        <v/>
      </c>
      <c r="AC37">
        <f>IF(OR(MONTH(R37)=3,MONTH(R37)=6,MONTH(R37)=9,MONTH(R37)=12),"Y","N")</f>
        <v/>
      </c>
      <c r="AD37" s="21">
        <f>IF((Y37+AB37)=0,0,AB37/(Y37+AB37))</f>
        <v/>
      </c>
      <c r="AE37">
        <f>IF(AND(AC37="Y",OR(AD37&lt;CONFIG!$B$8,AD37&gt;CONFIG!$B$9)),"Y","N")</f>
        <v/>
      </c>
      <c r="AF37" s="19">
        <f>IF(AE37="Y",(Y37+AB37)*0.8,Y37)</f>
        <v/>
      </c>
      <c r="AG37" s="19">
        <f>IF(AE37="Y",(Y37+AB37)*0.2,AB37)</f>
        <v/>
      </c>
      <c r="AI37" s="18">
        <f>DATA!A37</f>
        <v/>
      </c>
      <c r="AJ37">
        <f>DATA!B37</f>
        <v/>
      </c>
      <c r="AK37" s="19">
        <f>AW36</f>
        <v/>
      </c>
      <c r="AL37" s="19">
        <f>AX36</f>
        <v/>
      </c>
      <c r="AM37" s="19">
        <f>AK37+AL37</f>
        <v/>
      </c>
      <c r="AN37" s="20">
        <f>DATA!E37</f>
        <v/>
      </c>
      <c r="AO37" s="20">
        <f>DATA!F37</f>
        <v/>
      </c>
      <c r="AP37" s="19">
        <f>AK37*(1+AN37)</f>
        <v/>
      </c>
      <c r="AQ37" s="19">
        <f>AL37*(1+AO37)</f>
        <v/>
      </c>
      <c r="AR37" s="19">
        <f>IF(AND(CONFIG!$B$11="Annual",MONTH(AI37)=7),(AP37+AQ37)*CONFIG!$B$6/12,AR36)</f>
        <v/>
      </c>
      <c r="AS37" s="19">
        <f>MAX(0,AQ37-AR37)</f>
        <v/>
      </c>
      <c r="AT37">
        <f>IF(OR(MONTH(AI37)=3,MONTH(AI37)=6,MONTH(AI37)=9,MONTH(AI37)=12),"Y","N")</f>
        <v/>
      </c>
      <c r="AU37" s="21">
        <f>IF((AP37+AS37)=0,0,AS37/(AP37+AS37))</f>
        <v/>
      </c>
      <c r="AV37">
        <f>IF(AND(AT37="Y",OR(AU37&lt;CONFIG!$B$8,AU37&gt;CONFIG!$B$9)),"Y","N")</f>
        <v/>
      </c>
      <c r="AW37" s="19">
        <f>IF(AV37="Y",(AP37+AS37)*0.8,AP37)</f>
        <v/>
      </c>
      <c r="AX37" s="19">
        <f>IF(AV37="Y",(AP37+AS37)*0.2,AS37)</f>
        <v/>
      </c>
    </row>
    <row r="38">
      <c r="A38" s="18">
        <f>DATA!A38</f>
        <v/>
      </c>
      <c r="B38">
        <f>DATA!B38</f>
        <v/>
      </c>
      <c r="C38" s="19">
        <f>O37</f>
        <v/>
      </c>
      <c r="D38" s="19">
        <f>P37</f>
        <v/>
      </c>
      <c r="E38" s="19">
        <f>C38+D38</f>
        <v/>
      </c>
      <c r="F38" s="20">
        <f>DATA!C38</f>
        <v/>
      </c>
      <c r="G38" s="20">
        <f>DATA!F38</f>
        <v/>
      </c>
      <c r="H38" s="19">
        <f>C38*(1+F38)</f>
        <v/>
      </c>
      <c r="I38" s="19">
        <f>D38*(1+G38)</f>
        <v/>
      </c>
      <c r="J38" s="19">
        <f>IF(AND(CONFIG!$B$11="Annual",MONTH(A38)=7),(H38+I38)*CONFIG!$B$6/12,J37)</f>
        <v/>
      </c>
      <c r="K38" s="19">
        <f>MAX(0,I38-J38)</f>
        <v/>
      </c>
      <c r="L38">
        <f>IF(OR(MONTH(A38)=3,MONTH(A38)=6,MONTH(A38)=9,MONTH(A38)=12),"Y","N")</f>
        <v/>
      </c>
      <c r="M38" s="21">
        <f>IF((H38+K38)=0,0,K38/(H38+K38))</f>
        <v/>
      </c>
      <c r="N38">
        <f>IF(AND(L38="Y",OR(M38&lt;CONFIG!$B$8,M38&gt;CONFIG!$B$9)),"Y","N")</f>
        <v/>
      </c>
      <c r="O38" s="19">
        <f>IF(N38="Y",(H38+K38)*0.8,H38)</f>
        <v/>
      </c>
      <c r="P38" s="19">
        <f>IF(N38="Y",(H38+K38)*0.2,K38)</f>
        <v/>
      </c>
      <c r="R38" s="18">
        <f>DATA!A38</f>
        <v/>
      </c>
      <c r="S38">
        <f>DATA!B38</f>
        <v/>
      </c>
      <c r="T38" s="19">
        <f>AF37</f>
        <v/>
      </c>
      <c r="U38" s="19">
        <f>AG37</f>
        <v/>
      </c>
      <c r="V38" s="19">
        <f>T38+U38</f>
        <v/>
      </c>
      <c r="W38" s="20">
        <f>DATA!D38</f>
        <v/>
      </c>
      <c r="X38" s="20">
        <f>DATA!F38</f>
        <v/>
      </c>
      <c r="Y38" s="19">
        <f>T38*(1+W38)</f>
        <v/>
      </c>
      <c r="Z38" s="19">
        <f>U38*(1+X38)</f>
        <v/>
      </c>
      <c r="AA38" s="19">
        <f>IF(AND(CONFIG!$B$11="Annual",MONTH(R38)=7),(Y38+Z38)*CONFIG!$B$6/12,AA37)</f>
        <v/>
      </c>
      <c r="AB38" s="19">
        <f>MAX(0,Z38-AA38)</f>
        <v/>
      </c>
      <c r="AC38">
        <f>IF(OR(MONTH(R38)=3,MONTH(R38)=6,MONTH(R38)=9,MONTH(R38)=12),"Y","N")</f>
        <v/>
      </c>
      <c r="AD38" s="21">
        <f>IF((Y38+AB38)=0,0,AB38/(Y38+AB38))</f>
        <v/>
      </c>
      <c r="AE38">
        <f>IF(AND(AC38="Y",OR(AD38&lt;CONFIG!$B$8,AD38&gt;CONFIG!$B$9)),"Y","N")</f>
        <v/>
      </c>
      <c r="AF38" s="19">
        <f>IF(AE38="Y",(Y38+AB38)*0.8,Y38)</f>
        <v/>
      </c>
      <c r="AG38" s="19">
        <f>IF(AE38="Y",(Y38+AB38)*0.2,AB38)</f>
        <v/>
      </c>
      <c r="AI38" s="18">
        <f>DATA!A38</f>
        <v/>
      </c>
      <c r="AJ38">
        <f>DATA!B38</f>
        <v/>
      </c>
      <c r="AK38" s="19">
        <f>AW37</f>
        <v/>
      </c>
      <c r="AL38" s="19">
        <f>AX37</f>
        <v/>
      </c>
      <c r="AM38" s="19">
        <f>AK38+AL38</f>
        <v/>
      </c>
      <c r="AN38" s="20">
        <f>DATA!E38</f>
        <v/>
      </c>
      <c r="AO38" s="20">
        <f>DATA!F38</f>
        <v/>
      </c>
      <c r="AP38" s="19">
        <f>AK38*(1+AN38)</f>
        <v/>
      </c>
      <c r="AQ38" s="19">
        <f>AL38*(1+AO38)</f>
        <v/>
      </c>
      <c r="AR38" s="19">
        <f>IF(AND(CONFIG!$B$11="Annual",MONTH(AI38)=7),(AP38+AQ38)*CONFIG!$B$6/12,AR37)</f>
        <v/>
      </c>
      <c r="AS38" s="19">
        <f>MAX(0,AQ38-AR38)</f>
        <v/>
      </c>
      <c r="AT38">
        <f>IF(OR(MONTH(AI38)=3,MONTH(AI38)=6,MONTH(AI38)=9,MONTH(AI38)=12),"Y","N")</f>
        <v/>
      </c>
      <c r="AU38" s="21">
        <f>IF((AP38+AS38)=0,0,AS38/(AP38+AS38))</f>
        <v/>
      </c>
      <c r="AV38">
        <f>IF(AND(AT38="Y",OR(AU38&lt;CONFIG!$B$8,AU38&gt;CONFIG!$B$9)),"Y","N")</f>
        <v/>
      </c>
      <c r="AW38" s="19">
        <f>IF(AV38="Y",(AP38+AS38)*0.8,AP38)</f>
        <v/>
      </c>
      <c r="AX38" s="19">
        <f>IF(AV38="Y",(AP38+AS38)*0.2,AS38)</f>
        <v/>
      </c>
    </row>
    <row r="39">
      <c r="A39" s="18">
        <f>DATA!A39</f>
        <v/>
      </c>
      <c r="B39">
        <f>DATA!B39</f>
        <v/>
      </c>
      <c r="C39" s="19">
        <f>O38</f>
        <v/>
      </c>
      <c r="D39" s="19">
        <f>P38</f>
        <v/>
      </c>
      <c r="E39" s="19">
        <f>C39+D39</f>
        <v/>
      </c>
      <c r="F39" s="20">
        <f>DATA!C39</f>
        <v/>
      </c>
      <c r="G39" s="20">
        <f>DATA!F39</f>
        <v/>
      </c>
      <c r="H39" s="19">
        <f>C39*(1+F39)</f>
        <v/>
      </c>
      <c r="I39" s="19">
        <f>D39*(1+G39)</f>
        <v/>
      </c>
      <c r="J39" s="19">
        <f>IF(AND(CONFIG!$B$11="Annual",MONTH(A39)=7),(H39+I39)*CONFIG!$B$6/12,J38)</f>
        <v/>
      </c>
      <c r="K39" s="19">
        <f>MAX(0,I39-J39)</f>
        <v/>
      </c>
      <c r="L39">
        <f>IF(OR(MONTH(A39)=3,MONTH(A39)=6,MONTH(A39)=9,MONTH(A39)=12),"Y","N")</f>
        <v/>
      </c>
      <c r="M39" s="21">
        <f>IF((H39+K39)=0,0,K39/(H39+K39))</f>
        <v/>
      </c>
      <c r="N39">
        <f>IF(AND(L39="Y",OR(M39&lt;CONFIG!$B$8,M39&gt;CONFIG!$B$9)),"Y","N")</f>
        <v/>
      </c>
      <c r="O39" s="19">
        <f>IF(N39="Y",(H39+K39)*0.8,H39)</f>
        <v/>
      </c>
      <c r="P39" s="19">
        <f>IF(N39="Y",(H39+K39)*0.2,K39)</f>
        <v/>
      </c>
      <c r="R39" s="18">
        <f>DATA!A39</f>
        <v/>
      </c>
      <c r="S39">
        <f>DATA!B39</f>
        <v/>
      </c>
      <c r="T39" s="19">
        <f>AF38</f>
        <v/>
      </c>
      <c r="U39" s="19">
        <f>AG38</f>
        <v/>
      </c>
      <c r="V39" s="19">
        <f>T39+U39</f>
        <v/>
      </c>
      <c r="W39" s="20">
        <f>DATA!D39</f>
        <v/>
      </c>
      <c r="X39" s="20">
        <f>DATA!F39</f>
        <v/>
      </c>
      <c r="Y39" s="19">
        <f>T39*(1+W39)</f>
        <v/>
      </c>
      <c r="Z39" s="19">
        <f>U39*(1+X39)</f>
        <v/>
      </c>
      <c r="AA39" s="19">
        <f>IF(AND(CONFIG!$B$11="Annual",MONTH(R39)=7),(Y39+Z39)*CONFIG!$B$6/12,AA38)</f>
        <v/>
      </c>
      <c r="AB39" s="19">
        <f>MAX(0,Z39-AA39)</f>
        <v/>
      </c>
      <c r="AC39">
        <f>IF(OR(MONTH(R39)=3,MONTH(R39)=6,MONTH(R39)=9,MONTH(R39)=12),"Y","N")</f>
        <v/>
      </c>
      <c r="AD39" s="21">
        <f>IF((Y39+AB39)=0,0,AB39/(Y39+AB39))</f>
        <v/>
      </c>
      <c r="AE39">
        <f>IF(AND(AC39="Y",OR(AD39&lt;CONFIG!$B$8,AD39&gt;CONFIG!$B$9)),"Y","N")</f>
        <v/>
      </c>
      <c r="AF39" s="19">
        <f>IF(AE39="Y",(Y39+AB39)*0.8,Y39)</f>
        <v/>
      </c>
      <c r="AG39" s="19">
        <f>IF(AE39="Y",(Y39+AB39)*0.2,AB39)</f>
        <v/>
      </c>
      <c r="AI39" s="18">
        <f>DATA!A39</f>
        <v/>
      </c>
      <c r="AJ39">
        <f>DATA!B39</f>
        <v/>
      </c>
      <c r="AK39" s="19">
        <f>AW38</f>
        <v/>
      </c>
      <c r="AL39" s="19">
        <f>AX38</f>
        <v/>
      </c>
      <c r="AM39" s="19">
        <f>AK39+AL39</f>
        <v/>
      </c>
      <c r="AN39" s="20">
        <f>DATA!E39</f>
        <v/>
      </c>
      <c r="AO39" s="20">
        <f>DATA!F39</f>
        <v/>
      </c>
      <c r="AP39" s="19">
        <f>AK39*(1+AN39)</f>
        <v/>
      </c>
      <c r="AQ39" s="19">
        <f>AL39*(1+AO39)</f>
        <v/>
      </c>
      <c r="AR39" s="19">
        <f>IF(AND(CONFIG!$B$11="Annual",MONTH(AI39)=7),(AP39+AQ39)*CONFIG!$B$6/12,AR38)</f>
        <v/>
      </c>
      <c r="AS39" s="19">
        <f>MAX(0,AQ39-AR39)</f>
        <v/>
      </c>
      <c r="AT39">
        <f>IF(OR(MONTH(AI39)=3,MONTH(AI39)=6,MONTH(AI39)=9,MONTH(AI39)=12),"Y","N")</f>
        <v/>
      </c>
      <c r="AU39" s="21">
        <f>IF((AP39+AS39)=0,0,AS39/(AP39+AS39))</f>
        <v/>
      </c>
      <c r="AV39">
        <f>IF(AND(AT39="Y",OR(AU39&lt;CONFIG!$B$8,AU39&gt;CONFIG!$B$9)),"Y","N")</f>
        <v/>
      </c>
      <c r="AW39" s="19">
        <f>IF(AV39="Y",(AP39+AS39)*0.8,AP39)</f>
        <v/>
      </c>
      <c r="AX39" s="19">
        <f>IF(AV39="Y",(AP39+AS39)*0.2,AS39)</f>
        <v/>
      </c>
    </row>
    <row r="40">
      <c r="A40" s="18">
        <f>DATA!A40</f>
        <v/>
      </c>
      <c r="B40">
        <f>DATA!B40</f>
        <v/>
      </c>
      <c r="C40" s="19">
        <f>O39</f>
        <v/>
      </c>
      <c r="D40" s="19">
        <f>P39</f>
        <v/>
      </c>
      <c r="E40" s="19">
        <f>C40+D40</f>
        <v/>
      </c>
      <c r="F40" s="20">
        <f>DATA!C40</f>
        <v/>
      </c>
      <c r="G40" s="20">
        <f>DATA!F40</f>
        <v/>
      </c>
      <c r="H40" s="19">
        <f>C40*(1+F40)</f>
        <v/>
      </c>
      <c r="I40" s="19">
        <f>D40*(1+G40)</f>
        <v/>
      </c>
      <c r="J40" s="19">
        <f>IF(AND(CONFIG!$B$11="Annual",MONTH(A40)=7),(H40+I40)*CONFIG!$B$6/12,J39)</f>
        <v/>
      </c>
      <c r="K40" s="19">
        <f>MAX(0,I40-J40)</f>
        <v/>
      </c>
      <c r="L40">
        <f>IF(OR(MONTH(A40)=3,MONTH(A40)=6,MONTH(A40)=9,MONTH(A40)=12),"Y","N")</f>
        <v/>
      </c>
      <c r="M40" s="21">
        <f>IF((H40+K40)=0,0,K40/(H40+K40))</f>
        <v/>
      </c>
      <c r="N40">
        <f>IF(AND(L40="Y",OR(M40&lt;CONFIG!$B$8,M40&gt;CONFIG!$B$9)),"Y","N")</f>
        <v/>
      </c>
      <c r="O40" s="19">
        <f>IF(N40="Y",(H40+K40)*0.8,H40)</f>
        <v/>
      </c>
      <c r="P40" s="19">
        <f>IF(N40="Y",(H40+K40)*0.2,K40)</f>
        <v/>
      </c>
      <c r="R40" s="18">
        <f>DATA!A40</f>
        <v/>
      </c>
      <c r="S40">
        <f>DATA!B40</f>
        <v/>
      </c>
      <c r="T40" s="19">
        <f>AF39</f>
        <v/>
      </c>
      <c r="U40" s="19">
        <f>AG39</f>
        <v/>
      </c>
      <c r="V40" s="19">
        <f>T40+U40</f>
        <v/>
      </c>
      <c r="W40" s="20">
        <f>DATA!D40</f>
        <v/>
      </c>
      <c r="X40" s="20">
        <f>DATA!F40</f>
        <v/>
      </c>
      <c r="Y40" s="19">
        <f>T40*(1+W40)</f>
        <v/>
      </c>
      <c r="Z40" s="19">
        <f>U40*(1+X40)</f>
        <v/>
      </c>
      <c r="AA40" s="19">
        <f>IF(AND(CONFIG!$B$11="Annual",MONTH(R40)=7),(Y40+Z40)*CONFIG!$B$6/12,AA39)</f>
        <v/>
      </c>
      <c r="AB40" s="19">
        <f>MAX(0,Z40-AA40)</f>
        <v/>
      </c>
      <c r="AC40">
        <f>IF(OR(MONTH(R40)=3,MONTH(R40)=6,MONTH(R40)=9,MONTH(R40)=12),"Y","N")</f>
        <v/>
      </c>
      <c r="AD40" s="21">
        <f>IF((Y40+AB40)=0,0,AB40/(Y40+AB40))</f>
        <v/>
      </c>
      <c r="AE40">
        <f>IF(AND(AC40="Y",OR(AD40&lt;CONFIG!$B$8,AD40&gt;CONFIG!$B$9)),"Y","N")</f>
        <v/>
      </c>
      <c r="AF40" s="19">
        <f>IF(AE40="Y",(Y40+AB40)*0.8,Y40)</f>
        <v/>
      </c>
      <c r="AG40" s="19">
        <f>IF(AE40="Y",(Y40+AB40)*0.2,AB40)</f>
        <v/>
      </c>
      <c r="AI40" s="18">
        <f>DATA!A40</f>
        <v/>
      </c>
      <c r="AJ40">
        <f>DATA!B40</f>
        <v/>
      </c>
      <c r="AK40" s="19">
        <f>AW39</f>
        <v/>
      </c>
      <c r="AL40" s="19">
        <f>AX39</f>
        <v/>
      </c>
      <c r="AM40" s="19">
        <f>AK40+AL40</f>
        <v/>
      </c>
      <c r="AN40" s="20">
        <f>DATA!E40</f>
        <v/>
      </c>
      <c r="AO40" s="20">
        <f>DATA!F40</f>
        <v/>
      </c>
      <c r="AP40" s="19">
        <f>AK40*(1+AN40)</f>
        <v/>
      </c>
      <c r="AQ40" s="19">
        <f>AL40*(1+AO40)</f>
        <v/>
      </c>
      <c r="AR40" s="19">
        <f>IF(AND(CONFIG!$B$11="Annual",MONTH(AI40)=7),(AP40+AQ40)*CONFIG!$B$6/12,AR39)</f>
        <v/>
      </c>
      <c r="AS40" s="19">
        <f>MAX(0,AQ40-AR40)</f>
        <v/>
      </c>
      <c r="AT40">
        <f>IF(OR(MONTH(AI40)=3,MONTH(AI40)=6,MONTH(AI40)=9,MONTH(AI40)=12),"Y","N")</f>
        <v/>
      </c>
      <c r="AU40" s="21">
        <f>IF((AP40+AS40)=0,0,AS40/(AP40+AS40))</f>
        <v/>
      </c>
      <c r="AV40">
        <f>IF(AND(AT40="Y",OR(AU40&lt;CONFIG!$B$8,AU40&gt;CONFIG!$B$9)),"Y","N")</f>
        <v/>
      </c>
      <c r="AW40" s="19">
        <f>IF(AV40="Y",(AP40+AS40)*0.8,AP40)</f>
        <v/>
      </c>
      <c r="AX40" s="19">
        <f>IF(AV40="Y",(AP40+AS40)*0.2,AS40)</f>
        <v/>
      </c>
    </row>
    <row r="41">
      <c r="A41" s="18">
        <f>DATA!A41</f>
        <v/>
      </c>
      <c r="B41">
        <f>DATA!B41</f>
        <v/>
      </c>
      <c r="C41" s="19">
        <f>O40</f>
        <v/>
      </c>
      <c r="D41" s="19">
        <f>P40</f>
        <v/>
      </c>
      <c r="E41" s="19">
        <f>C41+D41</f>
        <v/>
      </c>
      <c r="F41" s="20">
        <f>DATA!C41</f>
        <v/>
      </c>
      <c r="G41" s="20">
        <f>DATA!F41</f>
        <v/>
      </c>
      <c r="H41" s="19">
        <f>C41*(1+F41)</f>
        <v/>
      </c>
      <c r="I41" s="19">
        <f>D41*(1+G41)</f>
        <v/>
      </c>
      <c r="J41" s="19">
        <f>IF(AND(CONFIG!$B$11="Annual",MONTH(A41)=7),(H41+I41)*CONFIG!$B$6/12,J40)</f>
        <v/>
      </c>
      <c r="K41" s="19">
        <f>MAX(0,I41-J41)</f>
        <v/>
      </c>
      <c r="L41">
        <f>IF(OR(MONTH(A41)=3,MONTH(A41)=6,MONTH(A41)=9,MONTH(A41)=12),"Y","N")</f>
        <v/>
      </c>
      <c r="M41" s="21">
        <f>IF((H41+K41)=0,0,K41/(H41+K41))</f>
        <v/>
      </c>
      <c r="N41">
        <f>IF(AND(L41="Y",OR(M41&lt;CONFIG!$B$8,M41&gt;CONFIG!$B$9)),"Y","N")</f>
        <v/>
      </c>
      <c r="O41" s="19">
        <f>IF(N41="Y",(H41+K41)*0.8,H41)</f>
        <v/>
      </c>
      <c r="P41" s="19">
        <f>IF(N41="Y",(H41+K41)*0.2,K41)</f>
        <v/>
      </c>
      <c r="R41" s="18">
        <f>DATA!A41</f>
        <v/>
      </c>
      <c r="S41">
        <f>DATA!B41</f>
        <v/>
      </c>
      <c r="T41" s="19">
        <f>AF40</f>
        <v/>
      </c>
      <c r="U41" s="19">
        <f>AG40</f>
        <v/>
      </c>
      <c r="V41" s="19">
        <f>T41+U41</f>
        <v/>
      </c>
      <c r="W41" s="20">
        <f>DATA!D41</f>
        <v/>
      </c>
      <c r="X41" s="20">
        <f>DATA!F41</f>
        <v/>
      </c>
      <c r="Y41" s="19">
        <f>T41*(1+W41)</f>
        <v/>
      </c>
      <c r="Z41" s="19">
        <f>U41*(1+X41)</f>
        <v/>
      </c>
      <c r="AA41" s="19">
        <f>IF(AND(CONFIG!$B$11="Annual",MONTH(R41)=7),(Y41+Z41)*CONFIG!$B$6/12,AA40)</f>
        <v/>
      </c>
      <c r="AB41" s="19">
        <f>MAX(0,Z41-AA41)</f>
        <v/>
      </c>
      <c r="AC41">
        <f>IF(OR(MONTH(R41)=3,MONTH(R41)=6,MONTH(R41)=9,MONTH(R41)=12),"Y","N")</f>
        <v/>
      </c>
      <c r="AD41" s="21">
        <f>IF((Y41+AB41)=0,0,AB41/(Y41+AB41))</f>
        <v/>
      </c>
      <c r="AE41">
        <f>IF(AND(AC41="Y",OR(AD41&lt;CONFIG!$B$8,AD41&gt;CONFIG!$B$9)),"Y","N")</f>
        <v/>
      </c>
      <c r="AF41" s="19">
        <f>IF(AE41="Y",(Y41+AB41)*0.8,Y41)</f>
        <v/>
      </c>
      <c r="AG41" s="19">
        <f>IF(AE41="Y",(Y41+AB41)*0.2,AB41)</f>
        <v/>
      </c>
      <c r="AI41" s="18">
        <f>DATA!A41</f>
        <v/>
      </c>
      <c r="AJ41">
        <f>DATA!B41</f>
        <v/>
      </c>
      <c r="AK41" s="19">
        <f>AW40</f>
        <v/>
      </c>
      <c r="AL41" s="19">
        <f>AX40</f>
        <v/>
      </c>
      <c r="AM41" s="19">
        <f>AK41+AL41</f>
        <v/>
      </c>
      <c r="AN41" s="20">
        <f>DATA!E41</f>
        <v/>
      </c>
      <c r="AO41" s="20">
        <f>DATA!F41</f>
        <v/>
      </c>
      <c r="AP41" s="19">
        <f>AK41*(1+AN41)</f>
        <v/>
      </c>
      <c r="AQ41" s="19">
        <f>AL41*(1+AO41)</f>
        <v/>
      </c>
      <c r="AR41" s="19">
        <f>IF(AND(CONFIG!$B$11="Annual",MONTH(AI41)=7),(AP41+AQ41)*CONFIG!$B$6/12,AR40)</f>
        <v/>
      </c>
      <c r="AS41" s="19">
        <f>MAX(0,AQ41-AR41)</f>
        <v/>
      </c>
      <c r="AT41">
        <f>IF(OR(MONTH(AI41)=3,MONTH(AI41)=6,MONTH(AI41)=9,MONTH(AI41)=12),"Y","N")</f>
        <v/>
      </c>
      <c r="AU41" s="21">
        <f>IF((AP41+AS41)=0,0,AS41/(AP41+AS41))</f>
        <v/>
      </c>
      <c r="AV41">
        <f>IF(AND(AT41="Y",OR(AU41&lt;CONFIG!$B$8,AU41&gt;CONFIG!$B$9)),"Y","N")</f>
        <v/>
      </c>
      <c r="AW41" s="19">
        <f>IF(AV41="Y",(AP41+AS41)*0.8,AP41)</f>
        <v/>
      </c>
      <c r="AX41" s="19">
        <f>IF(AV41="Y",(AP41+AS41)*0.2,AS41)</f>
        <v/>
      </c>
    </row>
    <row r="42">
      <c r="A42" s="18">
        <f>DATA!A42</f>
        <v/>
      </c>
      <c r="B42">
        <f>DATA!B42</f>
        <v/>
      </c>
      <c r="C42" s="19">
        <f>O41</f>
        <v/>
      </c>
      <c r="D42" s="19">
        <f>P41</f>
        <v/>
      </c>
      <c r="E42" s="19">
        <f>C42+D42</f>
        <v/>
      </c>
      <c r="F42" s="20">
        <f>DATA!C42</f>
        <v/>
      </c>
      <c r="G42" s="20">
        <f>DATA!F42</f>
        <v/>
      </c>
      <c r="H42" s="19">
        <f>C42*(1+F42)</f>
        <v/>
      </c>
      <c r="I42" s="19">
        <f>D42*(1+G42)</f>
        <v/>
      </c>
      <c r="J42" s="19">
        <f>IF(AND(CONFIG!$B$11="Annual",MONTH(A42)=7),(H42+I42)*CONFIG!$B$6/12,J41)</f>
        <v/>
      </c>
      <c r="K42" s="19">
        <f>MAX(0,I42-J42)</f>
        <v/>
      </c>
      <c r="L42">
        <f>IF(OR(MONTH(A42)=3,MONTH(A42)=6,MONTH(A42)=9,MONTH(A42)=12),"Y","N")</f>
        <v/>
      </c>
      <c r="M42" s="21">
        <f>IF((H42+K42)=0,0,K42/(H42+K42))</f>
        <v/>
      </c>
      <c r="N42">
        <f>IF(AND(L42="Y",OR(M42&lt;CONFIG!$B$8,M42&gt;CONFIG!$B$9)),"Y","N")</f>
        <v/>
      </c>
      <c r="O42" s="19">
        <f>IF(N42="Y",(H42+K42)*0.8,H42)</f>
        <v/>
      </c>
      <c r="P42" s="19">
        <f>IF(N42="Y",(H42+K42)*0.2,K42)</f>
        <v/>
      </c>
      <c r="R42" s="18">
        <f>DATA!A42</f>
        <v/>
      </c>
      <c r="S42">
        <f>DATA!B42</f>
        <v/>
      </c>
      <c r="T42" s="19">
        <f>AF41</f>
        <v/>
      </c>
      <c r="U42" s="19">
        <f>AG41</f>
        <v/>
      </c>
      <c r="V42" s="19">
        <f>T42+U42</f>
        <v/>
      </c>
      <c r="W42" s="20">
        <f>DATA!D42</f>
        <v/>
      </c>
      <c r="X42" s="20">
        <f>DATA!F42</f>
        <v/>
      </c>
      <c r="Y42" s="19">
        <f>T42*(1+W42)</f>
        <v/>
      </c>
      <c r="Z42" s="19">
        <f>U42*(1+X42)</f>
        <v/>
      </c>
      <c r="AA42" s="19">
        <f>IF(AND(CONFIG!$B$11="Annual",MONTH(R42)=7),(Y42+Z42)*CONFIG!$B$6/12,AA41)</f>
        <v/>
      </c>
      <c r="AB42" s="19">
        <f>MAX(0,Z42-AA42)</f>
        <v/>
      </c>
      <c r="AC42">
        <f>IF(OR(MONTH(R42)=3,MONTH(R42)=6,MONTH(R42)=9,MONTH(R42)=12),"Y","N")</f>
        <v/>
      </c>
      <c r="AD42" s="21">
        <f>IF((Y42+AB42)=0,0,AB42/(Y42+AB42))</f>
        <v/>
      </c>
      <c r="AE42">
        <f>IF(AND(AC42="Y",OR(AD42&lt;CONFIG!$B$8,AD42&gt;CONFIG!$B$9)),"Y","N")</f>
        <v/>
      </c>
      <c r="AF42" s="19">
        <f>IF(AE42="Y",(Y42+AB42)*0.8,Y42)</f>
        <v/>
      </c>
      <c r="AG42" s="19">
        <f>IF(AE42="Y",(Y42+AB42)*0.2,AB42)</f>
        <v/>
      </c>
      <c r="AI42" s="18">
        <f>DATA!A42</f>
        <v/>
      </c>
      <c r="AJ42">
        <f>DATA!B42</f>
        <v/>
      </c>
      <c r="AK42" s="19">
        <f>AW41</f>
        <v/>
      </c>
      <c r="AL42" s="19">
        <f>AX41</f>
        <v/>
      </c>
      <c r="AM42" s="19">
        <f>AK42+AL42</f>
        <v/>
      </c>
      <c r="AN42" s="20">
        <f>DATA!E42</f>
        <v/>
      </c>
      <c r="AO42" s="20">
        <f>DATA!F42</f>
        <v/>
      </c>
      <c r="AP42" s="19">
        <f>AK42*(1+AN42)</f>
        <v/>
      </c>
      <c r="AQ42" s="19">
        <f>AL42*(1+AO42)</f>
        <v/>
      </c>
      <c r="AR42" s="19">
        <f>IF(AND(CONFIG!$B$11="Annual",MONTH(AI42)=7),(AP42+AQ42)*CONFIG!$B$6/12,AR41)</f>
        <v/>
      </c>
      <c r="AS42" s="19">
        <f>MAX(0,AQ42-AR42)</f>
        <v/>
      </c>
      <c r="AT42">
        <f>IF(OR(MONTH(AI42)=3,MONTH(AI42)=6,MONTH(AI42)=9,MONTH(AI42)=12),"Y","N")</f>
        <v/>
      </c>
      <c r="AU42" s="21">
        <f>IF((AP42+AS42)=0,0,AS42/(AP42+AS42))</f>
        <v/>
      </c>
      <c r="AV42">
        <f>IF(AND(AT42="Y",OR(AU42&lt;CONFIG!$B$8,AU42&gt;CONFIG!$B$9)),"Y","N")</f>
        <v/>
      </c>
      <c r="AW42" s="19">
        <f>IF(AV42="Y",(AP42+AS42)*0.8,AP42)</f>
        <v/>
      </c>
      <c r="AX42" s="19">
        <f>IF(AV42="Y",(AP42+AS42)*0.2,AS42)</f>
        <v/>
      </c>
    </row>
    <row r="43">
      <c r="A43" s="18">
        <f>DATA!A43</f>
        <v/>
      </c>
      <c r="B43">
        <f>DATA!B43</f>
        <v/>
      </c>
      <c r="C43" s="19">
        <f>O42</f>
        <v/>
      </c>
      <c r="D43" s="19">
        <f>P42</f>
        <v/>
      </c>
      <c r="E43" s="19">
        <f>C43+D43</f>
        <v/>
      </c>
      <c r="F43" s="20">
        <f>DATA!C43</f>
        <v/>
      </c>
      <c r="G43" s="20">
        <f>DATA!F43</f>
        <v/>
      </c>
      <c r="H43" s="19">
        <f>C43*(1+F43)</f>
        <v/>
      </c>
      <c r="I43" s="19">
        <f>D43*(1+G43)</f>
        <v/>
      </c>
      <c r="J43" s="19">
        <f>IF(AND(CONFIG!$B$11="Annual",MONTH(A43)=7),(H43+I43)*CONFIG!$B$6/12,J42)</f>
        <v/>
      </c>
      <c r="K43" s="19">
        <f>MAX(0,I43-J43)</f>
        <v/>
      </c>
      <c r="L43">
        <f>IF(OR(MONTH(A43)=3,MONTH(A43)=6,MONTH(A43)=9,MONTH(A43)=12),"Y","N")</f>
        <v/>
      </c>
      <c r="M43" s="21">
        <f>IF((H43+K43)=0,0,K43/(H43+K43))</f>
        <v/>
      </c>
      <c r="N43">
        <f>IF(AND(L43="Y",OR(M43&lt;CONFIG!$B$8,M43&gt;CONFIG!$B$9)),"Y","N")</f>
        <v/>
      </c>
      <c r="O43" s="19">
        <f>IF(N43="Y",(H43+K43)*0.8,H43)</f>
        <v/>
      </c>
      <c r="P43" s="19">
        <f>IF(N43="Y",(H43+K43)*0.2,K43)</f>
        <v/>
      </c>
      <c r="R43" s="18">
        <f>DATA!A43</f>
        <v/>
      </c>
      <c r="S43">
        <f>DATA!B43</f>
        <v/>
      </c>
      <c r="T43" s="19">
        <f>AF42</f>
        <v/>
      </c>
      <c r="U43" s="19">
        <f>AG42</f>
        <v/>
      </c>
      <c r="V43" s="19">
        <f>T43+U43</f>
        <v/>
      </c>
      <c r="W43" s="20">
        <f>DATA!D43</f>
        <v/>
      </c>
      <c r="X43" s="20">
        <f>DATA!F43</f>
        <v/>
      </c>
      <c r="Y43" s="19">
        <f>T43*(1+W43)</f>
        <v/>
      </c>
      <c r="Z43" s="19">
        <f>U43*(1+X43)</f>
        <v/>
      </c>
      <c r="AA43" s="19">
        <f>IF(AND(CONFIG!$B$11="Annual",MONTH(R43)=7),(Y43+Z43)*CONFIG!$B$6/12,AA42)</f>
        <v/>
      </c>
      <c r="AB43" s="19">
        <f>MAX(0,Z43-AA43)</f>
        <v/>
      </c>
      <c r="AC43">
        <f>IF(OR(MONTH(R43)=3,MONTH(R43)=6,MONTH(R43)=9,MONTH(R43)=12),"Y","N")</f>
        <v/>
      </c>
      <c r="AD43" s="21">
        <f>IF((Y43+AB43)=0,0,AB43/(Y43+AB43))</f>
        <v/>
      </c>
      <c r="AE43">
        <f>IF(AND(AC43="Y",OR(AD43&lt;CONFIG!$B$8,AD43&gt;CONFIG!$B$9)),"Y","N")</f>
        <v/>
      </c>
      <c r="AF43" s="19">
        <f>IF(AE43="Y",(Y43+AB43)*0.8,Y43)</f>
        <v/>
      </c>
      <c r="AG43" s="19">
        <f>IF(AE43="Y",(Y43+AB43)*0.2,AB43)</f>
        <v/>
      </c>
      <c r="AI43" s="18">
        <f>DATA!A43</f>
        <v/>
      </c>
      <c r="AJ43">
        <f>DATA!B43</f>
        <v/>
      </c>
      <c r="AK43" s="19">
        <f>AW42</f>
        <v/>
      </c>
      <c r="AL43" s="19">
        <f>AX42</f>
        <v/>
      </c>
      <c r="AM43" s="19">
        <f>AK43+AL43</f>
        <v/>
      </c>
      <c r="AN43" s="20">
        <f>DATA!E43</f>
        <v/>
      </c>
      <c r="AO43" s="20">
        <f>DATA!F43</f>
        <v/>
      </c>
      <c r="AP43" s="19">
        <f>AK43*(1+AN43)</f>
        <v/>
      </c>
      <c r="AQ43" s="19">
        <f>AL43*(1+AO43)</f>
        <v/>
      </c>
      <c r="AR43" s="19">
        <f>IF(AND(CONFIG!$B$11="Annual",MONTH(AI43)=7),(AP43+AQ43)*CONFIG!$B$6/12,AR42)</f>
        <v/>
      </c>
      <c r="AS43" s="19">
        <f>MAX(0,AQ43-AR43)</f>
        <v/>
      </c>
      <c r="AT43">
        <f>IF(OR(MONTH(AI43)=3,MONTH(AI43)=6,MONTH(AI43)=9,MONTH(AI43)=12),"Y","N")</f>
        <v/>
      </c>
      <c r="AU43" s="21">
        <f>IF((AP43+AS43)=0,0,AS43/(AP43+AS43))</f>
        <v/>
      </c>
      <c r="AV43">
        <f>IF(AND(AT43="Y",OR(AU43&lt;CONFIG!$B$8,AU43&gt;CONFIG!$B$9)),"Y","N")</f>
        <v/>
      </c>
      <c r="AW43" s="19">
        <f>IF(AV43="Y",(AP43+AS43)*0.8,AP43)</f>
        <v/>
      </c>
      <c r="AX43" s="19">
        <f>IF(AV43="Y",(AP43+AS43)*0.2,AS43)</f>
        <v/>
      </c>
    </row>
    <row r="44">
      <c r="A44" s="18">
        <f>DATA!A44</f>
        <v/>
      </c>
      <c r="B44">
        <f>DATA!B44</f>
        <v/>
      </c>
      <c r="C44" s="19">
        <f>O43</f>
        <v/>
      </c>
      <c r="D44" s="19">
        <f>P43</f>
        <v/>
      </c>
      <c r="E44" s="19">
        <f>C44+D44</f>
        <v/>
      </c>
      <c r="F44" s="20">
        <f>DATA!C44</f>
        <v/>
      </c>
      <c r="G44" s="20">
        <f>DATA!F44</f>
        <v/>
      </c>
      <c r="H44" s="19">
        <f>C44*(1+F44)</f>
        <v/>
      </c>
      <c r="I44" s="19">
        <f>D44*(1+G44)</f>
        <v/>
      </c>
      <c r="J44" s="19">
        <f>IF(AND(CONFIG!$B$11="Annual",MONTH(A44)=7),(H44+I44)*CONFIG!$B$6/12,J43)</f>
        <v/>
      </c>
      <c r="K44" s="19">
        <f>MAX(0,I44-J44)</f>
        <v/>
      </c>
      <c r="L44">
        <f>IF(OR(MONTH(A44)=3,MONTH(A44)=6,MONTH(A44)=9,MONTH(A44)=12),"Y","N")</f>
        <v/>
      </c>
      <c r="M44" s="21">
        <f>IF((H44+K44)=0,0,K44/(H44+K44))</f>
        <v/>
      </c>
      <c r="N44">
        <f>IF(AND(L44="Y",OR(M44&lt;CONFIG!$B$8,M44&gt;CONFIG!$B$9)),"Y","N")</f>
        <v/>
      </c>
      <c r="O44" s="19">
        <f>IF(N44="Y",(H44+K44)*0.8,H44)</f>
        <v/>
      </c>
      <c r="P44" s="19">
        <f>IF(N44="Y",(H44+K44)*0.2,K44)</f>
        <v/>
      </c>
      <c r="R44" s="18">
        <f>DATA!A44</f>
        <v/>
      </c>
      <c r="S44">
        <f>DATA!B44</f>
        <v/>
      </c>
      <c r="T44" s="19">
        <f>AF43</f>
        <v/>
      </c>
      <c r="U44" s="19">
        <f>AG43</f>
        <v/>
      </c>
      <c r="V44" s="19">
        <f>T44+U44</f>
        <v/>
      </c>
      <c r="W44" s="20">
        <f>DATA!D44</f>
        <v/>
      </c>
      <c r="X44" s="20">
        <f>DATA!F44</f>
        <v/>
      </c>
      <c r="Y44" s="19">
        <f>T44*(1+W44)</f>
        <v/>
      </c>
      <c r="Z44" s="19">
        <f>U44*(1+X44)</f>
        <v/>
      </c>
      <c r="AA44" s="19">
        <f>IF(AND(CONFIG!$B$11="Annual",MONTH(R44)=7),(Y44+Z44)*CONFIG!$B$6/12,AA43)</f>
        <v/>
      </c>
      <c r="AB44" s="19">
        <f>MAX(0,Z44-AA44)</f>
        <v/>
      </c>
      <c r="AC44">
        <f>IF(OR(MONTH(R44)=3,MONTH(R44)=6,MONTH(R44)=9,MONTH(R44)=12),"Y","N")</f>
        <v/>
      </c>
      <c r="AD44" s="21">
        <f>IF((Y44+AB44)=0,0,AB44/(Y44+AB44))</f>
        <v/>
      </c>
      <c r="AE44">
        <f>IF(AND(AC44="Y",OR(AD44&lt;CONFIG!$B$8,AD44&gt;CONFIG!$B$9)),"Y","N")</f>
        <v/>
      </c>
      <c r="AF44" s="19">
        <f>IF(AE44="Y",(Y44+AB44)*0.8,Y44)</f>
        <v/>
      </c>
      <c r="AG44" s="19">
        <f>IF(AE44="Y",(Y44+AB44)*0.2,AB44)</f>
        <v/>
      </c>
      <c r="AI44" s="18">
        <f>DATA!A44</f>
        <v/>
      </c>
      <c r="AJ44">
        <f>DATA!B44</f>
        <v/>
      </c>
      <c r="AK44" s="19">
        <f>AW43</f>
        <v/>
      </c>
      <c r="AL44" s="19">
        <f>AX43</f>
        <v/>
      </c>
      <c r="AM44" s="19">
        <f>AK44+AL44</f>
        <v/>
      </c>
      <c r="AN44" s="20">
        <f>DATA!E44</f>
        <v/>
      </c>
      <c r="AO44" s="20">
        <f>DATA!F44</f>
        <v/>
      </c>
      <c r="AP44" s="19">
        <f>AK44*(1+AN44)</f>
        <v/>
      </c>
      <c r="AQ44" s="19">
        <f>AL44*(1+AO44)</f>
        <v/>
      </c>
      <c r="AR44" s="19">
        <f>IF(AND(CONFIG!$B$11="Annual",MONTH(AI44)=7),(AP44+AQ44)*CONFIG!$B$6/12,AR43)</f>
        <v/>
      </c>
      <c r="AS44" s="19">
        <f>MAX(0,AQ44-AR44)</f>
        <v/>
      </c>
      <c r="AT44">
        <f>IF(OR(MONTH(AI44)=3,MONTH(AI44)=6,MONTH(AI44)=9,MONTH(AI44)=12),"Y","N")</f>
        <v/>
      </c>
      <c r="AU44" s="21">
        <f>IF((AP44+AS44)=0,0,AS44/(AP44+AS44))</f>
        <v/>
      </c>
      <c r="AV44">
        <f>IF(AND(AT44="Y",OR(AU44&lt;CONFIG!$B$8,AU44&gt;CONFIG!$B$9)),"Y","N")</f>
        <v/>
      </c>
      <c r="AW44" s="19">
        <f>IF(AV44="Y",(AP44+AS44)*0.8,AP44)</f>
        <v/>
      </c>
      <c r="AX44" s="19">
        <f>IF(AV44="Y",(AP44+AS44)*0.2,AS44)</f>
        <v/>
      </c>
    </row>
    <row r="45">
      <c r="A45" s="18">
        <f>DATA!A45</f>
        <v/>
      </c>
      <c r="B45">
        <f>DATA!B45</f>
        <v/>
      </c>
      <c r="C45" s="19">
        <f>O44</f>
        <v/>
      </c>
      <c r="D45" s="19">
        <f>P44</f>
        <v/>
      </c>
      <c r="E45" s="19">
        <f>C45+D45</f>
        <v/>
      </c>
      <c r="F45" s="20">
        <f>DATA!C45</f>
        <v/>
      </c>
      <c r="G45" s="20">
        <f>DATA!F45</f>
        <v/>
      </c>
      <c r="H45" s="19">
        <f>C45*(1+F45)</f>
        <v/>
      </c>
      <c r="I45" s="19">
        <f>D45*(1+G45)</f>
        <v/>
      </c>
      <c r="J45" s="19">
        <f>IF(AND(CONFIG!$B$11="Annual",MONTH(A45)=7),(H45+I45)*CONFIG!$B$6/12,J44)</f>
        <v/>
      </c>
      <c r="K45" s="19">
        <f>MAX(0,I45-J45)</f>
        <v/>
      </c>
      <c r="L45">
        <f>IF(OR(MONTH(A45)=3,MONTH(A45)=6,MONTH(A45)=9,MONTH(A45)=12),"Y","N")</f>
        <v/>
      </c>
      <c r="M45" s="21">
        <f>IF((H45+K45)=0,0,K45/(H45+K45))</f>
        <v/>
      </c>
      <c r="N45">
        <f>IF(AND(L45="Y",OR(M45&lt;CONFIG!$B$8,M45&gt;CONFIG!$B$9)),"Y","N")</f>
        <v/>
      </c>
      <c r="O45" s="19">
        <f>IF(N45="Y",(H45+K45)*0.8,H45)</f>
        <v/>
      </c>
      <c r="P45" s="19">
        <f>IF(N45="Y",(H45+K45)*0.2,K45)</f>
        <v/>
      </c>
      <c r="R45" s="18">
        <f>DATA!A45</f>
        <v/>
      </c>
      <c r="S45">
        <f>DATA!B45</f>
        <v/>
      </c>
      <c r="T45" s="19">
        <f>AF44</f>
        <v/>
      </c>
      <c r="U45" s="19">
        <f>AG44</f>
        <v/>
      </c>
      <c r="V45" s="19">
        <f>T45+U45</f>
        <v/>
      </c>
      <c r="W45" s="20">
        <f>DATA!D45</f>
        <v/>
      </c>
      <c r="X45" s="20">
        <f>DATA!F45</f>
        <v/>
      </c>
      <c r="Y45" s="19">
        <f>T45*(1+W45)</f>
        <v/>
      </c>
      <c r="Z45" s="19">
        <f>U45*(1+X45)</f>
        <v/>
      </c>
      <c r="AA45" s="19">
        <f>IF(AND(CONFIG!$B$11="Annual",MONTH(R45)=7),(Y45+Z45)*CONFIG!$B$6/12,AA44)</f>
        <v/>
      </c>
      <c r="AB45" s="19">
        <f>MAX(0,Z45-AA45)</f>
        <v/>
      </c>
      <c r="AC45">
        <f>IF(OR(MONTH(R45)=3,MONTH(R45)=6,MONTH(R45)=9,MONTH(R45)=12),"Y","N")</f>
        <v/>
      </c>
      <c r="AD45" s="21">
        <f>IF((Y45+AB45)=0,0,AB45/(Y45+AB45))</f>
        <v/>
      </c>
      <c r="AE45">
        <f>IF(AND(AC45="Y",OR(AD45&lt;CONFIG!$B$8,AD45&gt;CONFIG!$B$9)),"Y","N")</f>
        <v/>
      </c>
      <c r="AF45" s="19">
        <f>IF(AE45="Y",(Y45+AB45)*0.8,Y45)</f>
        <v/>
      </c>
      <c r="AG45" s="19">
        <f>IF(AE45="Y",(Y45+AB45)*0.2,AB45)</f>
        <v/>
      </c>
      <c r="AI45" s="18">
        <f>DATA!A45</f>
        <v/>
      </c>
      <c r="AJ45">
        <f>DATA!B45</f>
        <v/>
      </c>
      <c r="AK45" s="19">
        <f>AW44</f>
        <v/>
      </c>
      <c r="AL45" s="19">
        <f>AX44</f>
        <v/>
      </c>
      <c r="AM45" s="19">
        <f>AK45+AL45</f>
        <v/>
      </c>
      <c r="AN45" s="20">
        <f>DATA!E45</f>
        <v/>
      </c>
      <c r="AO45" s="20">
        <f>DATA!F45</f>
        <v/>
      </c>
      <c r="AP45" s="19">
        <f>AK45*(1+AN45)</f>
        <v/>
      </c>
      <c r="AQ45" s="19">
        <f>AL45*(1+AO45)</f>
        <v/>
      </c>
      <c r="AR45" s="19">
        <f>IF(AND(CONFIG!$B$11="Annual",MONTH(AI45)=7),(AP45+AQ45)*CONFIG!$B$6/12,AR44)</f>
        <v/>
      </c>
      <c r="AS45" s="19">
        <f>MAX(0,AQ45-AR45)</f>
        <v/>
      </c>
      <c r="AT45">
        <f>IF(OR(MONTH(AI45)=3,MONTH(AI45)=6,MONTH(AI45)=9,MONTH(AI45)=12),"Y","N")</f>
        <v/>
      </c>
      <c r="AU45" s="21">
        <f>IF((AP45+AS45)=0,0,AS45/(AP45+AS45))</f>
        <v/>
      </c>
      <c r="AV45">
        <f>IF(AND(AT45="Y",OR(AU45&lt;CONFIG!$B$8,AU45&gt;CONFIG!$B$9)),"Y","N")</f>
        <v/>
      </c>
      <c r="AW45" s="19">
        <f>IF(AV45="Y",(AP45+AS45)*0.8,AP45)</f>
        <v/>
      </c>
      <c r="AX45" s="19">
        <f>IF(AV45="Y",(AP45+AS45)*0.2,AS45)</f>
        <v/>
      </c>
    </row>
    <row r="46">
      <c r="A46" s="18">
        <f>DATA!A46</f>
        <v/>
      </c>
      <c r="B46">
        <f>DATA!B46</f>
        <v/>
      </c>
      <c r="C46" s="19">
        <f>O45</f>
        <v/>
      </c>
      <c r="D46" s="19">
        <f>P45</f>
        <v/>
      </c>
      <c r="E46" s="19">
        <f>C46+D46</f>
        <v/>
      </c>
      <c r="F46" s="20">
        <f>DATA!C46</f>
        <v/>
      </c>
      <c r="G46" s="20">
        <f>DATA!F46</f>
        <v/>
      </c>
      <c r="H46" s="19">
        <f>C46*(1+F46)</f>
        <v/>
      </c>
      <c r="I46" s="19">
        <f>D46*(1+G46)</f>
        <v/>
      </c>
      <c r="J46" s="19">
        <f>IF(AND(CONFIG!$B$11="Annual",MONTH(A46)=7),(H46+I46)*CONFIG!$B$6/12,J45)</f>
        <v/>
      </c>
      <c r="K46" s="19">
        <f>MAX(0,I46-J46)</f>
        <v/>
      </c>
      <c r="L46">
        <f>IF(OR(MONTH(A46)=3,MONTH(A46)=6,MONTH(A46)=9,MONTH(A46)=12),"Y","N")</f>
        <v/>
      </c>
      <c r="M46" s="21">
        <f>IF((H46+K46)=0,0,K46/(H46+K46))</f>
        <v/>
      </c>
      <c r="N46">
        <f>IF(AND(L46="Y",OR(M46&lt;CONFIG!$B$8,M46&gt;CONFIG!$B$9)),"Y","N")</f>
        <v/>
      </c>
      <c r="O46" s="19">
        <f>IF(N46="Y",(H46+K46)*0.8,H46)</f>
        <v/>
      </c>
      <c r="P46" s="19">
        <f>IF(N46="Y",(H46+K46)*0.2,K46)</f>
        <v/>
      </c>
      <c r="R46" s="18">
        <f>DATA!A46</f>
        <v/>
      </c>
      <c r="S46">
        <f>DATA!B46</f>
        <v/>
      </c>
      <c r="T46" s="19">
        <f>AF45</f>
        <v/>
      </c>
      <c r="U46" s="19">
        <f>AG45</f>
        <v/>
      </c>
      <c r="V46" s="19">
        <f>T46+U46</f>
        <v/>
      </c>
      <c r="W46" s="20">
        <f>DATA!D46</f>
        <v/>
      </c>
      <c r="X46" s="20">
        <f>DATA!F46</f>
        <v/>
      </c>
      <c r="Y46" s="19">
        <f>T46*(1+W46)</f>
        <v/>
      </c>
      <c r="Z46" s="19">
        <f>U46*(1+X46)</f>
        <v/>
      </c>
      <c r="AA46" s="19">
        <f>IF(AND(CONFIG!$B$11="Annual",MONTH(R46)=7),(Y46+Z46)*CONFIG!$B$6/12,AA45)</f>
        <v/>
      </c>
      <c r="AB46" s="19">
        <f>MAX(0,Z46-AA46)</f>
        <v/>
      </c>
      <c r="AC46">
        <f>IF(OR(MONTH(R46)=3,MONTH(R46)=6,MONTH(R46)=9,MONTH(R46)=12),"Y","N")</f>
        <v/>
      </c>
      <c r="AD46" s="21">
        <f>IF((Y46+AB46)=0,0,AB46/(Y46+AB46))</f>
        <v/>
      </c>
      <c r="AE46">
        <f>IF(AND(AC46="Y",OR(AD46&lt;CONFIG!$B$8,AD46&gt;CONFIG!$B$9)),"Y","N")</f>
        <v/>
      </c>
      <c r="AF46" s="19">
        <f>IF(AE46="Y",(Y46+AB46)*0.8,Y46)</f>
        <v/>
      </c>
      <c r="AG46" s="19">
        <f>IF(AE46="Y",(Y46+AB46)*0.2,AB46)</f>
        <v/>
      </c>
      <c r="AI46" s="18">
        <f>DATA!A46</f>
        <v/>
      </c>
      <c r="AJ46">
        <f>DATA!B46</f>
        <v/>
      </c>
      <c r="AK46" s="19">
        <f>AW45</f>
        <v/>
      </c>
      <c r="AL46" s="19">
        <f>AX45</f>
        <v/>
      </c>
      <c r="AM46" s="19">
        <f>AK46+AL46</f>
        <v/>
      </c>
      <c r="AN46" s="20">
        <f>DATA!E46</f>
        <v/>
      </c>
      <c r="AO46" s="20">
        <f>DATA!F46</f>
        <v/>
      </c>
      <c r="AP46" s="19">
        <f>AK46*(1+AN46)</f>
        <v/>
      </c>
      <c r="AQ46" s="19">
        <f>AL46*(1+AO46)</f>
        <v/>
      </c>
      <c r="AR46" s="19">
        <f>IF(AND(CONFIG!$B$11="Annual",MONTH(AI46)=7),(AP46+AQ46)*CONFIG!$B$6/12,AR45)</f>
        <v/>
      </c>
      <c r="AS46" s="19">
        <f>MAX(0,AQ46-AR46)</f>
        <v/>
      </c>
      <c r="AT46">
        <f>IF(OR(MONTH(AI46)=3,MONTH(AI46)=6,MONTH(AI46)=9,MONTH(AI46)=12),"Y","N")</f>
        <v/>
      </c>
      <c r="AU46" s="21">
        <f>IF((AP46+AS46)=0,0,AS46/(AP46+AS46))</f>
        <v/>
      </c>
      <c r="AV46">
        <f>IF(AND(AT46="Y",OR(AU46&lt;CONFIG!$B$8,AU46&gt;CONFIG!$B$9)),"Y","N")</f>
        <v/>
      </c>
      <c r="AW46" s="19">
        <f>IF(AV46="Y",(AP46+AS46)*0.8,AP46)</f>
        <v/>
      </c>
      <c r="AX46" s="19">
        <f>IF(AV46="Y",(AP46+AS46)*0.2,AS46)</f>
        <v/>
      </c>
    </row>
    <row r="47">
      <c r="A47" s="18">
        <f>DATA!A47</f>
        <v/>
      </c>
      <c r="B47">
        <f>DATA!B47</f>
        <v/>
      </c>
      <c r="C47" s="19">
        <f>O46</f>
        <v/>
      </c>
      <c r="D47" s="19">
        <f>P46</f>
        <v/>
      </c>
      <c r="E47" s="19">
        <f>C47+D47</f>
        <v/>
      </c>
      <c r="F47" s="20">
        <f>DATA!C47</f>
        <v/>
      </c>
      <c r="G47" s="20">
        <f>DATA!F47</f>
        <v/>
      </c>
      <c r="H47" s="19">
        <f>C47*(1+F47)</f>
        <v/>
      </c>
      <c r="I47" s="19">
        <f>D47*(1+G47)</f>
        <v/>
      </c>
      <c r="J47" s="19">
        <f>IF(AND(CONFIG!$B$11="Annual",MONTH(A47)=7),(H47+I47)*CONFIG!$B$6/12,J46)</f>
        <v/>
      </c>
      <c r="K47" s="19">
        <f>MAX(0,I47-J47)</f>
        <v/>
      </c>
      <c r="L47">
        <f>IF(OR(MONTH(A47)=3,MONTH(A47)=6,MONTH(A47)=9,MONTH(A47)=12),"Y","N")</f>
        <v/>
      </c>
      <c r="M47" s="21">
        <f>IF((H47+K47)=0,0,K47/(H47+K47))</f>
        <v/>
      </c>
      <c r="N47">
        <f>IF(AND(L47="Y",OR(M47&lt;CONFIG!$B$8,M47&gt;CONFIG!$B$9)),"Y","N")</f>
        <v/>
      </c>
      <c r="O47" s="19">
        <f>IF(N47="Y",(H47+K47)*0.8,H47)</f>
        <v/>
      </c>
      <c r="P47" s="19">
        <f>IF(N47="Y",(H47+K47)*0.2,K47)</f>
        <v/>
      </c>
      <c r="R47" s="18">
        <f>DATA!A47</f>
        <v/>
      </c>
      <c r="S47">
        <f>DATA!B47</f>
        <v/>
      </c>
      <c r="T47" s="19">
        <f>AF46</f>
        <v/>
      </c>
      <c r="U47" s="19">
        <f>AG46</f>
        <v/>
      </c>
      <c r="V47" s="19">
        <f>T47+U47</f>
        <v/>
      </c>
      <c r="W47" s="20">
        <f>DATA!D47</f>
        <v/>
      </c>
      <c r="X47" s="20">
        <f>DATA!F47</f>
        <v/>
      </c>
      <c r="Y47" s="19">
        <f>T47*(1+W47)</f>
        <v/>
      </c>
      <c r="Z47" s="19">
        <f>U47*(1+X47)</f>
        <v/>
      </c>
      <c r="AA47" s="19">
        <f>IF(AND(CONFIG!$B$11="Annual",MONTH(R47)=7),(Y47+Z47)*CONFIG!$B$6/12,AA46)</f>
        <v/>
      </c>
      <c r="AB47" s="19">
        <f>MAX(0,Z47-AA47)</f>
        <v/>
      </c>
      <c r="AC47">
        <f>IF(OR(MONTH(R47)=3,MONTH(R47)=6,MONTH(R47)=9,MONTH(R47)=12),"Y","N")</f>
        <v/>
      </c>
      <c r="AD47" s="21">
        <f>IF((Y47+AB47)=0,0,AB47/(Y47+AB47))</f>
        <v/>
      </c>
      <c r="AE47">
        <f>IF(AND(AC47="Y",OR(AD47&lt;CONFIG!$B$8,AD47&gt;CONFIG!$B$9)),"Y","N")</f>
        <v/>
      </c>
      <c r="AF47" s="19">
        <f>IF(AE47="Y",(Y47+AB47)*0.8,Y47)</f>
        <v/>
      </c>
      <c r="AG47" s="19">
        <f>IF(AE47="Y",(Y47+AB47)*0.2,AB47)</f>
        <v/>
      </c>
      <c r="AI47" s="18">
        <f>DATA!A47</f>
        <v/>
      </c>
      <c r="AJ47">
        <f>DATA!B47</f>
        <v/>
      </c>
      <c r="AK47" s="19">
        <f>AW46</f>
        <v/>
      </c>
      <c r="AL47" s="19">
        <f>AX46</f>
        <v/>
      </c>
      <c r="AM47" s="19">
        <f>AK47+AL47</f>
        <v/>
      </c>
      <c r="AN47" s="20">
        <f>DATA!E47</f>
        <v/>
      </c>
      <c r="AO47" s="20">
        <f>DATA!F47</f>
        <v/>
      </c>
      <c r="AP47" s="19">
        <f>AK47*(1+AN47)</f>
        <v/>
      </c>
      <c r="AQ47" s="19">
        <f>AL47*(1+AO47)</f>
        <v/>
      </c>
      <c r="AR47" s="19">
        <f>IF(AND(CONFIG!$B$11="Annual",MONTH(AI47)=7),(AP47+AQ47)*CONFIG!$B$6/12,AR46)</f>
        <v/>
      </c>
      <c r="AS47" s="19">
        <f>MAX(0,AQ47-AR47)</f>
        <v/>
      </c>
      <c r="AT47">
        <f>IF(OR(MONTH(AI47)=3,MONTH(AI47)=6,MONTH(AI47)=9,MONTH(AI47)=12),"Y","N")</f>
        <v/>
      </c>
      <c r="AU47" s="21">
        <f>IF((AP47+AS47)=0,0,AS47/(AP47+AS47))</f>
        <v/>
      </c>
      <c r="AV47">
        <f>IF(AND(AT47="Y",OR(AU47&lt;CONFIG!$B$8,AU47&gt;CONFIG!$B$9)),"Y","N")</f>
        <v/>
      </c>
      <c r="AW47" s="19">
        <f>IF(AV47="Y",(AP47+AS47)*0.8,AP47)</f>
        <v/>
      </c>
      <c r="AX47" s="19">
        <f>IF(AV47="Y",(AP47+AS47)*0.2,AS47)</f>
        <v/>
      </c>
    </row>
    <row r="48">
      <c r="A48" s="18">
        <f>DATA!A48</f>
        <v/>
      </c>
      <c r="B48">
        <f>DATA!B48</f>
        <v/>
      </c>
      <c r="C48" s="19">
        <f>O47</f>
        <v/>
      </c>
      <c r="D48" s="19">
        <f>P47</f>
        <v/>
      </c>
      <c r="E48" s="19">
        <f>C48+D48</f>
        <v/>
      </c>
      <c r="F48" s="20">
        <f>DATA!C48</f>
        <v/>
      </c>
      <c r="G48" s="20">
        <f>DATA!F48</f>
        <v/>
      </c>
      <c r="H48" s="19">
        <f>C48*(1+F48)</f>
        <v/>
      </c>
      <c r="I48" s="19">
        <f>D48*(1+G48)</f>
        <v/>
      </c>
      <c r="J48" s="19">
        <f>IF(AND(CONFIG!$B$11="Annual",MONTH(A48)=7),(H48+I48)*CONFIG!$B$6/12,J47)</f>
        <v/>
      </c>
      <c r="K48" s="19">
        <f>MAX(0,I48-J48)</f>
        <v/>
      </c>
      <c r="L48">
        <f>IF(OR(MONTH(A48)=3,MONTH(A48)=6,MONTH(A48)=9,MONTH(A48)=12),"Y","N")</f>
        <v/>
      </c>
      <c r="M48" s="21">
        <f>IF((H48+K48)=0,0,K48/(H48+K48))</f>
        <v/>
      </c>
      <c r="N48">
        <f>IF(AND(L48="Y",OR(M48&lt;CONFIG!$B$8,M48&gt;CONFIG!$B$9)),"Y","N")</f>
        <v/>
      </c>
      <c r="O48" s="19">
        <f>IF(N48="Y",(H48+K48)*0.8,H48)</f>
        <v/>
      </c>
      <c r="P48" s="19">
        <f>IF(N48="Y",(H48+K48)*0.2,K48)</f>
        <v/>
      </c>
      <c r="R48" s="18">
        <f>DATA!A48</f>
        <v/>
      </c>
      <c r="S48">
        <f>DATA!B48</f>
        <v/>
      </c>
      <c r="T48" s="19">
        <f>AF47</f>
        <v/>
      </c>
      <c r="U48" s="19">
        <f>AG47</f>
        <v/>
      </c>
      <c r="V48" s="19">
        <f>T48+U48</f>
        <v/>
      </c>
      <c r="W48" s="20">
        <f>DATA!D48</f>
        <v/>
      </c>
      <c r="X48" s="20">
        <f>DATA!F48</f>
        <v/>
      </c>
      <c r="Y48" s="19">
        <f>T48*(1+W48)</f>
        <v/>
      </c>
      <c r="Z48" s="19">
        <f>U48*(1+X48)</f>
        <v/>
      </c>
      <c r="AA48" s="19">
        <f>IF(AND(CONFIG!$B$11="Annual",MONTH(R48)=7),(Y48+Z48)*CONFIG!$B$6/12,AA47)</f>
        <v/>
      </c>
      <c r="AB48" s="19">
        <f>MAX(0,Z48-AA48)</f>
        <v/>
      </c>
      <c r="AC48">
        <f>IF(OR(MONTH(R48)=3,MONTH(R48)=6,MONTH(R48)=9,MONTH(R48)=12),"Y","N")</f>
        <v/>
      </c>
      <c r="AD48" s="21">
        <f>IF((Y48+AB48)=0,0,AB48/(Y48+AB48))</f>
        <v/>
      </c>
      <c r="AE48">
        <f>IF(AND(AC48="Y",OR(AD48&lt;CONFIG!$B$8,AD48&gt;CONFIG!$B$9)),"Y","N")</f>
        <v/>
      </c>
      <c r="AF48" s="19">
        <f>IF(AE48="Y",(Y48+AB48)*0.8,Y48)</f>
        <v/>
      </c>
      <c r="AG48" s="19">
        <f>IF(AE48="Y",(Y48+AB48)*0.2,AB48)</f>
        <v/>
      </c>
      <c r="AI48" s="18">
        <f>DATA!A48</f>
        <v/>
      </c>
      <c r="AJ48">
        <f>DATA!B48</f>
        <v/>
      </c>
      <c r="AK48" s="19">
        <f>AW47</f>
        <v/>
      </c>
      <c r="AL48" s="19">
        <f>AX47</f>
        <v/>
      </c>
      <c r="AM48" s="19">
        <f>AK48+AL48</f>
        <v/>
      </c>
      <c r="AN48" s="20">
        <f>DATA!E48</f>
        <v/>
      </c>
      <c r="AO48" s="20">
        <f>DATA!F48</f>
        <v/>
      </c>
      <c r="AP48" s="19">
        <f>AK48*(1+AN48)</f>
        <v/>
      </c>
      <c r="AQ48" s="19">
        <f>AL48*(1+AO48)</f>
        <v/>
      </c>
      <c r="AR48" s="19">
        <f>IF(AND(CONFIG!$B$11="Annual",MONTH(AI48)=7),(AP48+AQ48)*CONFIG!$B$6/12,AR47)</f>
        <v/>
      </c>
      <c r="AS48" s="19">
        <f>MAX(0,AQ48-AR48)</f>
        <v/>
      </c>
      <c r="AT48">
        <f>IF(OR(MONTH(AI48)=3,MONTH(AI48)=6,MONTH(AI48)=9,MONTH(AI48)=12),"Y","N")</f>
        <v/>
      </c>
      <c r="AU48" s="21">
        <f>IF((AP48+AS48)=0,0,AS48/(AP48+AS48))</f>
        <v/>
      </c>
      <c r="AV48">
        <f>IF(AND(AT48="Y",OR(AU48&lt;CONFIG!$B$8,AU48&gt;CONFIG!$B$9)),"Y","N")</f>
        <v/>
      </c>
      <c r="AW48" s="19">
        <f>IF(AV48="Y",(AP48+AS48)*0.8,AP48)</f>
        <v/>
      </c>
      <c r="AX48" s="19">
        <f>IF(AV48="Y",(AP48+AS48)*0.2,AS48)</f>
        <v/>
      </c>
    </row>
    <row r="49">
      <c r="A49" s="18">
        <f>DATA!A49</f>
        <v/>
      </c>
      <c r="B49">
        <f>DATA!B49</f>
        <v/>
      </c>
      <c r="C49" s="19">
        <f>O48</f>
        <v/>
      </c>
      <c r="D49" s="19">
        <f>P48</f>
        <v/>
      </c>
      <c r="E49" s="19">
        <f>C49+D49</f>
        <v/>
      </c>
      <c r="F49" s="20">
        <f>DATA!C49</f>
        <v/>
      </c>
      <c r="G49" s="20">
        <f>DATA!F49</f>
        <v/>
      </c>
      <c r="H49" s="19">
        <f>C49*(1+F49)</f>
        <v/>
      </c>
      <c r="I49" s="19">
        <f>D49*(1+G49)</f>
        <v/>
      </c>
      <c r="J49" s="19">
        <f>IF(AND(CONFIG!$B$11="Annual",MONTH(A49)=7),(H49+I49)*CONFIG!$B$6/12,J48)</f>
        <v/>
      </c>
      <c r="K49" s="19">
        <f>MAX(0,I49-J49)</f>
        <v/>
      </c>
      <c r="L49">
        <f>IF(OR(MONTH(A49)=3,MONTH(A49)=6,MONTH(A49)=9,MONTH(A49)=12),"Y","N")</f>
        <v/>
      </c>
      <c r="M49" s="21">
        <f>IF((H49+K49)=0,0,K49/(H49+K49))</f>
        <v/>
      </c>
      <c r="N49">
        <f>IF(AND(L49="Y",OR(M49&lt;CONFIG!$B$8,M49&gt;CONFIG!$B$9)),"Y","N")</f>
        <v/>
      </c>
      <c r="O49" s="19">
        <f>IF(N49="Y",(H49+K49)*0.8,H49)</f>
        <v/>
      </c>
      <c r="P49" s="19">
        <f>IF(N49="Y",(H49+K49)*0.2,K49)</f>
        <v/>
      </c>
      <c r="R49" s="18">
        <f>DATA!A49</f>
        <v/>
      </c>
      <c r="S49">
        <f>DATA!B49</f>
        <v/>
      </c>
      <c r="T49" s="19">
        <f>AF48</f>
        <v/>
      </c>
      <c r="U49" s="19">
        <f>AG48</f>
        <v/>
      </c>
      <c r="V49" s="19">
        <f>T49+U49</f>
        <v/>
      </c>
      <c r="W49" s="20">
        <f>DATA!D49</f>
        <v/>
      </c>
      <c r="X49" s="20">
        <f>DATA!F49</f>
        <v/>
      </c>
      <c r="Y49" s="19">
        <f>T49*(1+W49)</f>
        <v/>
      </c>
      <c r="Z49" s="19">
        <f>U49*(1+X49)</f>
        <v/>
      </c>
      <c r="AA49" s="19">
        <f>IF(AND(CONFIG!$B$11="Annual",MONTH(R49)=7),(Y49+Z49)*CONFIG!$B$6/12,AA48)</f>
        <v/>
      </c>
      <c r="AB49" s="19">
        <f>MAX(0,Z49-AA49)</f>
        <v/>
      </c>
      <c r="AC49">
        <f>IF(OR(MONTH(R49)=3,MONTH(R49)=6,MONTH(R49)=9,MONTH(R49)=12),"Y","N")</f>
        <v/>
      </c>
      <c r="AD49" s="21">
        <f>IF((Y49+AB49)=0,0,AB49/(Y49+AB49))</f>
        <v/>
      </c>
      <c r="AE49">
        <f>IF(AND(AC49="Y",OR(AD49&lt;CONFIG!$B$8,AD49&gt;CONFIG!$B$9)),"Y","N")</f>
        <v/>
      </c>
      <c r="AF49" s="19">
        <f>IF(AE49="Y",(Y49+AB49)*0.8,Y49)</f>
        <v/>
      </c>
      <c r="AG49" s="19">
        <f>IF(AE49="Y",(Y49+AB49)*0.2,AB49)</f>
        <v/>
      </c>
      <c r="AI49" s="18">
        <f>DATA!A49</f>
        <v/>
      </c>
      <c r="AJ49">
        <f>DATA!B49</f>
        <v/>
      </c>
      <c r="AK49" s="19">
        <f>AW48</f>
        <v/>
      </c>
      <c r="AL49" s="19">
        <f>AX48</f>
        <v/>
      </c>
      <c r="AM49" s="19">
        <f>AK49+AL49</f>
        <v/>
      </c>
      <c r="AN49" s="20">
        <f>DATA!E49</f>
        <v/>
      </c>
      <c r="AO49" s="20">
        <f>DATA!F49</f>
        <v/>
      </c>
      <c r="AP49" s="19">
        <f>AK49*(1+AN49)</f>
        <v/>
      </c>
      <c r="AQ49" s="19">
        <f>AL49*(1+AO49)</f>
        <v/>
      </c>
      <c r="AR49" s="19">
        <f>IF(AND(CONFIG!$B$11="Annual",MONTH(AI49)=7),(AP49+AQ49)*CONFIG!$B$6/12,AR48)</f>
        <v/>
      </c>
      <c r="AS49" s="19">
        <f>MAX(0,AQ49-AR49)</f>
        <v/>
      </c>
      <c r="AT49">
        <f>IF(OR(MONTH(AI49)=3,MONTH(AI49)=6,MONTH(AI49)=9,MONTH(AI49)=12),"Y","N")</f>
        <v/>
      </c>
      <c r="AU49" s="21">
        <f>IF((AP49+AS49)=0,0,AS49/(AP49+AS49))</f>
        <v/>
      </c>
      <c r="AV49">
        <f>IF(AND(AT49="Y",OR(AU49&lt;CONFIG!$B$8,AU49&gt;CONFIG!$B$9)),"Y","N")</f>
        <v/>
      </c>
      <c r="AW49" s="19">
        <f>IF(AV49="Y",(AP49+AS49)*0.8,AP49)</f>
        <v/>
      </c>
      <c r="AX49" s="19">
        <f>IF(AV49="Y",(AP49+AS49)*0.2,AS49)</f>
        <v/>
      </c>
    </row>
    <row r="50">
      <c r="A50" s="18">
        <f>DATA!A50</f>
        <v/>
      </c>
      <c r="B50">
        <f>DATA!B50</f>
        <v/>
      </c>
      <c r="C50" s="19">
        <f>O49</f>
        <v/>
      </c>
      <c r="D50" s="19">
        <f>P49</f>
        <v/>
      </c>
      <c r="E50" s="19">
        <f>C50+D50</f>
        <v/>
      </c>
      <c r="F50" s="20">
        <f>DATA!C50</f>
        <v/>
      </c>
      <c r="G50" s="20">
        <f>DATA!F50</f>
        <v/>
      </c>
      <c r="H50" s="19">
        <f>C50*(1+F50)</f>
        <v/>
      </c>
      <c r="I50" s="19">
        <f>D50*(1+G50)</f>
        <v/>
      </c>
      <c r="J50" s="19">
        <f>IF(AND(CONFIG!$B$11="Annual",MONTH(A50)=7),(H50+I50)*CONFIG!$B$6/12,J49)</f>
        <v/>
      </c>
      <c r="K50" s="19">
        <f>MAX(0,I50-J50)</f>
        <v/>
      </c>
      <c r="L50">
        <f>IF(OR(MONTH(A50)=3,MONTH(A50)=6,MONTH(A50)=9,MONTH(A50)=12),"Y","N")</f>
        <v/>
      </c>
      <c r="M50" s="21">
        <f>IF((H50+K50)=0,0,K50/(H50+K50))</f>
        <v/>
      </c>
      <c r="N50">
        <f>IF(AND(L50="Y",OR(M50&lt;CONFIG!$B$8,M50&gt;CONFIG!$B$9)),"Y","N")</f>
        <v/>
      </c>
      <c r="O50" s="19">
        <f>IF(N50="Y",(H50+K50)*0.8,H50)</f>
        <v/>
      </c>
      <c r="P50" s="19">
        <f>IF(N50="Y",(H50+K50)*0.2,K50)</f>
        <v/>
      </c>
      <c r="R50" s="18">
        <f>DATA!A50</f>
        <v/>
      </c>
      <c r="S50">
        <f>DATA!B50</f>
        <v/>
      </c>
      <c r="T50" s="19">
        <f>AF49</f>
        <v/>
      </c>
      <c r="U50" s="19">
        <f>AG49</f>
        <v/>
      </c>
      <c r="V50" s="19">
        <f>T50+U50</f>
        <v/>
      </c>
      <c r="W50" s="20">
        <f>DATA!D50</f>
        <v/>
      </c>
      <c r="X50" s="20">
        <f>DATA!F50</f>
        <v/>
      </c>
      <c r="Y50" s="19">
        <f>T50*(1+W50)</f>
        <v/>
      </c>
      <c r="Z50" s="19">
        <f>U50*(1+X50)</f>
        <v/>
      </c>
      <c r="AA50" s="19">
        <f>IF(AND(CONFIG!$B$11="Annual",MONTH(R50)=7),(Y50+Z50)*CONFIG!$B$6/12,AA49)</f>
        <v/>
      </c>
      <c r="AB50" s="19">
        <f>MAX(0,Z50-AA50)</f>
        <v/>
      </c>
      <c r="AC50">
        <f>IF(OR(MONTH(R50)=3,MONTH(R50)=6,MONTH(R50)=9,MONTH(R50)=12),"Y","N")</f>
        <v/>
      </c>
      <c r="AD50" s="21">
        <f>IF((Y50+AB50)=0,0,AB50/(Y50+AB50))</f>
        <v/>
      </c>
      <c r="AE50">
        <f>IF(AND(AC50="Y",OR(AD50&lt;CONFIG!$B$8,AD50&gt;CONFIG!$B$9)),"Y","N")</f>
        <v/>
      </c>
      <c r="AF50" s="19">
        <f>IF(AE50="Y",(Y50+AB50)*0.8,Y50)</f>
        <v/>
      </c>
      <c r="AG50" s="19">
        <f>IF(AE50="Y",(Y50+AB50)*0.2,AB50)</f>
        <v/>
      </c>
      <c r="AI50" s="18">
        <f>DATA!A50</f>
        <v/>
      </c>
      <c r="AJ50">
        <f>DATA!B50</f>
        <v/>
      </c>
      <c r="AK50" s="19">
        <f>AW49</f>
        <v/>
      </c>
      <c r="AL50" s="19">
        <f>AX49</f>
        <v/>
      </c>
      <c r="AM50" s="19">
        <f>AK50+AL50</f>
        <v/>
      </c>
      <c r="AN50" s="20">
        <f>DATA!E50</f>
        <v/>
      </c>
      <c r="AO50" s="20">
        <f>DATA!F50</f>
        <v/>
      </c>
      <c r="AP50" s="19">
        <f>AK50*(1+AN50)</f>
        <v/>
      </c>
      <c r="AQ50" s="19">
        <f>AL50*(1+AO50)</f>
        <v/>
      </c>
      <c r="AR50" s="19">
        <f>IF(AND(CONFIG!$B$11="Annual",MONTH(AI50)=7),(AP50+AQ50)*CONFIG!$B$6/12,AR49)</f>
        <v/>
      </c>
      <c r="AS50" s="19">
        <f>MAX(0,AQ50-AR50)</f>
        <v/>
      </c>
      <c r="AT50">
        <f>IF(OR(MONTH(AI50)=3,MONTH(AI50)=6,MONTH(AI50)=9,MONTH(AI50)=12),"Y","N")</f>
        <v/>
      </c>
      <c r="AU50" s="21">
        <f>IF((AP50+AS50)=0,0,AS50/(AP50+AS50))</f>
        <v/>
      </c>
      <c r="AV50">
        <f>IF(AND(AT50="Y",OR(AU50&lt;CONFIG!$B$8,AU50&gt;CONFIG!$B$9)),"Y","N")</f>
        <v/>
      </c>
      <c r="AW50" s="19">
        <f>IF(AV50="Y",(AP50+AS50)*0.8,AP50)</f>
        <v/>
      </c>
      <c r="AX50" s="19">
        <f>IF(AV50="Y",(AP50+AS50)*0.2,AS50)</f>
        <v/>
      </c>
    </row>
    <row r="51">
      <c r="A51" s="18">
        <f>DATA!A51</f>
        <v/>
      </c>
      <c r="B51">
        <f>DATA!B51</f>
        <v/>
      </c>
      <c r="C51" s="19">
        <f>O50</f>
        <v/>
      </c>
      <c r="D51" s="19">
        <f>P50</f>
        <v/>
      </c>
      <c r="E51" s="19">
        <f>C51+D51</f>
        <v/>
      </c>
      <c r="F51" s="20">
        <f>DATA!C51</f>
        <v/>
      </c>
      <c r="G51" s="20">
        <f>DATA!F51</f>
        <v/>
      </c>
      <c r="H51" s="19">
        <f>C51*(1+F51)</f>
        <v/>
      </c>
      <c r="I51" s="19">
        <f>D51*(1+G51)</f>
        <v/>
      </c>
      <c r="J51" s="19">
        <f>IF(AND(CONFIG!$B$11="Annual",MONTH(A51)=7),(H51+I51)*CONFIG!$B$6/12,J50)</f>
        <v/>
      </c>
      <c r="K51" s="19">
        <f>MAX(0,I51-J51)</f>
        <v/>
      </c>
      <c r="L51">
        <f>IF(OR(MONTH(A51)=3,MONTH(A51)=6,MONTH(A51)=9,MONTH(A51)=12),"Y","N")</f>
        <v/>
      </c>
      <c r="M51" s="21">
        <f>IF((H51+K51)=0,0,K51/(H51+K51))</f>
        <v/>
      </c>
      <c r="N51">
        <f>IF(AND(L51="Y",OR(M51&lt;CONFIG!$B$8,M51&gt;CONFIG!$B$9)),"Y","N")</f>
        <v/>
      </c>
      <c r="O51" s="19">
        <f>IF(N51="Y",(H51+K51)*0.8,H51)</f>
        <v/>
      </c>
      <c r="P51" s="19">
        <f>IF(N51="Y",(H51+K51)*0.2,K51)</f>
        <v/>
      </c>
      <c r="R51" s="18">
        <f>DATA!A51</f>
        <v/>
      </c>
      <c r="S51">
        <f>DATA!B51</f>
        <v/>
      </c>
      <c r="T51" s="19">
        <f>AF50</f>
        <v/>
      </c>
      <c r="U51" s="19">
        <f>AG50</f>
        <v/>
      </c>
      <c r="V51" s="19">
        <f>T51+U51</f>
        <v/>
      </c>
      <c r="W51" s="20">
        <f>DATA!D51</f>
        <v/>
      </c>
      <c r="X51" s="20">
        <f>DATA!F51</f>
        <v/>
      </c>
      <c r="Y51" s="19">
        <f>T51*(1+W51)</f>
        <v/>
      </c>
      <c r="Z51" s="19">
        <f>U51*(1+X51)</f>
        <v/>
      </c>
      <c r="AA51" s="19">
        <f>IF(AND(CONFIG!$B$11="Annual",MONTH(R51)=7),(Y51+Z51)*CONFIG!$B$6/12,AA50)</f>
        <v/>
      </c>
      <c r="AB51" s="19">
        <f>MAX(0,Z51-AA51)</f>
        <v/>
      </c>
      <c r="AC51">
        <f>IF(OR(MONTH(R51)=3,MONTH(R51)=6,MONTH(R51)=9,MONTH(R51)=12),"Y","N")</f>
        <v/>
      </c>
      <c r="AD51" s="21">
        <f>IF((Y51+AB51)=0,0,AB51/(Y51+AB51))</f>
        <v/>
      </c>
      <c r="AE51">
        <f>IF(AND(AC51="Y",OR(AD51&lt;CONFIG!$B$8,AD51&gt;CONFIG!$B$9)),"Y","N")</f>
        <v/>
      </c>
      <c r="AF51" s="19">
        <f>IF(AE51="Y",(Y51+AB51)*0.8,Y51)</f>
        <v/>
      </c>
      <c r="AG51" s="19">
        <f>IF(AE51="Y",(Y51+AB51)*0.2,AB51)</f>
        <v/>
      </c>
      <c r="AI51" s="18">
        <f>DATA!A51</f>
        <v/>
      </c>
      <c r="AJ51">
        <f>DATA!B51</f>
        <v/>
      </c>
      <c r="AK51" s="19">
        <f>AW50</f>
        <v/>
      </c>
      <c r="AL51" s="19">
        <f>AX50</f>
        <v/>
      </c>
      <c r="AM51" s="19">
        <f>AK51+AL51</f>
        <v/>
      </c>
      <c r="AN51" s="20">
        <f>DATA!E51</f>
        <v/>
      </c>
      <c r="AO51" s="20">
        <f>DATA!F51</f>
        <v/>
      </c>
      <c r="AP51" s="19">
        <f>AK51*(1+AN51)</f>
        <v/>
      </c>
      <c r="AQ51" s="19">
        <f>AL51*(1+AO51)</f>
        <v/>
      </c>
      <c r="AR51" s="19">
        <f>IF(AND(CONFIG!$B$11="Annual",MONTH(AI51)=7),(AP51+AQ51)*CONFIG!$B$6/12,AR50)</f>
        <v/>
      </c>
      <c r="AS51" s="19">
        <f>MAX(0,AQ51-AR51)</f>
        <v/>
      </c>
      <c r="AT51">
        <f>IF(OR(MONTH(AI51)=3,MONTH(AI51)=6,MONTH(AI51)=9,MONTH(AI51)=12),"Y","N")</f>
        <v/>
      </c>
      <c r="AU51" s="21">
        <f>IF((AP51+AS51)=0,0,AS51/(AP51+AS51))</f>
        <v/>
      </c>
      <c r="AV51">
        <f>IF(AND(AT51="Y",OR(AU51&lt;CONFIG!$B$8,AU51&gt;CONFIG!$B$9)),"Y","N")</f>
        <v/>
      </c>
      <c r="AW51" s="19">
        <f>IF(AV51="Y",(AP51+AS51)*0.8,AP51)</f>
        <v/>
      </c>
      <c r="AX51" s="19">
        <f>IF(AV51="Y",(AP51+AS51)*0.2,AS51)</f>
        <v/>
      </c>
    </row>
    <row r="52">
      <c r="A52" s="18">
        <f>DATA!A52</f>
        <v/>
      </c>
      <c r="B52">
        <f>DATA!B52</f>
        <v/>
      </c>
      <c r="C52" s="19">
        <f>O51</f>
        <v/>
      </c>
      <c r="D52" s="19">
        <f>P51</f>
        <v/>
      </c>
      <c r="E52" s="19">
        <f>C52+D52</f>
        <v/>
      </c>
      <c r="F52" s="20">
        <f>DATA!C52</f>
        <v/>
      </c>
      <c r="G52" s="20">
        <f>DATA!F52</f>
        <v/>
      </c>
      <c r="H52" s="19">
        <f>C52*(1+F52)</f>
        <v/>
      </c>
      <c r="I52" s="19">
        <f>D52*(1+G52)</f>
        <v/>
      </c>
      <c r="J52" s="19">
        <f>IF(AND(CONFIG!$B$11="Annual",MONTH(A52)=7),(H52+I52)*CONFIG!$B$6/12,J51)</f>
        <v/>
      </c>
      <c r="K52" s="19">
        <f>MAX(0,I52-J52)</f>
        <v/>
      </c>
      <c r="L52">
        <f>IF(OR(MONTH(A52)=3,MONTH(A52)=6,MONTH(A52)=9,MONTH(A52)=12),"Y","N")</f>
        <v/>
      </c>
      <c r="M52" s="21">
        <f>IF((H52+K52)=0,0,K52/(H52+K52))</f>
        <v/>
      </c>
      <c r="N52">
        <f>IF(AND(L52="Y",OR(M52&lt;CONFIG!$B$8,M52&gt;CONFIG!$B$9)),"Y","N")</f>
        <v/>
      </c>
      <c r="O52" s="19">
        <f>IF(N52="Y",(H52+K52)*0.8,H52)</f>
        <v/>
      </c>
      <c r="P52" s="19">
        <f>IF(N52="Y",(H52+K52)*0.2,K52)</f>
        <v/>
      </c>
      <c r="R52" s="18">
        <f>DATA!A52</f>
        <v/>
      </c>
      <c r="S52">
        <f>DATA!B52</f>
        <v/>
      </c>
      <c r="T52" s="19">
        <f>AF51</f>
        <v/>
      </c>
      <c r="U52" s="19">
        <f>AG51</f>
        <v/>
      </c>
      <c r="V52" s="19">
        <f>T52+U52</f>
        <v/>
      </c>
      <c r="W52" s="20">
        <f>DATA!D52</f>
        <v/>
      </c>
      <c r="X52" s="20">
        <f>DATA!F52</f>
        <v/>
      </c>
      <c r="Y52" s="19">
        <f>T52*(1+W52)</f>
        <v/>
      </c>
      <c r="Z52" s="19">
        <f>U52*(1+X52)</f>
        <v/>
      </c>
      <c r="AA52" s="19">
        <f>IF(AND(CONFIG!$B$11="Annual",MONTH(R52)=7),(Y52+Z52)*CONFIG!$B$6/12,AA51)</f>
        <v/>
      </c>
      <c r="AB52" s="19">
        <f>MAX(0,Z52-AA52)</f>
        <v/>
      </c>
      <c r="AC52">
        <f>IF(OR(MONTH(R52)=3,MONTH(R52)=6,MONTH(R52)=9,MONTH(R52)=12),"Y","N")</f>
        <v/>
      </c>
      <c r="AD52" s="21">
        <f>IF((Y52+AB52)=0,0,AB52/(Y52+AB52))</f>
        <v/>
      </c>
      <c r="AE52">
        <f>IF(AND(AC52="Y",OR(AD52&lt;CONFIG!$B$8,AD52&gt;CONFIG!$B$9)),"Y","N")</f>
        <v/>
      </c>
      <c r="AF52" s="19">
        <f>IF(AE52="Y",(Y52+AB52)*0.8,Y52)</f>
        <v/>
      </c>
      <c r="AG52" s="19">
        <f>IF(AE52="Y",(Y52+AB52)*0.2,AB52)</f>
        <v/>
      </c>
      <c r="AI52" s="18">
        <f>DATA!A52</f>
        <v/>
      </c>
      <c r="AJ52">
        <f>DATA!B52</f>
        <v/>
      </c>
      <c r="AK52" s="19">
        <f>AW51</f>
        <v/>
      </c>
      <c r="AL52" s="19">
        <f>AX51</f>
        <v/>
      </c>
      <c r="AM52" s="19">
        <f>AK52+AL52</f>
        <v/>
      </c>
      <c r="AN52" s="20">
        <f>DATA!E52</f>
        <v/>
      </c>
      <c r="AO52" s="20">
        <f>DATA!F52</f>
        <v/>
      </c>
      <c r="AP52" s="19">
        <f>AK52*(1+AN52)</f>
        <v/>
      </c>
      <c r="AQ52" s="19">
        <f>AL52*(1+AO52)</f>
        <v/>
      </c>
      <c r="AR52" s="19">
        <f>IF(AND(CONFIG!$B$11="Annual",MONTH(AI52)=7),(AP52+AQ52)*CONFIG!$B$6/12,AR51)</f>
        <v/>
      </c>
      <c r="AS52" s="19">
        <f>MAX(0,AQ52-AR52)</f>
        <v/>
      </c>
      <c r="AT52">
        <f>IF(OR(MONTH(AI52)=3,MONTH(AI52)=6,MONTH(AI52)=9,MONTH(AI52)=12),"Y","N")</f>
        <v/>
      </c>
      <c r="AU52" s="21">
        <f>IF((AP52+AS52)=0,0,AS52/(AP52+AS52))</f>
        <v/>
      </c>
      <c r="AV52">
        <f>IF(AND(AT52="Y",OR(AU52&lt;CONFIG!$B$8,AU52&gt;CONFIG!$B$9)),"Y","N")</f>
        <v/>
      </c>
      <c r="AW52" s="19">
        <f>IF(AV52="Y",(AP52+AS52)*0.8,AP52)</f>
        <v/>
      </c>
      <c r="AX52" s="19">
        <f>IF(AV52="Y",(AP52+AS52)*0.2,AS52)</f>
        <v/>
      </c>
    </row>
    <row r="53">
      <c r="A53" s="18">
        <f>DATA!A53</f>
        <v/>
      </c>
      <c r="B53">
        <f>DATA!B53</f>
        <v/>
      </c>
      <c r="C53" s="19">
        <f>O52</f>
        <v/>
      </c>
      <c r="D53" s="19">
        <f>P52</f>
        <v/>
      </c>
      <c r="E53" s="19">
        <f>C53+D53</f>
        <v/>
      </c>
      <c r="F53" s="20">
        <f>DATA!C53</f>
        <v/>
      </c>
      <c r="G53" s="20">
        <f>DATA!F53</f>
        <v/>
      </c>
      <c r="H53" s="19">
        <f>C53*(1+F53)</f>
        <v/>
      </c>
      <c r="I53" s="19">
        <f>D53*(1+G53)</f>
        <v/>
      </c>
      <c r="J53" s="19">
        <f>IF(AND(CONFIG!$B$11="Annual",MONTH(A53)=7),(H53+I53)*CONFIG!$B$6/12,J52)</f>
        <v/>
      </c>
      <c r="K53" s="19">
        <f>MAX(0,I53-J53)</f>
        <v/>
      </c>
      <c r="L53">
        <f>IF(OR(MONTH(A53)=3,MONTH(A53)=6,MONTH(A53)=9,MONTH(A53)=12),"Y","N")</f>
        <v/>
      </c>
      <c r="M53" s="21">
        <f>IF((H53+K53)=0,0,K53/(H53+K53))</f>
        <v/>
      </c>
      <c r="N53">
        <f>IF(AND(L53="Y",OR(M53&lt;CONFIG!$B$8,M53&gt;CONFIG!$B$9)),"Y","N")</f>
        <v/>
      </c>
      <c r="O53" s="19">
        <f>IF(N53="Y",(H53+K53)*0.8,H53)</f>
        <v/>
      </c>
      <c r="P53" s="19">
        <f>IF(N53="Y",(H53+K53)*0.2,K53)</f>
        <v/>
      </c>
      <c r="R53" s="18">
        <f>DATA!A53</f>
        <v/>
      </c>
      <c r="S53">
        <f>DATA!B53</f>
        <v/>
      </c>
      <c r="T53" s="19">
        <f>AF52</f>
        <v/>
      </c>
      <c r="U53" s="19">
        <f>AG52</f>
        <v/>
      </c>
      <c r="V53" s="19">
        <f>T53+U53</f>
        <v/>
      </c>
      <c r="W53" s="20">
        <f>DATA!D53</f>
        <v/>
      </c>
      <c r="X53" s="20">
        <f>DATA!F53</f>
        <v/>
      </c>
      <c r="Y53" s="19">
        <f>T53*(1+W53)</f>
        <v/>
      </c>
      <c r="Z53" s="19">
        <f>U53*(1+X53)</f>
        <v/>
      </c>
      <c r="AA53" s="19">
        <f>IF(AND(CONFIG!$B$11="Annual",MONTH(R53)=7),(Y53+Z53)*CONFIG!$B$6/12,AA52)</f>
        <v/>
      </c>
      <c r="AB53" s="19">
        <f>MAX(0,Z53-AA53)</f>
        <v/>
      </c>
      <c r="AC53">
        <f>IF(OR(MONTH(R53)=3,MONTH(R53)=6,MONTH(R53)=9,MONTH(R53)=12),"Y","N")</f>
        <v/>
      </c>
      <c r="AD53" s="21">
        <f>IF((Y53+AB53)=0,0,AB53/(Y53+AB53))</f>
        <v/>
      </c>
      <c r="AE53">
        <f>IF(AND(AC53="Y",OR(AD53&lt;CONFIG!$B$8,AD53&gt;CONFIG!$B$9)),"Y","N")</f>
        <v/>
      </c>
      <c r="AF53" s="19">
        <f>IF(AE53="Y",(Y53+AB53)*0.8,Y53)</f>
        <v/>
      </c>
      <c r="AG53" s="19">
        <f>IF(AE53="Y",(Y53+AB53)*0.2,AB53)</f>
        <v/>
      </c>
      <c r="AI53" s="18">
        <f>DATA!A53</f>
        <v/>
      </c>
      <c r="AJ53">
        <f>DATA!B53</f>
        <v/>
      </c>
      <c r="AK53" s="19">
        <f>AW52</f>
        <v/>
      </c>
      <c r="AL53" s="19">
        <f>AX52</f>
        <v/>
      </c>
      <c r="AM53" s="19">
        <f>AK53+AL53</f>
        <v/>
      </c>
      <c r="AN53" s="20">
        <f>DATA!E53</f>
        <v/>
      </c>
      <c r="AO53" s="20">
        <f>DATA!F53</f>
        <v/>
      </c>
      <c r="AP53" s="19">
        <f>AK53*(1+AN53)</f>
        <v/>
      </c>
      <c r="AQ53" s="19">
        <f>AL53*(1+AO53)</f>
        <v/>
      </c>
      <c r="AR53" s="19">
        <f>IF(AND(CONFIG!$B$11="Annual",MONTH(AI53)=7),(AP53+AQ53)*CONFIG!$B$6/12,AR52)</f>
        <v/>
      </c>
      <c r="AS53" s="19">
        <f>MAX(0,AQ53-AR53)</f>
        <v/>
      </c>
      <c r="AT53">
        <f>IF(OR(MONTH(AI53)=3,MONTH(AI53)=6,MONTH(AI53)=9,MONTH(AI53)=12),"Y","N")</f>
        <v/>
      </c>
      <c r="AU53" s="21">
        <f>IF((AP53+AS53)=0,0,AS53/(AP53+AS53))</f>
        <v/>
      </c>
      <c r="AV53">
        <f>IF(AND(AT53="Y",OR(AU53&lt;CONFIG!$B$8,AU53&gt;CONFIG!$B$9)),"Y","N")</f>
        <v/>
      </c>
      <c r="AW53" s="19">
        <f>IF(AV53="Y",(AP53+AS53)*0.8,AP53)</f>
        <v/>
      </c>
      <c r="AX53" s="19">
        <f>IF(AV53="Y",(AP53+AS53)*0.2,AS53)</f>
        <v/>
      </c>
    </row>
    <row r="54">
      <c r="A54" s="18">
        <f>DATA!A54</f>
        <v/>
      </c>
      <c r="B54">
        <f>DATA!B54</f>
        <v/>
      </c>
      <c r="C54" s="19">
        <f>O53</f>
        <v/>
      </c>
      <c r="D54" s="19">
        <f>P53</f>
        <v/>
      </c>
      <c r="E54" s="19">
        <f>C54+D54</f>
        <v/>
      </c>
      <c r="F54" s="20">
        <f>DATA!C54</f>
        <v/>
      </c>
      <c r="G54" s="20">
        <f>DATA!F54</f>
        <v/>
      </c>
      <c r="H54" s="19">
        <f>C54*(1+F54)</f>
        <v/>
      </c>
      <c r="I54" s="19">
        <f>D54*(1+G54)</f>
        <v/>
      </c>
      <c r="J54" s="19">
        <f>IF(AND(CONFIG!$B$11="Annual",MONTH(A54)=7),(H54+I54)*CONFIG!$B$6/12,J53)</f>
        <v/>
      </c>
      <c r="K54" s="19">
        <f>MAX(0,I54-J54)</f>
        <v/>
      </c>
      <c r="L54">
        <f>IF(OR(MONTH(A54)=3,MONTH(A54)=6,MONTH(A54)=9,MONTH(A54)=12),"Y","N")</f>
        <v/>
      </c>
      <c r="M54" s="21">
        <f>IF((H54+K54)=0,0,K54/(H54+K54))</f>
        <v/>
      </c>
      <c r="N54">
        <f>IF(AND(L54="Y",OR(M54&lt;CONFIG!$B$8,M54&gt;CONFIG!$B$9)),"Y","N")</f>
        <v/>
      </c>
      <c r="O54" s="19">
        <f>IF(N54="Y",(H54+K54)*0.8,H54)</f>
        <v/>
      </c>
      <c r="P54" s="19">
        <f>IF(N54="Y",(H54+K54)*0.2,K54)</f>
        <v/>
      </c>
      <c r="R54" s="18">
        <f>DATA!A54</f>
        <v/>
      </c>
      <c r="S54">
        <f>DATA!B54</f>
        <v/>
      </c>
      <c r="T54" s="19">
        <f>AF53</f>
        <v/>
      </c>
      <c r="U54" s="19">
        <f>AG53</f>
        <v/>
      </c>
      <c r="V54" s="19">
        <f>T54+U54</f>
        <v/>
      </c>
      <c r="W54" s="20">
        <f>DATA!D54</f>
        <v/>
      </c>
      <c r="X54" s="20">
        <f>DATA!F54</f>
        <v/>
      </c>
      <c r="Y54" s="19">
        <f>T54*(1+W54)</f>
        <v/>
      </c>
      <c r="Z54" s="19">
        <f>U54*(1+X54)</f>
        <v/>
      </c>
      <c r="AA54" s="19">
        <f>IF(AND(CONFIG!$B$11="Annual",MONTH(R54)=7),(Y54+Z54)*CONFIG!$B$6/12,AA53)</f>
        <v/>
      </c>
      <c r="AB54" s="19">
        <f>MAX(0,Z54-AA54)</f>
        <v/>
      </c>
      <c r="AC54">
        <f>IF(OR(MONTH(R54)=3,MONTH(R54)=6,MONTH(R54)=9,MONTH(R54)=12),"Y","N")</f>
        <v/>
      </c>
      <c r="AD54" s="21">
        <f>IF((Y54+AB54)=0,0,AB54/(Y54+AB54))</f>
        <v/>
      </c>
      <c r="AE54">
        <f>IF(AND(AC54="Y",OR(AD54&lt;CONFIG!$B$8,AD54&gt;CONFIG!$B$9)),"Y","N")</f>
        <v/>
      </c>
      <c r="AF54" s="19">
        <f>IF(AE54="Y",(Y54+AB54)*0.8,Y54)</f>
        <v/>
      </c>
      <c r="AG54" s="19">
        <f>IF(AE54="Y",(Y54+AB54)*0.2,AB54)</f>
        <v/>
      </c>
      <c r="AI54" s="18">
        <f>DATA!A54</f>
        <v/>
      </c>
      <c r="AJ54">
        <f>DATA!B54</f>
        <v/>
      </c>
      <c r="AK54" s="19">
        <f>AW53</f>
        <v/>
      </c>
      <c r="AL54" s="19">
        <f>AX53</f>
        <v/>
      </c>
      <c r="AM54" s="19">
        <f>AK54+AL54</f>
        <v/>
      </c>
      <c r="AN54" s="20">
        <f>DATA!E54</f>
        <v/>
      </c>
      <c r="AO54" s="20">
        <f>DATA!F54</f>
        <v/>
      </c>
      <c r="AP54" s="19">
        <f>AK54*(1+AN54)</f>
        <v/>
      </c>
      <c r="AQ54" s="19">
        <f>AL54*(1+AO54)</f>
        <v/>
      </c>
      <c r="AR54" s="19">
        <f>IF(AND(CONFIG!$B$11="Annual",MONTH(AI54)=7),(AP54+AQ54)*CONFIG!$B$6/12,AR53)</f>
        <v/>
      </c>
      <c r="AS54" s="19">
        <f>MAX(0,AQ54-AR54)</f>
        <v/>
      </c>
      <c r="AT54">
        <f>IF(OR(MONTH(AI54)=3,MONTH(AI54)=6,MONTH(AI54)=9,MONTH(AI54)=12),"Y","N")</f>
        <v/>
      </c>
      <c r="AU54" s="21">
        <f>IF((AP54+AS54)=0,0,AS54/(AP54+AS54))</f>
        <v/>
      </c>
      <c r="AV54">
        <f>IF(AND(AT54="Y",OR(AU54&lt;CONFIG!$B$8,AU54&gt;CONFIG!$B$9)),"Y","N")</f>
        <v/>
      </c>
      <c r="AW54" s="19">
        <f>IF(AV54="Y",(AP54+AS54)*0.8,AP54)</f>
        <v/>
      </c>
      <c r="AX54" s="19">
        <f>IF(AV54="Y",(AP54+AS54)*0.2,AS54)</f>
        <v/>
      </c>
    </row>
    <row r="55">
      <c r="A55" s="18">
        <f>DATA!A55</f>
        <v/>
      </c>
      <c r="B55">
        <f>DATA!B55</f>
        <v/>
      </c>
      <c r="C55" s="19">
        <f>O54</f>
        <v/>
      </c>
      <c r="D55" s="19">
        <f>P54</f>
        <v/>
      </c>
      <c r="E55" s="19">
        <f>C55+D55</f>
        <v/>
      </c>
      <c r="F55" s="20">
        <f>DATA!C55</f>
        <v/>
      </c>
      <c r="G55" s="20">
        <f>DATA!F55</f>
        <v/>
      </c>
      <c r="H55" s="19">
        <f>C55*(1+F55)</f>
        <v/>
      </c>
      <c r="I55" s="19">
        <f>D55*(1+G55)</f>
        <v/>
      </c>
      <c r="J55" s="19">
        <f>IF(AND(CONFIG!$B$11="Annual",MONTH(A55)=7),(H55+I55)*CONFIG!$B$6/12,J54)</f>
        <v/>
      </c>
      <c r="K55" s="19">
        <f>MAX(0,I55-J55)</f>
        <v/>
      </c>
      <c r="L55">
        <f>IF(OR(MONTH(A55)=3,MONTH(A55)=6,MONTH(A55)=9,MONTH(A55)=12),"Y","N")</f>
        <v/>
      </c>
      <c r="M55" s="21">
        <f>IF((H55+K55)=0,0,K55/(H55+K55))</f>
        <v/>
      </c>
      <c r="N55">
        <f>IF(AND(L55="Y",OR(M55&lt;CONFIG!$B$8,M55&gt;CONFIG!$B$9)),"Y","N")</f>
        <v/>
      </c>
      <c r="O55" s="19">
        <f>IF(N55="Y",(H55+K55)*0.8,H55)</f>
        <v/>
      </c>
      <c r="P55" s="19">
        <f>IF(N55="Y",(H55+K55)*0.2,K55)</f>
        <v/>
      </c>
      <c r="R55" s="18">
        <f>DATA!A55</f>
        <v/>
      </c>
      <c r="S55">
        <f>DATA!B55</f>
        <v/>
      </c>
      <c r="T55" s="19">
        <f>AF54</f>
        <v/>
      </c>
      <c r="U55" s="19">
        <f>AG54</f>
        <v/>
      </c>
      <c r="V55" s="19">
        <f>T55+U55</f>
        <v/>
      </c>
      <c r="W55" s="20">
        <f>DATA!D55</f>
        <v/>
      </c>
      <c r="X55" s="20">
        <f>DATA!F55</f>
        <v/>
      </c>
      <c r="Y55" s="19">
        <f>T55*(1+W55)</f>
        <v/>
      </c>
      <c r="Z55" s="19">
        <f>U55*(1+X55)</f>
        <v/>
      </c>
      <c r="AA55" s="19">
        <f>IF(AND(CONFIG!$B$11="Annual",MONTH(R55)=7),(Y55+Z55)*CONFIG!$B$6/12,AA54)</f>
        <v/>
      </c>
      <c r="AB55" s="19">
        <f>MAX(0,Z55-AA55)</f>
        <v/>
      </c>
      <c r="AC55">
        <f>IF(OR(MONTH(R55)=3,MONTH(R55)=6,MONTH(R55)=9,MONTH(R55)=12),"Y","N")</f>
        <v/>
      </c>
      <c r="AD55" s="21">
        <f>IF((Y55+AB55)=0,0,AB55/(Y55+AB55))</f>
        <v/>
      </c>
      <c r="AE55">
        <f>IF(AND(AC55="Y",OR(AD55&lt;CONFIG!$B$8,AD55&gt;CONFIG!$B$9)),"Y","N")</f>
        <v/>
      </c>
      <c r="AF55" s="19">
        <f>IF(AE55="Y",(Y55+AB55)*0.8,Y55)</f>
        <v/>
      </c>
      <c r="AG55" s="19">
        <f>IF(AE55="Y",(Y55+AB55)*0.2,AB55)</f>
        <v/>
      </c>
      <c r="AI55" s="18">
        <f>DATA!A55</f>
        <v/>
      </c>
      <c r="AJ55">
        <f>DATA!B55</f>
        <v/>
      </c>
      <c r="AK55" s="19">
        <f>AW54</f>
        <v/>
      </c>
      <c r="AL55" s="19">
        <f>AX54</f>
        <v/>
      </c>
      <c r="AM55" s="19">
        <f>AK55+AL55</f>
        <v/>
      </c>
      <c r="AN55" s="20">
        <f>DATA!E55</f>
        <v/>
      </c>
      <c r="AO55" s="20">
        <f>DATA!F55</f>
        <v/>
      </c>
      <c r="AP55" s="19">
        <f>AK55*(1+AN55)</f>
        <v/>
      </c>
      <c r="AQ55" s="19">
        <f>AL55*(1+AO55)</f>
        <v/>
      </c>
      <c r="AR55" s="19">
        <f>IF(AND(CONFIG!$B$11="Annual",MONTH(AI55)=7),(AP55+AQ55)*CONFIG!$B$6/12,AR54)</f>
        <v/>
      </c>
      <c r="AS55" s="19">
        <f>MAX(0,AQ55-AR55)</f>
        <v/>
      </c>
      <c r="AT55">
        <f>IF(OR(MONTH(AI55)=3,MONTH(AI55)=6,MONTH(AI55)=9,MONTH(AI55)=12),"Y","N")</f>
        <v/>
      </c>
      <c r="AU55" s="21">
        <f>IF((AP55+AS55)=0,0,AS55/(AP55+AS55))</f>
        <v/>
      </c>
      <c r="AV55">
        <f>IF(AND(AT55="Y",OR(AU55&lt;CONFIG!$B$8,AU55&gt;CONFIG!$B$9)),"Y","N")</f>
        <v/>
      </c>
      <c r="AW55" s="19">
        <f>IF(AV55="Y",(AP55+AS55)*0.8,AP55)</f>
        <v/>
      </c>
      <c r="AX55" s="19">
        <f>IF(AV55="Y",(AP55+AS55)*0.2,AS55)</f>
        <v/>
      </c>
    </row>
    <row r="56">
      <c r="A56" s="18">
        <f>DATA!A56</f>
        <v/>
      </c>
      <c r="B56">
        <f>DATA!B56</f>
        <v/>
      </c>
      <c r="C56" s="19">
        <f>O55</f>
        <v/>
      </c>
      <c r="D56" s="19">
        <f>P55</f>
        <v/>
      </c>
      <c r="E56" s="19">
        <f>C56+D56</f>
        <v/>
      </c>
      <c r="F56" s="20">
        <f>DATA!C56</f>
        <v/>
      </c>
      <c r="G56" s="20">
        <f>DATA!F56</f>
        <v/>
      </c>
      <c r="H56" s="19">
        <f>C56*(1+F56)</f>
        <v/>
      </c>
      <c r="I56" s="19">
        <f>D56*(1+G56)</f>
        <v/>
      </c>
      <c r="J56" s="19">
        <f>IF(AND(CONFIG!$B$11="Annual",MONTH(A56)=7),(H56+I56)*CONFIG!$B$6/12,J55)</f>
        <v/>
      </c>
      <c r="K56" s="19">
        <f>MAX(0,I56-J56)</f>
        <v/>
      </c>
      <c r="L56">
        <f>IF(OR(MONTH(A56)=3,MONTH(A56)=6,MONTH(A56)=9,MONTH(A56)=12),"Y","N")</f>
        <v/>
      </c>
      <c r="M56" s="21">
        <f>IF((H56+K56)=0,0,K56/(H56+K56))</f>
        <v/>
      </c>
      <c r="N56">
        <f>IF(AND(L56="Y",OR(M56&lt;CONFIG!$B$8,M56&gt;CONFIG!$B$9)),"Y","N")</f>
        <v/>
      </c>
      <c r="O56" s="19">
        <f>IF(N56="Y",(H56+K56)*0.8,H56)</f>
        <v/>
      </c>
      <c r="P56" s="19">
        <f>IF(N56="Y",(H56+K56)*0.2,K56)</f>
        <v/>
      </c>
      <c r="R56" s="18">
        <f>DATA!A56</f>
        <v/>
      </c>
      <c r="S56">
        <f>DATA!B56</f>
        <v/>
      </c>
      <c r="T56" s="19">
        <f>AF55</f>
        <v/>
      </c>
      <c r="U56" s="19">
        <f>AG55</f>
        <v/>
      </c>
      <c r="V56" s="19">
        <f>T56+U56</f>
        <v/>
      </c>
      <c r="W56" s="20">
        <f>DATA!D56</f>
        <v/>
      </c>
      <c r="X56" s="20">
        <f>DATA!F56</f>
        <v/>
      </c>
      <c r="Y56" s="19">
        <f>T56*(1+W56)</f>
        <v/>
      </c>
      <c r="Z56" s="19">
        <f>U56*(1+X56)</f>
        <v/>
      </c>
      <c r="AA56" s="19">
        <f>IF(AND(CONFIG!$B$11="Annual",MONTH(R56)=7),(Y56+Z56)*CONFIG!$B$6/12,AA55)</f>
        <v/>
      </c>
      <c r="AB56" s="19">
        <f>MAX(0,Z56-AA56)</f>
        <v/>
      </c>
      <c r="AC56">
        <f>IF(OR(MONTH(R56)=3,MONTH(R56)=6,MONTH(R56)=9,MONTH(R56)=12),"Y","N")</f>
        <v/>
      </c>
      <c r="AD56" s="21">
        <f>IF((Y56+AB56)=0,0,AB56/(Y56+AB56))</f>
        <v/>
      </c>
      <c r="AE56">
        <f>IF(AND(AC56="Y",OR(AD56&lt;CONFIG!$B$8,AD56&gt;CONFIG!$B$9)),"Y","N")</f>
        <v/>
      </c>
      <c r="AF56" s="19">
        <f>IF(AE56="Y",(Y56+AB56)*0.8,Y56)</f>
        <v/>
      </c>
      <c r="AG56" s="19">
        <f>IF(AE56="Y",(Y56+AB56)*0.2,AB56)</f>
        <v/>
      </c>
      <c r="AI56" s="18">
        <f>DATA!A56</f>
        <v/>
      </c>
      <c r="AJ56">
        <f>DATA!B56</f>
        <v/>
      </c>
      <c r="AK56" s="19">
        <f>AW55</f>
        <v/>
      </c>
      <c r="AL56" s="19">
        <f>AX55</f>
        <v/>
      </c>
      <c r="AM56" s="19">
        <f>AK56+AL56</f>
        <v/>
      </c>
      <c r="AN56" s="20">
        <f>DATA!E56</f>
        <v/>
      </c>
      <c r="AO56" s="20">
        <f>DATA!F56</f>
        <v/>
      </c>
      <c r="AP56" s="19">
        <f>AK56*(1+AN56)</f>
        <v/>
      </c>
      <c r="AQ56" s="19">
        <f>AL56*(1+AO56)</f>
        <v/>
      </c>
      <c r="AR56" s="19">
        <f>IF(AND(CONFIG!$B$11="Annual",MONTH(AI56)=7),(AP56+AQ56)*CONFIG!$B$6/12,AR55)</f>
        <v/>
      </c>
      <c r="AS56" s="19">
        <f>MAX(0,AQ56-AR56)</f>
        <v/>
      </c>
      <c r="AT56">
        <f>IF(OR(MONTH(AI56)=3,MONTH(AI56)=6,MONTH(AI56)=9,MONTH(AI56)=12),"Y","N")</f>
        <v/>
      </c>
      <c r="AU56" s="21">
        <f>IF((AP56+AS56)=0,0,AS56/(AP56+AS56))</f>
        <v/>
      </c>
      <c r="AV56">
        <f>IF(AND(AT56="Y",OR(AU56&lt;CONFIG!$B$8,AU56&gt;CONFIG!$B$9)),"Y","N")</f>
        <v/>
      </c>
      <c r="AW56" s="19">
        <f>IF(AV56="Y",(AP56+AS56)*0.8,AP56)</f>
        <v/>
      </c>
      <c r="AX56" s="19">
        <f>IF(AV56="Y",(AP56+AS56)*0.2,AS56)</f>
        <v/>
      </c>
    </row>
    <row r="57">
      <c r="A57" s="18">
        <f>DATA!A57</f>
        <v/>
      </c>
      <c r="B57">
        <f>DATA!B57</f>
        <v/>
      </c>
      <c r="C57" s="19">
        <f>O56</f>
        <v/>
      </c>
      <c r="D57" s="19">
        <f>P56</f>
        <v/>
      </c>
      <c r="E57" s="19">
        <f>C57+D57</f>
        <v/>
      </c>
      <c r="F57" s="20">
        <f>DATA!C57</f>
        <v/>
      </c>
      <c r="G57" s="20">
        <f>DATA!F57</f>
        <v/>
      </c>
      <c r="H57" s="19">
        <f>C57*(1+F57)</f>
        <v/>
      </c>
      <c r="I57" s="19">
        <f>D57*(1+G57)</f>
        <v/>
      </c>
      <c r="J57" s="19">
        <f>IF(AND(CONFIG!$B$11="Annual",MONTH(A57)=7),(H57+I57)*CONFIG!$B$6/12,J56)</f>
        <v/>
      </c>
      <c r="K57" s="19">
        <f>MAX(0,I57-J57)</f>
        <v/>
      </c>
      <c r="L57">
        <f>IF(OR(MONTH(A57)=3,MONTH(A57)=6,MONTH(A57)=9,MONTH(A57)=12),"Y","N")</f>
        <v/>
      </c>
      <c r="M57" s="21">
        <f>IF((H57+K57)=0,0,K57/(H57+K57))</f>
        <v/>
      </c>
      <c r="N57">
        <f>IF(AND(L57="Y",OR(M57&lt;CONFIG!$B$8,M57&gt;CONFIG!$B$9)),"Y","N")</f>
        <v/>
      </c>
      <c r="O57" s="19">
        <f>IF(N57="Y",(H57+K57)*0.8,H57)</f>
        <v/>
      </c>
      <c r="P57" s="19">
        <f>IF(N57="Y",(H57+K57)*0.2,K57)</f>
        <v/>
      </c>
      <c r="R57" s="18">
        <f>DATA!A57</f>
        <v/>
      </c>
      <c r="S57">
        <f>DATA!B57</f>
        <v/>
      </c>
      <c r="T57" s="19">
        <f>AF56</f>
        <v/>
      </c>
      <c r="U57" s="19">
        <f>AG56</f>
        <v/>
      </c>
      <c r="V57" s="19">
        <f>T57+U57</f>
        <v/>
      </c>
      <c r="W57" s="20">
        <f>DATA!D57</f>
        <v/>
      </c>
      <c r="X57" s="20">
        <f>DATA!F57</f>
        <v/>
      </c>
      <c r="Y57" s="19">
        <f>T57*(1+W57)</f>
        <v/>
      </c>
      <c r="Z57" s="19">
        <f>U57*(1+X57)</f>
        <v/>
      </c>
      <c r="AA57" s="19">
        <f>IF(AND(CONFIG!$B$11="Annual",MONTH(R57)=7),(Y57+Z57)*CONFIG!$B$6/12,AA56)</f>
        <v/>
      </c>
      <c r="AB57" s="19">
        <f>MAX(0,Z57-AA57)</f>
        <v/>
      </c>
      <c r="AC57">
        <f>IF(OR(MONTH(R57)=3,MONTH(R57)=6,MONTH(R57)=9,MONTH(R57)=12),"Y","N")</f>
        <v/>
      </c>
      <c r="AD57" s="21">
        <f>IF((Y57+AB57)=0,0,AB57/(Y57+AB57))</f>
        <v/>
      </c>
      <c r="AE57">
        <f>IF(AND(AC57="Y",OR(AD57&lt;CONFIG!$B$8,AD57&gt;CONFIG!$B$9)),"Y","N")</f>
        <v/>
      </c>
      <c r="AF57" s="19">
        <f>IF(AE57="Y",(Y57+AB57)*0.8,Y57)</f>
        <v/>
      </c>
      <c r="AG57" s="19">
        <f>IF(AE57="Y",(Y57+AB57)*0.2,AB57)</f>
        <v/>
      </c>
      <c r="AI57" s="18">
        <f>DATA!A57</f>
        <v/>
      </c>
      <c r="AJ57">
        <f>DATA!B57</f>
        <v/>
      </c>
      <c r="AK57" s="19">
        <f>AW56</f>
        <v/>
      </c>
      <c r="AL57" s="19">
        <f>AX56</f>
        <v/>
      </c>
      <c r="AM57" s="19">
        <f>AK57+AL57</f>
        <v/>
      </c>
      <c r="AN57" s="20">
        <f>DATA!E57</f>
        <v/>
      </c>
      <c r="AO57" s="20">
        <f>DATA!F57</f>
        <v/>
      </c>
      <c r="AP57" s="19">
        <f>AK57*(1+AN57)</f>
        <v/>
      </c>
      <c r="AQ57" s="19">
        <f>AL57*(1+AO57)</f>
        <v/>
      </c>
      <c r="AR57" s="19">
        <f>IF(AND(CONFIG!$B$11="Annual",MONTH(AI57)=7),(AP57+AQ57)*CONFIG!$B$6/12,AR56)</f>
        <v/>
      </c>
      <c r="AS57" s="19">
        <f>MAX(0,AQ57-AR57)</f>
        <v/>
      </c>
      <c r="AT57">
        <f>IF(OR(MONTH(AI57)=3,MONTH(AI57)=6,MONTH(AI57)=9,MONTH(AI57)=12),"Y","N")</f>
        <v/>
      </c>
      <c r="AU57" s="21">
        <f>IF((AP57+AS57)=0,0,AS57/(AP57+AS57))</f>
        <v/>
      </c>
      <c r="AV57">
        <f>IF(AND(AT57="Y",OR(AU57&lt;CONFIG!$B$8,AU57&gt;CONFIG!$B$9)),"Y","N")</f>
        <v/>
      </c>
      <c r="AW57" s="19">
        <f>IF(AV57="Y",(AP57+AS57)*0.8,AP57)</f>
        <v/>
      </c>
      <c r="AX57" s="19">
        <f>IF(AV57="Y",(AP57+AS57)*0.2,AS57)</f>
        <v/>
      </c>
    </row>
    <row r="58">
      <c r="A58" s="18">
        <f>DATA!A58</f>
        <v/>
      </c>
      <c r="B58">
        <f>DATA!B58</f>
        <v/>
      </c>
      <c r="C58" s="19">
        <f>O57</f>
        <v/>
      </c>
      <c r="D58" s="19">
        <f>P57</f>
        <v/>
      </c>
      <c r="E58" s="19">
        <f>C58+D58</f>
        <v/>
      </c>
      <c r="F58" s="20">
        <f>DATA!C58</f>
        <v/>
      </c>
      <c r="G58" s="20">
        <f>DATA!F58</f>
        <v/>
      </c>
      <c r="H58" s="19">
        <f>C58*(1+F58)</f>
        <v/>
      </c>
      <c r="I58" s="19">
        <f>D58*(1+G58)</f>
        <v/>
      </c>
      <c r="J58" s="19">
        <f>IF(AND(CONFIG!$B$11="Annual",MONTH(A58)=7),(H58+I58)*CONFIG!$B$6/12,J57)</f>
        <v/>
      </c>
      <c r="K58" s="19">
        <f>MAX(0,I58-J58)</f>
        <v/>
      </c>
      <c r="L58">
        <f>IF(OR(MONTH(A58)=3,MONTH(A58)=6,MONTH(A58)=9,MONTH(A58)=12),"Y","N")</f>
        <v/>
      </c>
      <c r="M58" s="21">
        <f>IF((H58+K58)=0,0,K58/(H58+K58))</f>
        <v/>
      </c>
      <c r="N58">
        <f>IF(AND(L58="Y",OR(M58&lt;CONFIG!$B$8,M58&gt;CONFIG!$B$9)),"Y","N")</f>
        <v/>
      </c>
      <c r="O58" s="19">
        <f>IF(N58="Y",(H58+K58)*0.8,H58)</f>
        <v/>
      </c>
      <c r="P58" s="19">
        <f>IF(N58="Y",(H58+K58)*0.2,K58)</f>
        <v/>
      </c>
      <c r="R58" s="18">
        <f>DATA!A58</f>
        <v/>
      </c>
      <c r="S58">
        <f>DATA!B58</f>
        <v/>
      </c>
      <c r="T58" s="19">
        <f>AF57</f>
        <v/>
      </c>
      <c r="U58" s="19">
        <f>AG57</f>
        <v/>
      </c>
      <c r="V58" s="19">
        <f>T58+U58</f>
        <v/>
      </c>
      <c r="W58" s="20">
        <f>DATA!D58</f>
        <v/>
      </c>
      <c r="X58" s="20">
        <f>DATA!F58</f>
        <v/>
      </c>
      <c r="Y58" s="19">
        <f>T58*(1+W58)</f>
        <v/>
      </c>
      <c r="Z58" s="19">
        <f>U58*(1+X58)</f>
        <v/>
      </c>
      <c r="AA58" s="19">
        <f>IF(AND(CONFIG!$B$11="Annual",MONTH(R58)=7),(Y58+Z58)*CONFIG!$B$6/12,AA57)</f>
        <v/>
      </c>
      <c r="AB58" s="19">
        <f>MAX(0,Z58-AA58)</f>
        <v/>
      </c>
      <c r="AC58">
        <f>IF(OR(MONTH(R58)=3,MONTH(R58)=6,MONTH(R58)=9,MONTH(R58)=12),"Y","N")</f>
        <v/>
      </c>
      <c r="AD58" s="21">
        <f>IF((Y58+AB58)=0,0,AB58/(Y58+AB58))</f>
        <v/>
      </c>
      <c r="AE58">
        <f>IF(AND(AC58="Y",OR(AD58&lt;CONFIG!$B$8,AD58&gt;CONFIG!$B$9)),"Y","N")</f>
        <v/>
      </c>
      <c r="AF58" s="19">
        <f>IF(AE58="Y",(Y58+AB58)*0.8,Y58)</f>
        <v/>
      </c>
      <c r="AG58" s="19">
        <f>IF(AE58="Y",(Y58+AB58)*0.2,AB58)</f>
        <v/>
      </c>
      <c r="AI58" s="18">
        <f>DATA!A58</f>
        <v/>
      </c>
      <c r="AJ58">
        <f>DATA!B58</f>
        <v/>
      </c>
      <c r="AK58" s="19">
        <f>AW57</f>
        <v/>
      </c>
      <c r="AL58" s="19">
        <f>AX57</f>
        <v/>
      </c>
      <c r="AM58" s="19">
        <f>AK58+AL58</f>
        <v/>
      </c>
      <c r="AN58" s="20">
        <f>DATA!E58</f>
        <v/>
      </c>
      <c r="AO58" s="20">
        <f>DATA!F58</f>
        <v/>
      </c>
      <c r="AP58" s="19">
        <f>AK58*(1+AN58)</f>
        <v/>
      </c>
      <c r="AQ58" s="19">
        <f>AL58*(1+AO58)</f>
        <v/>
      </c>
      <c r="AR58" s="19">
        <f>IF(AND(CONFIG!$B$11="Annual",MONTH(AI58)=7),(AP58+AQ58)*CONFIG!$B$6/12,AR57)</f>
        <v/>
      </c>
      <c r="AS58" s="19">
        <f>MAX(0,AQ58-AR58)</f>
        <v/>
      </c>
      <c r="AT58">
        <f>IF(OR(MONTH(AI58)=3,MONTH(AI58)=6,MONTH(AI58)=9,MONTH(AI58)=12),"Y","N")</f>
        <v/>
      </c>
      <c r="AU58" s="21">
        <f>IF((AP58+AS58)=0,0,AS58/(AP58+AS58))</f>
        <v/>
      </c>
      <c r="AV58">
        <f>IF(AND(AT58="Y",OR(AU58&lt;CONFIG!$B$8,AU58&gt;CONFIG!$B$9)),"Y","N")</f>
        <v/>
      </c>
      <c r="AW58" s="19">
        <f>IF(AV58="Y",(AP58+AS58)*0.8,AP58)</f>
        <v/>
      </c>
      <c r="AX58" s="19">
        <f>IF(AV58="Y",(AP58+AS58)*0.2,AS58)</f>
        <v/>
      </c>
    </row>
    <row r="59">
      <c r="A59" s="18">
        <f>DATA!A59</f>
        <v/>
      </c>
      <c r="B59">
        <f>DATA!B59</f>
        <v/>
      </c>
      <c r="C59" s="19">
        <f>O58</f>
        <v/>
      </c>
      <c r="D59" s="19">
        <f>P58</f>
        <v/>
      </c>
      <c r="E59" s="19">
        <f>C59+D59</f>
        <v/>
      </c>
      <c r="F59" s="20">
        <f>DATA!C59</f>
        <v/>
      </c>
      <c r="G59" s="20">
        <f>DATA!F59</f>
        <v/>
      </c>
      <c r="H59" s="19">
        <f>C59*(1+F59)</f>
        <v/>
      </c>
      <c r="I59" s="19">
        <f>D59*(1+G59)</f>
        <v/>
      </c>
      <c r="J59" s="19">
        <f>IF(AND(CONFIG!$B$11="Annual",MONTH(A59)=7),(H59+I59)*CONFIG!$B$6/12,J58)</f>
        <v/>
      </c>
      <c r="K59" s="19">
        <f>MAX(0,I59-J59)</f>
        <v/>
      </c>
      <c r="L59">
        <f>IF(OR(MONTH(A59)=3,MONTH(A59)=6,MONTH(A59)=9,MONTH(A59)=12),"Y","N")</f>
        <v/>
      </c>
      <c r="M59" s="21">
        <f>IF((H59+K59)=0,0,K59/(H59+K59))</f>
        <v/>
      </c>
      <c r="N59">
        <f>IF(AND(L59="Y",OR(M59&lt;CONFIG!$B$8,M59&gt;CONFIG!$B$9)),"Y","N")</f>
        <v/>
      </c>
      <c r="O59" s="19">
        <f>IF(N59="Y",(H59+K59)*0.8,H59)</f>
        <v/>
      </c>
      <c r="P59" s="19">
        <f>IF(N59="Y",(H59+K59)*0.2,K59)</f>
        <v/>
      </c>
      <c r="R59" s="18">
        <f>DATA!A59</f>
        <v/>
      </c>
      <c r="S59">
        <f>DATA!B59</f>
        <v/>
      </c>
      <c r="T59" s="19">
        <f>AF58</f>
        <v/>
      </c>
      <c r="U59" s="19">
        <f>AG58</f>
        <v/>
      </c>
      <c r="V59" s="19">
        <f>T59+U59</f>
        <v/>
      </c>
      <c r="W59" s="20">
        <f>DATA!D59</f>
        <v/>
      </c>
      <c r="X59" s="20">
        <f>DATA!F59</f>
        <v/>
      </c>
      <c r="Y59" s="19">
        <f>T59*(1+W59)</f>
        <v/>
      </c>
      <c r="Z59" s="19">
        <f>U59*(1+X59)</f>
        <v/>
      </c>
      <c r="AA59" s="19">
        <f>IF(AND(CONFIG!$B$11="Annual",MONTH(R59)=7),(Y59+Z59)*CONFIG!$B$6/12,AA58)</f>
        <v/>
      </c>
      <c r="AB59" s="19">
        <f>MAX(0,Z59-AA59)</f>
        <v/>
      </c>
      <c r="AC59">
        <f>IF(OR(MONTH(R59)=3,MONTH(R59)=6,MONTH(R59)=9,MONTH(R59)=12),"Y","N")</f>
        <v/>
      </c>
      <c r="AD59" s="21">
        <f>IF((Y59+AB59)=0,0,AB59/(Y59+AB59))</f>
        <v/>
      </c>
      <c r="AE59">
        <f>IF(AND(AC59="Y",OR(AD59&lt;CONFIG!$B$8,AD59&gt;CONFIG!$B$9)),"Y","N")</f>
        <v/>
      </c>
      <c r="AF59" s="19">
        <f>IF(AE59="Y",(Y59+AB59)*0.8,Y59)</f>
        <v/>
      </c>
      <c r="AG59" s="19">
        <f>IF(AE59="Y",(Y59+AB59)*0.2,AB59)</f>
        <v/>
      </c>
      <c r="AI59" s="18">
        <f>DATA!A59</f>
        <v/>
      </c>
      <c r="AJ59">
        <f>DATA!B59</f>
        <v/>
      </c>
      <c r="AK59" s="19">
        <f>AW58</f>
        <v/>
      </c>
      <c r="AL59" s="19">
        <f>AX58</f>
        <v/>
      </c>
      <c r="AM59" s="19">
        <f>AK59+AL59</f>
        <v/>
      </c>
      <c r="AN59" s="20">
        <f>DATA!E59</f>
        <v/>
      </c>
      <c r="AO59" s="20">
        <f>DATA!F59</f>
        <v/>
      </c>
      <c r="AP59" s="19">
        <f>AK59*(1+AN59)</f>
        <v/>
      </c>
      <c r="AQ59" s="19">
        <f>AL59*(1+AO59)</f>
        <v/>
      </c>
      <c r="AR59" s="19">
        <f>IF(AND(CONFIG!$B$11="Annual",MONTH(AI59)=7),(AP59+AQ59)*CONFIG!$B$6/12,AR58)</f>
        <v/>
      </c>
      <c r="AS59" s="19">
        <f>MAX(0,AQ59-AR59)</f>
        <v/>
      </c>
      <c r="AT59">
        <f>IF(OR(MONTH(AI59)=3,MONTH(AI59)=6,MONTH(AI59)=9,MONTH(AI59)=12),"Y","N")</f>
        <v/>
      </c>
      <c r="AU59" s="21">
        <f>IF((AP59+AS59)=0,0,AS59/(AP59+AS59))</f>
        <v/>
      </c>
      <c r="AV59">
        <f>IF(AND(AT59="Y",OR(AU59&lt;CONFIG!$B$8,AU59&gt;CONFIG!$B$9)),"Y","N")</f>
        <v/>
      </c>
      <c r="AW59" s="19">
        <f>IF(AV59="Y",(AP59+AS59)*0.8,AP59)</f>
        <v/>
      </c>
      <c r="AX59" s="19">
        <f>IF(AV59="Y",(AP59+AS59)*0.2,AS59)</f>
        <v/>
      </c>
    </row>
    <row r="60">
      <c r="A60" s="18">
        <f>DATA!A60</f>
        <v/>
      </c>
      <c r="B60">
        <f>DATA!B60</f>
        <v/>
      </c>
      <c r="C60" s="19">
        <f>O59</f>
        <v/>
      </c>
      <c r="D60" s="19">
        <f>P59</f>
        <v/>
      </c>
      <c r="E60" s="19">
        <f>C60+D60</f>
        <v/>
      </c>
      <c r="F60" s="20">
        <f>DATA!C60</f>
        <v/>
      </c>
      <c r="G60" s="20">
        <f>DATA!F60</f>
        <v/>
      </c>
      <c r="H60" s="19">
        <f>C60*(1+F60)</f>
        <v/>
      </c>
      <c r="I60" s="19">
        <f>D60*(1+G60)</f>
        <v/>
      </c>
      <c r="J60" s="19">
        <f>IF(AND(CONFIG!$B$11="Annual",MONTH(A60)=7),(H60+I60)*CONFIG!$B$6/12,J59)</f>
        <v/>
      </c>
      <c r="K60" s="19">
        <f>MAX(0,I60-J60)</f>
        <v/>
      </c>
      <c r="L60">
        <f>IF(OR(MONTH(A60)=3,MONTH(A60)=6,MONTH(A60)=9,MONTH(A60)=12),"Y","N")</f>
        <v/>
      </c>
      <c r="M60" s="21">
        <f>IF((H60+K60)=0,0,K60/(H60+K60))</f>
        <v/>
      </c>
      <c r="N60">
        <f>IF(AND(L60="Y",OR(M60&lt;CONFIG!$B$8,M60&gt;CONFIG!$B$9)),"Y","N")</f>
        <v/>
      </c>
      <c r="O60" s="19">
        <f>IF(N60="Y",(H60+K60)*0.8,H60)</f>
        <v/>
      </c>
      <c r="P60" s="19">
        <f>IF(N60="Y",(H60+K60)*0.2,K60)</f>
        <v/>
      </c>
      <c r="R60" s="18">
        <f>DATA!A60</f>
        <v/>
      </c>
      <c r="S60">
        <f>DATA!B60</f>
        <v/>
      </c>
      <c r="T60" s="19">
        <f>AF59</f>
        <v/>
      </c>
      <c r="U60" s="19">
        <f>AG59</f>
        <v/>
      </c>
      <c r="V60" s="19">
        <f>T60+U60</f>
        <v/>
      </c>
      <c r="W60" s="20">
        <f>DATA!D60</f>
        <v/>
      </c>
      <c r="X60" s="20">
        <f>DATA!F60</f>
        <v/>
      </c>
      <c r="Y60" s="19">
        <f>T60*(1+W60)</f>
        <v/>
      </c>
      <c r="Z60" s="19">
        <f>U60*(1+X60)</f>
        <v/>
      </c>
      <c r="AA60" s="19">
        <f>IF(AND(CONFIG!$B$11="Annual",MONTH(R60)=7),(Y60+Z60)*CONFIG!$B$6/12,AA59)</f>
        <v/>
      </c>
      <c r="AB60" s="19">
        <f>MAX(0,Z60-AA60)</f>
        <v/>
      </c>
      <c r="AC60">
        <f>IF(OR(MONTH(R60)=3,MONTH(R60)=6,MONTH(R60)=9,MONTH(R60)=12),"Y","N")</f>
        <v/>
      </c>
      <c r="AD60" s="21">
        <f>IF((Y60+AB60)=0,0,AB60/(Y60+AB60))</f>
        <v/>
      </c>
      <c r="AE60">
        <f>IF(AND(AC60="Y",OR(AD60&lt;CONFIG!$B$8,AD60&gt;CONFIG!$B$9)),"Y","N")</f>
        <v/>
      </c>
      <c r="AF60" s="19">
        <f>IF(AE60="Y",(Y60+AB60)*0.8,Y60)</f>
        <v/>
      </c>
      <c r="AG60" s="19">
        <f>IF(AE60="Y",(Y60+AB60)*0.2,AB60)</f>
        <v/>
      </c>
      <c r="AI60" s="18">
        <f>DATA!A60</f>
        <v/>
      </c>
      <c r="AJ60">
        <f>DATA!B60</f>
        <v/>
      </c>
      <c r="AK60" s="19">
        <f>AW59</f>
        <v/>
      </c>
      <c r="AL60" s="19">
        <f>AX59</f>
        <v/>
      </c>
      <c r="AM60" s="19">
        <f>AK60+AL60</f>
        <v/>
      </c>
      <c r="AN60" s="20">
        <f>DATA!E60</f>
        <v/>
      </c>
      <c r="AO60" s="20">
        <f>DATA!F60</f>
        <v/>
      </c>
      <c r="AP60" s="19">
        <f>AK60*(1+AN60)</f>
        <v/>
      </c>
      <c r="AQ60" s="19">
        <f>AL60*(1+AO60)</f>
        <v/>
      </c>
      <c r="AR60" s="19">
        <f>IF(AND(CONFIG!$B$11="Annual",MONTH(AI60)=7),(AP60+AQ60)*CONFIG!$B$6/12,AR59)</f>
        <v/>
      </c>
      <c r="AS60" s="19">
        <f>MAX(0,AQ60-AR60)</f>
        <v/>
      </c>
      <c r="AT60">
        <f>IF(OR(MONTH(AI60)=3,MONTH(AI60)=6,MONTH(AI60)=9,MONTH(AI60)=12),"Y","N")</f>
        <v/>
      </c>
      <c r="AU60" s="21">
        <f>IF((AP60+AS60)=0,0,AS60/(AP60+AS60))</f>
        <v/>
      </c>
      <c r="AV60">
        <f>IF(AND(AT60="Y",OR(AU60&lt;CONFIG!$B$8,AU60&gt;CONFIG!$B$9)),"Y","N")</f>
        <v/>
      </c>
      <c r="AW60" s="19">
        <f>IF(AV60="Y",(AP60+AS60)*0.8,AP60)</f>
        <v/>
      </c>
      <c r="AX60" s="19">
        <f>IF(AV60="Y",(AP60+AS60)*0.2,AS60)</f>
        <v/>
      </c>
    </row>
    <row r="61">
      <c r="A61" s="18">
        <f>DATA!A61</f>
        <v/>
      </c>
      <c r="B61">
        <f>DATA!B61</f>
        <v/>
      </c>
      <c r="C61" s="19">
        <f>O60</f>
        <v/>
      </c>
      <c r="D61" s="19">
        <f>P60</f>
        <v/>
      </c>
      <c r="E61" s="19">
        <f>C61+D61</f>
        <v/>
      </c>
      <c r="F61" s="20">
        <f>DATA!C61</f>
        <v/>
      </c>
      <c r="G61" s="20">
        <f>DATA!F61</f>
        <v/>
      </c>
      <c r="H61" s="19">
        <f>C61*(1+F61)</f>
        <v/>
      </c>
      <c r="I61" s="19">
        <f>D61*(1+G61)</f>
        <v/>
      </c>
      <c r="J61" s="19">
        <f>IF(AND(CONFIG!$B$11="Annual",MONTH(A61)=7),(H61+I61)*CONFIG!$B$6/12,J60)</f>
        <v/>
      </c>
      <c r="K61" s="19">
        <f>MAX(0,I61-J61)</f>
        <v/>
      </c>
      <c r="L61">
        <f>IF(OR(MONTH(A61)=3,MONTH(A61)=6,MONTH(A61)=9,MONTH(A61)=12),"Y","N")</f>
        <v/>
      </c>
      <c r="M61" s="21">
        <f>IF((H61+K61)=0,0,K61/(H61+K61))</f>
        <v/>
      </c>
      <c r="N61">
        <f>IF(AND(L61="Y",OR(M61&lt;CONFIG!$B$8,M61&gt;CONFIG!$B$9)),"Y","N")</f>
        <v/>
      </c>
      <c r="O61" s="19">
        <f>IF(N61="Y",(H61+K61)*0.8,H61)</f>
        <v/>
      </c>
      <c r="P61" s="19">
        <f>IF(N61="Y",(H61+K61)*0.2,K61)</f>
        <v/>
      </c>
      <c r="R61" s="18">
        <f>DATA!A61</f>
        <v/>
      </c>
      <c r="S61">
        <f>DATA!B61</f>
        <v/>
      </c>
      <c r="T61" s="19">
        <f>AF60</f>
        <v/>
      </c>
      <c r="U61" s="19">
        <f>AG60</f>
        <v/>
      </c>
      <c r="V61" s="19">
        <f>T61+U61</f>
        <v/>
      </c>
      <c r="W61" s="20">
        <f>DATA!D61</f>
        <v/>
      </c>
      <c r="X61" s="20">
        <f>DATA!F61</f>
        <v/>
      </c>
      <c r="Y61" s="19">
        <f>T61*(1+W61)</f>
        <v/>
      </c>
      <c r="Z61" s="19">
        <f>U61*(1+X61)</f>
        <v/>
      </c>
      <c r="AA61" s="19">
        <f>IF(AND(CONFIG!$B$11="Annual",MONTH(R61)=7),(Y61+Z61)*CONFIG!$B$6/12,AA60)</f>
        <v/>
      </c>
      <c r="AB61" s="19">
        <f>MAX(0,Z61-AA61)</f>
        <v/>
      </c>
      <c r="AC61">
        <f>IF(OR(MONTH(R61)=3,MONTH(R61)=6,MONTH(R61)=9,MONTH(R61)=12),"Y","N")</f>
        <v/>
      </c>
      <c r="AD61" s="21">
        <f>IF((Y61+AB61)=0,0,AB61/(Y61+AB61))</f>
        <v/>
      </c>
      <c r="AE61">
        <f>IF(AND(AC61="Y",OR(AD61&lt;CONFIG!$B$8,AD61&gt;CONFIG!$B$9)),"Y","N")</f>
        <v/>
      </c>
      <c r="AF61" s="19">
        <f>IF(AE61="Y",(Y61+AB61)*0.8,Y61)</f>
        <v/>
      </c>
      <c r="AG61" s="19">
        <f>IF(AE61="Y",(Y61+AB61)*0.2,AB61)</f>
        <v/>
      </c>
      <c r="AI61" s="18">
        <f>DATA!A61</f>
        <v/>
      </c>
      <c r="AJ61">
        <f>DATA!B61</f>
        <v/>
      </c>
      <c r="AK61" s="19">
        <f>AW60</f>
        <v/>
      </c>
      <c r="AL61" s="19">
        <f>AX60</f>
        <v/>
      </c>
      <c r="AM61" s="19">
        <f>AK61+AL61</f>
        <v/>
      </c>
      <c r="AN61" s="20">
        <f>DATA!E61</f>
        <v/>
      </c>
      <c r="AO61" s="20">
        <f>DATA!F61</f>
        <v/>
      </c>
      <c r="AP61" s="19">
        <f>AK61*(1+AN61)</f>
        <v/>
      </c>
      <c r="AQ61" s="19">
        <f>AL61*(1+AO61)</f>
        <v/>
      </c>
      <c r="AR61" s="19">
        <f>IF(AND(CONFIG!$B$11="Annual",MONTH(AI61)=7),(AP61+AQ61)*CONFIG!$B$6/12,AR60)</f>
        <v/>
      </c>
      <c r="AS61" s="19">
        <f>MAX(0,AQ61-AR61)</f>
        <v/>
      </c>
      <c r="AT61">
        <f>IF(OR(MONTH(AI61)=3,MONTH(AI61)=6,MONTH(AI61)=9,MONTH(AI61)=12),"Y","N")</f>
        <v/>
      </c>
      <c r="AU61" s="21">
        <f>IF((AP61+AS61)=0,0,AS61/(AP61+AS61))</f>
        <v/>
      </c>
      <c r="AV61">
        <f>IF(AND(AT61="Y",OR(AU61&lt;CONFIG!$B$8,AU61&gt;CONFIG!$B$9)),"Y","N")</f>
        <v/>
      </c>
      <c r="AW61" s="19">
        <f>IF(AV61="Y",(AP61+AS61)*0.8,AP61)</f>
        <v/>
      </c>
      <c r="AX61" s="19">
        <f>IF(AV61="Y",(AP61+AS61)*0.2,AS61)</f>
        <v/>
      </c>
    </row>
    <row r="62">
      <c r="A62" s="18">
        <f>DATA!A62</f>
        <v/>
      </c>
      <c r="B62">
        <f>DATA!B62</f>
        <v/>
      </c>
      <c r="C62" s="19">
        <f>O61</f>
        <v/>
      </c>
      <c r="D62" s="19">
        <f>P61</f>
        <v/>
      </c>
      <c r="E62" s="19">
        <f>C62+D62</f>
        <v/>
      </c>
      <c r="F62" s="20">
        <f>DATA!C62</f>
        <v/>
      </c>
      <c r="G62" s="20">
        <f>DATA!F62</f>
        <v/>
      </c>
      <c r="H62" s="19">
        <f>C62*(1+F62)</f>
        <v/>
      </c>
      <c r="I62" s="19">
        <f>D62*(1+G62)</f>
        <v/>
      </c>
      <c r="J62" s="19">
        <f>IF(AND(CONFIG!$B$11="Annual",MONTH(A62)=7),(H62+I62)*CONFIG!$B$6/12,J61)</f>
        <v/>
      </c>
      <c r="K62" s="19">
        <f>MAX(0,I62-J62)</f>
        <v/>
      </c>
      <c r="L62">
        <f>IF(OR(MONTH(A62)=3,MONTH(A62)=6,MONTH(A62)=9,MONTH(A62)=12),"Y","N")</f>
        <v/>
      </c>
      <c r="M62" s="21">
        <f>IF((H62+K62)=0,0,K62/(H62+K62))</f>
        <v/>
      </c>
      <c r="N62">
        <f>IF(AND(L62="Y",OR(M62&lt;CONFIG!$B$8,M62&gt;CONFIG!$B$9)),"Y","N")</f>
        <v/>
      </c>
      <c r="O62" s="19">
        <f>IF(N62="Y",(H62+K62)*0.8,H62)</f>
        <v/>
      </c>
      <c r="P62" s="19">
        <f>IF(N62="Y",(H62+K62)*0.2,K62)</f>
        <v/>
      </c>
      <c r="R62" s="18">
        <f>DATA!A62</f>
        <v/>
      </c>
      <c r="S62">
        <f>DATA!B62</f>
        <v/>
      </c>
      <c r="T62" s="19">
        <f>AF61</f>
        <v/>
      </c>
      <c r="U62" s="19">
        <f>AG61</f>
        <v/>
      </c>
      <c r="V62" s="19">
        <f>T62+U62</f>
        <v/>
      </c>
      <c r="W62" s="20">
        <f>DATA!D62</f>
        <v/>
      </c>
      <c r="X62" s="20">
        <f>DATA!F62</f>
        <v/>
      </c>
      <c r="Y62" s="19">
        <f>T62*(1+W62)</f>
        <v/>
      </c>
      <c r="Z62" s="19">
        <f>U62*(1+X62)</f>
        <v/>
      </c>
      <c r="AA62" s="19">
        <f>IF(AND(CONFIG!$B$11="Annual",MONTH(R62)=7),(Y62+Z62)*CONFIG!$B$6/12,AA61)</f>
        <v/>
      </c>
      <c r="AB62" s="19">
        <f>MAX(0,Z62-AA62)</f>
        <v/>
      </c>
      <c r="AC62">
        <f>IF(OR(MONTH(R62)=3,MONTH(R62)=6,MONTH(R62)=9,MONTH(R62)=12),"Y","N")</f>
        <v/>
      </c>
      <c r="AD62" s="21">
        <f>IF((Y62+AB62)=0,0,AB62/(Y62+AB62))</f>
        <v/>
      </c>
      <c r="AE62">
        <f>IF(AND(AC62="Y",OR(AD62&lt;CONFIG!$B$8,AD62&gt;CONFIG!$B$9)),"Y","N")</f>
        <v/>
      </c>
      <c r="AF62" s="19">
        <f>IF(AE62="Y",(Y62+AB62)*0.8,Y62)</f>
        <v/>
      </c>
      <c r="AG62" s="19">
        <f>IF(AE62="Y",(Y62+AB62)*0.2,AB62)</f>
        <v/>
      </c>
      <c r="AI62" s="18">
        <f>DATA!A62</f>
        <v/>
      </c>
      <c r="AJ62">
        <f>DATA!B62</f>
        <v/>
      </c>
      <c r="AK62" s="19">
        <f>AW61</f>
        <v/>
      </c>
      <c r="AL62" s="19">
        <f>AX61</f>
        <v/>
      </c>
      <c r="AM62" s="19">
        <f>AK62+AL62</f>
        <v/>
      </c>
      <c r="AN62" s="20">
        <f>DATA!E62</f>
        <v/>
      </c>
      <c r="AO62" s="20">
        <f>DATA!F62</f>
        <v/>
      </c>
      <c r="AP62" s="19">
        <f>AK62*(1+AN62)</f>
        <v/>
      </c>
      <c r="AQ62" s="19">
        <f>AL62*(1+AO62)</f>
        <v/>
      </c>
      <c r="AR62" s="19">
        <f>IF(AND(CONFIG!$B$11="Annual",MONTH(AI62)=7),(AP62+AQ62)*CONFIG!$B$6/12,AR61)</f>
        <v/>
      </c>
      <c r="AS62" s="19">
        <f>MAX(0,AQ62-AR62)</f>
        <v/>
      </c>
      <c r="AT62">
        <f>IF(OR(MONTH(AI62)=3,MONTH(AI62)=6,MONTH(AI62)=9,MONTH(AI62)=12),"Y","N")</f>
        <v/>
      </c>
      <c r="AU62" s="21">
        <f>IF((AP62+AS62)=0,0,AS62/(AP62+AS62))</f>
        <v/>
      </c>
      <c r="AV62">
        <f>IF(AND(AT62="Y",OR(AU62&lt;CONFIG!$B$8,AU62&gt;CONFIG!$B$9)),"Y","N")</f>
        <v/>
      </c>
      <c r="AW62" s="19">
        <f>IF(AV62="Y",(AP62+AS62)*0.8,AP62)</f>
        <v/>
      </c>
      <c r="AX62" s="19">
        <f>IF(AV62="Y",(AP62+AS62)*0.2,AS62)</f>
        <v/>
      </c>
    </row>
    <row r="63">
      <c r="A63" s="18">
        <f>DATA!A63</f>
        <v/>
      </c>
      <c r="B63">
        <f>DATA!B63</f>
        <v/>
      </c>
      <c r="C63" s="19">
        <f>O62</f>
        <v/>
      </c>
      <c r="D63" s="19">
        <f>P62</f>
        <v/>
      </c>
      <c r="E63" s="19">
        <f>C63+D63</f>
        <v/>
      </c>
      <c r="F63" s="20">
        <f>DATA!C63</f>
        <v/>
      </c>
      <c r="G63" s="20">
        <f>DATA!F63</f>
        <v/>
      </c>
      <c r="H63" s="19">
        <f>C63*(1+F63)</f>
        <v/>
      </c>
      <c r="I63" s="19">
        <f>D63*(1+G63)</f>
        <v/>
      </c>
      <c r="J63" s="19">
        <f>IF(AND(CONFIG!$B$11="Annual",MONTH(A63)=7),(H63+I63)*CONFIG!$B$6/12,J62)</f>
        <v/>
      </c>
      <c r="K63" s="19">
        <f>MAX(0,I63-J63)</f>
        <v/>
      </c>
      <c r="L63">
        <f>IF(OR(MONTH(A63)=3,MONTH(A63)=6,MONTH(A63)=9,MONTH(A63)=12),"Y","N")</f>
        <v/>
      </c>
      <c r="M63" s="21">
        <f>IF((H63+K63)=0,0,K63/(H63+K63))</f>
        <v/>
      </c>
      <c r="N63">
        <f>IF(AND(L63="Y",OR(M63&lt;CONFIG!$B$8,M63&gt;CONFIG!$B$9)),"Y","N")</f>
        <v/>
      </c>
      <c r="O63" s="19">
        <f>IF(N63="Y",(H63+K63)*0.8,H63)</f>
        <v/>
      </c>
      <c r="P63" s="19">
        <f>IF(N63="Y",(H63+K63)*0.2,K63)</f>
        <v/>
      </c>
      <c r="R63" s="18">
        <f>DATA!A63</f>
        <v/>
      </c>
      <c r="S63">
        <f>DATA!B63</f>
        <v/>
      </c>
      <c r="T63" s="19">
        <f>AF62</f>
        <v/>
      </c>
      <c r="U63" s="19">
        <f>AG62</f>
        <v/>
      </c>
      <c r="V63" s="19">
        <f>T63+U63</f>
        <v/>
      </c>
      <c r="W63" s="20">
        <f>DATA!D63</f>
        <v/>
      </c>
      <c r="X63" s="20">
        <f>DATA!F63</f>
        <v/>
      </c>
      <c r="Y63" s="19">
        <f>T63*(1+W63)</f>
        <v/>
      </c>
      <c r="Z63" s="19">
        <f>U63*(1+X63)</f>
        <v/>
      </c>
      <c r="AA63" s="19">
        <f>IF(AND(CONFIG!$B$11="Annual",MONTH(R63)=7),(Y63+Z63)*CONFIG!$B$6/12,AA62)</f>
        <v/>
      </c>
      <c r="AB63" s="19">
        <f>MAX(0,Z63-AA63)</f>
        <v/>
      </c>
      <c r="AC63">
        <f>IF(OR(MONTH(R63)=3,MONTH(R63)=6,MONTH(R63)=9,MONTH(R63)=12),"Y","N")</f>
        <v/>
      </c>
      <c r="AD63" s="21">
        <f>IF((Y63+AB63)=0,0,AB63/(Y63+AB63))</f>
        <v/>
      </c>
      <c r="AE63">
        <f>IF(AND(AC63="Y",OR(AD63&lt;CONFIG!$B$8,AD63&gt;CONFIG!$B$9)),"Y","N")</f>
        <v/>
      </c>
      <c r="AF63" s="19">
        <f>IF(AE63="Y",(Y63+AB63)*0.8,Y63)</f>
        <v/>
      </c>
      <c r="AG63" s="19">
        <f>IF(AE63="Y",(Y63+AB63)*0.2,AB63)</f>
        <v/>
      </c>
      <c r="AI63" s="18">
        <f>DATA!A63</f>
        <v/>
      </c>
      <c r="AJ63">
        <f>DATA!B63</f>
        <v/>
      </c>
      <c r="AK63" s="19">
        <f>AW62</f>
        <v/>
      </c>
      <c r="AL63" s="19">
        <f>AX62</f>
        <v/>
      </c>
      <c r="AM63" s="19">
        <f>AK63+AL63</f>
        <v/>
      </c>
      <c r="AN63" s="20">
        <f>DATA!E63</f>
        <v/>
      </c>
      <c r="AO63" s="20">
        <f>DATA!F63</f>
        <v/>
      </c>
      <c r="AP63" s="19">
        <f>AK63*(1+AN63)</f>
        <v/>
      </c>
      <c r="AQ63" s="19">
        <f>AL63*(1+AO63)</f>
        <v/>
      </c>
      <c r="AR63" s="19">
        <f>IF(AND(CONFIG!$B$11="Annual",MONTH(AI63)=7),(AP63+AQ63)*CONFIG!$B$6/12,AR62)</f>
        <v/>
      </c>
      <c r="AS63" s="19">
        <f>MAX(0,AQ63-AR63)</f>
        <v/>
      </c>
      <c r="AT63">
        <f>IF(OR(MONTH(AI63)=3,MONTH(AI63)=6,MONTH(AI63)=9,MONTH(AI63)=12),"Y","N")</f>
        <v/>
      </c>
      <c r="AU63" s="21">
        <f>IF((AP63+AS63)=0,0,AS63/(AP63+AS63))</f>
        <v/>
      </c>
      <c r="AV63">
        <f>IF(AND(AT63="Y",OR(AU63&lt;CONFIG!$B$8,AU63&gt;CONFIG!$B$9)),"Y","N")</f>
        <v/>
      </c>
      <c r="AW63" s="19">
        <f>IF(AV63="Y",(AP63+AS63)*0.8,AP63)</f>
        <v/>
      </c>
      <c r="AX63" s="19">
        <f>IF(AV63="Y",(AP63+AS63)*0.2,AS63)</f>
        <v/>
      </c>
    </row>
    <row r="64">
      <c r="A64" s="18">
        <f>DATA!A64</f>
        <v/>
      </c>
      <c r="B64">
        <f>DATA!B64</f>
        <v/>
      </c>
      <c r="C64" s="19">
        <f>O63</f>
        <v/>
      </c>
      <c r="D64" s="19">
        <f>P63</f>
        <v/>
      </c>
      <c r="E64" s="19">
        <f>C64+D64</f>
        <v/>
      </c>
      <c r="F64" s="20">
        <f>DATA!C64</f>
        <v/>
      </c>
      <c r="G64" s="20">
        <f>DATA!F64</f>
        <v/>
      </c>
      <c r="H64" s="19">
        <f>C64*(1+F64)</f>
        <v/>
      </c>
      <c r="I64" s="19">
        <f>D64*(1+G64)</f>
        <v/>
      </c>
      <c r="J64" s="19">
        <f>IF(AND(CONFIG!$B$11="Annual",MONTH(A64)=7),(H64+I64)*CONFIG!$B$6/12,J63)</f>
        <v/>
      </c>
      <c r="K64" s="19">
        <f>MAX(0,I64-J64)</f>
        <v/>
      </c>
      <c r="L64">
        <f>IF(OR(MONTH(A64)=3,MONTH(A64)=6,MONTH(A64)=9,MONTH(A64)=12),"Y","N")</f>
        <v/>
      </c>
      <c r="M64" s="21">
        <f>IF((H64+K64)=0,0,K64/(H64+K64))</f>
        <v/>
      </c>
      <c r="N64">
        <f>IF(AND(L64="Y",OR(M64&lt;CONFIG!$B$8,M64&gt;CONFIG!$B$9)),"Y","N")</f>
        <v/>
      </c>
      <c r="O64" s="19">
        <f>IF(N64="Y",(H64+K64)*0.8,H64)</f>
        <v/>
      </c>
      <c r="P64" s="19">
        <f>IF(N64="Y",(H64+K64)*0.2,K64)</f>
        <v/>
      </c>
      <c r="R64" s="18">
        <f>DATA!A64</f>
        <v/>
      </c>
      <c r="S64">
        <f>DATA!B64</f>
        <v/>
      </c>
      <c r="T64" s="19">
        <f>AF63</f>
        <v/>
      </c>
      <c r="U64" s="19">
        <f>AG63</f>
        <v/>
      </c>
      <c r="V64" s="19">
        <f>T64+U64</f>
        <v/>
      </c>
      <c r="W64" s="20">
        <f>DATA!D64</f>
        <v/>
      </c>
      <c r="X64" s="20">
        <f>DATA!F64</f>
        <v/>
      </c>
      <c r="Y64" s="19">
        <f>T64*(1+W64)</f>
        <v/>
      </c>
      <c r="Z64" s="19">
        <f>U64*(1+X64)</f>
        <v/>
      </c>
      <c r="AA64" s="19">
        <f>IF(AND(CONFIG!$B$11="Annual",MONTH(R64)=7),(Y64+Z64)*CONFIG!$B$6/12,AA63)</f>
        <v/>
      </c>
      <c r="AB64" s="19">
        <f>MAX(0,Z64-AA64)</f>
        <v/>
      </c>
      <c r="AC64">
        <f>IF(OR(MONTH(R64)=3,MONTH(R64)=6,MONTH(R64)=9,MONTH(R64)=12),"Y","N")</f>
        <v/>
      </c>
      <c r="AD64" s="21">
        <f>IF((Y64+AB64)=0,0,AB64/(Y64+AB64))</f>
        <v/>
      </c>
      <c r="AE64">
        <f>IF(AND(AC64="Y",OR(AD64&lt;CONFIG!$B$8,AD64&gt;CONFIG!$B$9)),"Y","N")</f>
        <v/>
      </c>
      <c r="AF64" s="19">
        <f>IF(AE64="Y",(Y64+AB64)*0.8,Y64)</f>
        <v/>
      </c>
      <c r="AG64" s="19">
        <f>IF(AE64="Y",(Y64+AB64)*0.2,AB64)</f>
        <v/>
      </c>
      <c r="AI64" s="18">
        <f>DATA!A64</f>
        <v/>
      </c>
      <c r="AJ64">
        <f>DATA!B64</f>
        <v/>
      </c>
      <c r="AK64" s="19">
        <f>AW63</f>
        <v/>
      </c>
      <c r="AL64" s="19">
        <f>AX63</f>
        <v/>
      </c>
      <c r="AM64" s="19">
        <f>AK64+AL64</f>
        <v/>
      </c>
      <c r="AN64" s="20">
        <f>DATA!E64</f>
        <v/>
      </c>
      <c r="AO64" s="20">
        <f>DATA!F64</f>
        <v/>
      </c>
      <c r="AP64" s="19">
        <f>AK64*(1+AN64)</f>
        <v/>
      </c>
      <c r="AQ64" s="19">
        <f>AL64*(1+AO64)</f>
        <v/>
      </c>
      <c r="AR64" s="19">
        <f>IF(AND(CONFIG!$B$11="Annual",MONTH(AI64)=7),(AP64+AQ64)*CONFIG!$B$6/12,AR63)</f>
        <v/>
      </c>
      <c r="AS64" s="19">
        <f>MAX(0,AQ64-AR64)</f>
        <v/>
      </c>
      <c r="AT64">
        <f>IF(OR(MONTH(AI64)=3,MONTH(AI64)=6,MONTH(AI64)=9,MONTH(AI64)=12),"Y","N")</f>
        <v/>
      </c>
      <c r="AU64" s="21">
        <f>IF((AP64+AS64)=0,0,AS64/(AP64+AS64))</f>
        <v/>
      </c>
      <c r="AV64">
        <f>IF(AND(AT64="Y",OR(AU64&lt;CONFIG!$B$8,AU64&gt;CONFIG!$B$9)),"Y","N")</f>
        <v/>
      </c>
      <c r="AW64" s="19">
        <f>IF(AV64="Y",(AP64+AS64)*0.8,AP64)</f>
        <v/>
      </c>
      <c r="AX64" s="19">
        <f>IF(AV64="Y",(AP64+AS64)*0.2,AS64)</f>
        <v/>
      </c>
    </row>
    <row r="65">
      <c r="A65" s="18">
        <f>DATA!A65</f>
        <v/>
      </c>
      <c r="B65">
        <f>DATA!B65</f>
        <v/>
      </c>
      <c r="C65" s="19">
        <f>O64</f>
        <v/>
      </c>
      <c r="D65" s="19">
        <f>P64</f>
        <v/>
      </c>
      <c r="E65" s="19">
        <f>C65+D65</f>
        <v/>
      </c>
      <c r="F65" s="20">
        <f>DATA!C65</f>
        <v/>
      </c>
      <c r="G65" s="20">
        <f>DATA!F65</f>
        <v/>
      </c>
      <c r="H65" s="19">
        <f>C65*(1+F65)</f>
        <v/>
      </c>
      <c r="I65" s="19">
        <f>D65*(1+G65)</f>
        <v/>
      </c>
      <c r="J65" s="19">
        <f>IF(AND(CONFIG!$B$11="Annual",MONTH(A65)=7),(H65+I65)*CONFIG!$B$6/12,J64)</f>
        <v/>
      </c>
      <c r="K65" s="19">
        <f>MAX(0,I65-J65)</f>
        <v/>
      </c>
      <c r="L65">
        <f>IF(OR(MONTH(A65)=3,MONTH(A65)=6,MONTH(A65)=9,MONTH(A65)=12),"Y","N")</f>
        <v/>
      </c>
      <c r="M65" s="21">
        <f>IF((H65+K65)=0,0,K65/(H65+K65))</f>
        <v/>
      </c>
      <c r="N65">
        <f>IF(AND(L65="Y",OR(M65&lt;CONFIG!$B$8,M65&gt;CONFIG!$B$9)),"Y","N")</f>
        <v/>
      </c>
      <c r="O65" s="19">
        <f>IF(N65="Y",(H65+K65)*0.8,H65)</f>
        <v/>
      </c>
      <c r="P65" s="19">
        <f>IF(N65="Y",(H65+K65)*0.2,K65)</f>
        <v/>
      </c>
      <c r="R65" s="18">
        <f>DATA!A65</f>
        <v/>
      </c>
      <c r="S65">
        <f>DATA!B65</f>
        <v/>
      </c>
      <c r="T65" s="19">
        <f>AF64</f>
        <v/>
      </c>
      <c r="U65" s="19">
        <f>AG64</f>
        <v/>
      </c>
      <c r="V65" s="19">
        <f>T65+U65</f>
        <v/>
      </c>
      <c r="W65" s="20">
        <f>DATA!D65</f>
        <v/>
      </c>
      <c r="X65" s="20">
        <f>DATA!F65</f>
        <v/>
      </c>
      <c r="Y65" s="19">
        <f>T65*(1+W65)</f>
        <v/>
      </c>
      <c r="Z65" s="19">
        <f>U65*(1+X65)</f>
        <v/>
      </c>
      <c r="AA65" s="19">
        <f>IF(AND(CONFIG!$B$11="Annual",MONTH(R65)=7),(Y65+Z65)*CONFIG!$B$6/12,AA64)</f>
        <v/>
      </c>
      <c r="AB65" s="19">
        <f>MAX(0,Z65-AA65)</f>
        <v/>
      </c>
      <c r="AC65">
        <f>IF(OR(MONTH(R65)=3,MONTH(R65)=6,MONTH(R65)=9,MONTH(R65)=12),"Y","N")</f>
        <v/>
      </c>
      <c r="AD65" s="21">
        <f>IF((Y65+AB65)=0,0,AB65/(Y65+AB65))</f>
        <v/>
      </c>
      <c r="AE65">
        <f>IF(AND(AC65="Y",OR(AD65&lt;CONFIG!$B$8,AD65&gt;CONFIG!$B$9)),"Y","N")</f>
        <v/>
      </c>
      <c r="AF65" s="19">
        <f>IF(AE65="Y",(Y65+AB65)*0.8,Y65)</f>
        <v/>
      </c>
      <c r="AG65" s="19">
        <f>IF(AE65="Y",(Y65+AB65)*0.2,AB65)</f>
        <v/>
      </c>
      <c r="AI65" s="18">
        <f>DATA!A65</f>
        <v/>
      </c>
      <c r="AJ65">
        <f>DATA!B65</f>
        <v/>
      </c>
      <c r="AK65" s="19">
        <f>AW64</f>
        <v/>
      </c>
      <c r="AL65" s="19">
        <f>AX64</f>
        <v/>
      </c>
      <c r="AM65" s="19">
        <f>AK65+AL65</f>
        <v/>
      </c>
      <c r="AN65" s="20">
        <f>DATA!E65</f>
        <v/>
      </c>
      <c r="AO65" s="20">
        <f>DATA!F65</f>
        <v/>
      </c>
      <c r="AP65" s="19">
        <f>AK65*(1+AN65)</f>
        <v/>
      </c>
      <c r="AQ65" s="19">
        <f>AL65*(1+AO65)</f>
        <v/>
      </c>
      <c r="AR65" s="19">
        <f>IF(AND(CONFIG!$B$11="Annual",MONTH(AI65)=7),(AP65+AQ65)*CONFIG!$B$6/12,AR64)</f>
        <v/>
      </c>
      <c r="AS65" s="19">
        <f>MAX(0,AQ65-AR65)</f>
        <v/>
      </c>
      <c r="AT65">
        <f>IF(OR(MONTH(AI65)=3,MONTH(AI65)=6,MONTH(AI65)=9,MONTH(AI65)=12),"Y","N")</f>
        <v/>
      </c>
      <c r="AU65" s="21">
        <f>IF((AP65+AS65)=0,0,AS65/(AP65+AS65))</f>
        <v/>
      </c>
      <c r="AV65">
        <f>IF(AND(AT65="Y",OR(AU65&lt;CONFIG!$B$8,AU65&gt;CONFIG!$B$9)),"Y","N")</f>
        <v/>
      </c>
      <c r="AW65" s="19">
        <f>IF(AV65="Y",(AP65+AS65)*0.8,AP65)</f>
        <v/>
      </c>
      <c r="AX65" s="19">
        <f>IF(AV65="Y",(AP65+AS65)*0.2,AS65)</f>
        <v/>
      </c>
    </row>
    <row r="66">
      <c r="A66" s="18">
        <f>DATA!A66</f>
        <v/>
      </c>
      <c r="B66">
        <f>DATA!B66</f>
        <v/>
      </c>
      <c r="C66" s="19">
        <f>O65</f>
        <v/>
      </c>
      <c r="D66" s="19">
        <f>P65</f>
        <v/>
      </c>
      <c r="E66" s="19">
        <f>C66+D66</f>
        <v/>
      </c>
      <c r="F66" s="20">
        <f>DATA!C66</f>
        <v/>
      </c>
      <c r="G66" s="20">
        <f>DATA!F66</f>
        <v/>
      </c>
      <c r="H66" s="19">
        <f>C66*(1+F66)</f>
        <v/>
      </c>
      <c r="I66" s="19">
        <f>D66*(1+G66)</f>
        <v/>
      </c>
      <c r="J66" s="19">
        <f>IF(AND(CONFIG!$B$11="Annual",MONTH(A66)=7),(H66+I66)*CONFIG!$B$6/12,J65)</f>
        <v/>
      </c>
      <c r="K66" s="19">
        <f>MAX(0,I66-J66)</f>
        <v/>
      </c>
      <c r="L66">
        <f>IF(OR(MONTH(A66)=3,MONTH(A66)=6,MONTH(A66)=9,MONTH(A66)=12),"Y","N")</f>
        <v/>
      </c>
      <c r="M66" s="21">
        <f>IF((H66+K66)=0,0,K66/(H66+K66))</f>
        <v/>
      </c>
      <c r="N66">
        <f>IF(AND(L66="Y",OR(M66&lt;CONFIG!$B$8,M66&gt;CONFIG!$B$9)),"Y","N")</f>
        <v/>
      </c>
      <c r="O66" s="19">
        <f>IF(N66="Y",(H66+K66)*0.8,H66)</f>
        <v/>
      </c>
      <c r="P66" s="19">
        <f>IF(N66="Y",(H66+K66)*0.2,K66)</f>
        <v/>
      </c>
      <c r="R66" s="18">
        <f>DATA!A66</f>
        <v/>
      </c>
      <c r="S66">
        <f>DATA!B66</f>
        <v/>
      </c>
      <c r="T66" s="19">
        <f>AF65</f>
        <v/>
      </c>
      <c r="U66" s="19">
        <f>AG65</f>
        <v/>
      </c>
      <c r="V66" s="19">
        <f>T66+U66</f>
        <v/>
      </c>
      <c r="W66" s="20">
        <f>DATA!D66</f>
        <v/>
      </c>
      <c r="X66" s="20">
        <f>DATA!F66</f>
        <v/>
      </c>
      <c r="Y66" s="19">
        <f>T66*(1+W66)</f>
        <v/>
      </c>
      <c r="Z66" s="19">
        <f>U66*(1+X66)</f>
        <v/>
      </c>
      <c r="AA66" s="19">
        <f>IF(AND(CONFIG!$B$11="Annual",MONTH(R66)=7),(Y66+Z66)*CONFIG!$B$6/12,AA65)</f>
        <v/>
      </c>
      <c r="AB66" s="19">
        <f>MAX(0,Z66-AA66)</f>
        <v/>
      </c>
      <c r="AC66">
        <f>IF(OR(MONTH(R66)=3,MONTH(R66)=6,MONTH(R66)=9,MONTH(R66)=12),"Y","N")</f>
        <v/>
      </c>
      <c r="AD66" s="21">
        <f>IF((Y66+AB66)=0,0,AB66/(Y66+AB66))</f>
        <v/>
      </c>
      <c r="AE66">
        <f>IF(AND(AC66="Y",OR(AD66&lt;CONFIG!$B$8,AD66&gt;CONFIG!$B$9)),"Y","N")</f>
        <v/>
      </c>
      <c r="AF66" s="19">
        <f>IF(AE66="Y",(Y66+AB66)*0.8,Y66)</f>
        <v/>
      </c>
      <c r="AG66" s="19">
        <f>IF(AE66="Y",(Y66+AB66)*0.2,AB66)</f>
        <v/>
      </c>
      <c r="AI66" s="18">
        <f>DATA!A66</f>
        <v/>
      </c>
      <c r="AJ66">
        <f>DATA!B66</f>
        <v/>
      </c>
      <c r="AK66" s="19">
        <f>AW65</f>
        <v/>
      </c>
      <c r="AL66" s="19">
        <f>AX65</f>
        <v/>
      </c>
      <c r="AM66" s="19">
        <f>AK66+AL66</f>
        <v/>
      </c>
      <c r="AN66" s="20">
        <f>DATA!E66</f>
        <v/>
      </c>
      <c r="AO66" s="20">
        <f>DATA!F66</f>
        <v/>
      </c>
      <c r="AP66" s="19">
        <f>AK66*(1+AN66)</f>
        <v/>
      </c>
      <c r="AQ66" s="19">
        <f>AL66*(1+AO66)</f>
        <v/>
      </c>
      <c r="AR66" s="19">
        <f>IF(AND(CONFIG!$B$11="Annual",MONTH(AI66)=7),(AP66+AQ66)*CONFIG!$B$6/12,AR65)</f>
        <v/>
      </c>
      <c r="AS66" s="19">
        <f>MAX(0,AQ66-AR66)</f>
        <v/>
      </c>
      <c r="AT66">
        <f>IF(OR(MONTH(AI66)=3,MONTH(AI66)=6,MONTH(AI66)=9,MONTH(AI66)=12),"Y","N")</f>
        <v/>
      </c>
      <c r="AU66" s="21">
        <f>IF((AP66+AS66)=0,0,AS66/(AP66+AS66))</f>
        <v/>
      </c>
      <c r="AV66">
        <f>IF(AND(AT66="Y",OR(AU66&lt;CONFIG!$B$8,AU66&gt;CONFIG!$B$9)),"Y","N")</f>
        <v/>
      </c>
      <c r="AW66" s="19">
        <f>IF(AV66="Y",(AP66+AS66)*0.8,AP66)</f>
        <v/>
      </c>
      <c r="AX66" s="19">
        <f>IF(AV66="Y",(AP66+AS66)*0.2,AS66)</f>
        <v/>
      </c>
    </row>
    <row r="67">
      <c r="A67" s="18">
        <f>DATA!A67</f>
        <v/>
      </c>
      <c r="B67">
        <f>DATA!B67</f>
        <v/>
      </c>
      <c r="C67" s="19">
        <f>O66</f>
        <v/>
      </c>
      <c r="D67" s="19">
        <f>P66</f>
        <v/>
      </c>
      <c r="E67" s="19">
        <f>C67+D67</f>
        <v/>
      </c>
      <c r="F67" s="20">
        <f>DATA!C67</f>
        <v/>
      </c>
      <c r="G67" s="20">
        <f>DATA!F67</f>
        <v/>
      </c>
      <c r="H67" s="19">
        <f>C67*(1+F67)</f>
        <v/>
      </c>
      <c r="I67" s="19">
        <f>D67*(1+G67)</f>
        <v/>
      </c>
      <c r="J67" s="19">
        <f>IF(AND(CONFIG!$B$11="Annual",MONTH(A67)=7),(H67+I67)*CONFIG!$B$6/12,J66)</f>
        <v/>
      </c>
      <c r="K67" s="19">
        <f>MAX(0,I67-J67)</f>
        <v/>
      </c>
      <c r="L67">
        <f>IF(OR(MONTH(A67)=3,MONTH(A67)=6,MONTH(A67)=9,MONTH(A67)=12),"Y","N")</f>
        <v/>
      </c>
      <c r="M67" s="21">
        <f>IF((H67+K67)=0,0,K67/(H67+K67))</f>
        <v/>
      </c>
      <c r="N67">
        <f>IF(AND(L67="Y",OR(M67&lt;CONFIG!$B$8,M67&gt;CONFIG!$B$9)),"Y","N")</f>
        <v/>
      </c>
      <c r="O67" s="19">
        <f>IF(N67="Y",(H67+K67)*0.8,H67)</f>
        <v/>
      </c>
      <c r="P67" s="19">
        <f>IF(N67="Y",(H67+K67)*0.2,K67)</f>
        <v/>
      </c>
      <c r="R67" s="18">
        <f>DATA!A67</f>
        <v/>
      </c>
      <c r="S67">
        <f>DATA!B67</f>
        <v/>
      </c>
      <c r="T67" s="19">
        <f>AF66</f>
        <v/>
      </c>
      <c r="U67" s="19">
        <f>AG66</f>
        <v/>
      </c>
      <c r="V67" s="19">
        <f>T67+U67</f>
        <v/>
      </c>
      <c r="W67" s="20">
        <f>DATA!D67</f>
        <v/>
      </c>
      <c r="X67" s="20">
        <f>DATA!F67</f>
        <v/>
      </c>
      <c r="Y67" s="19">
        <f>T67*(1+W67)</f>
        <v/>
      </c>
      <c r="Z67" s="19">
        <f>U67*(1+X67)</f>
        <v/>
      </c>
      <c r="AA67" s="19">
        <f>IF(AND(CONFIG!$B$11="Annual",MONTH(R67)=7),(Y67+Z67)*CONFIG!$B$6/12,AA66)</f>
        <v/>
      </c>
      <c r="AB67" s="19">
        <f>MAX(0,Z67-AA67)</f>
        <v/>
      </c>
      <c r="AC67">
        <f>IF(OR(MONTH(R67)=3,MONTH(R67)=6,MONTH(R67)=9,MONTH(R67)=12),"Y","N")</f>
        <v/>
      </c>
      <c r="AD67" s="21">
        <f>IF((Y67+AB67)=0,0,AB67/(Y67+AB67))</f>
        <v/>
      </c>
      <c r="AE67">
        <f>IF(AND(AC67="Y",OR(AD67&lt;CONFIG!$B$8,AD67&gt;CONFIG!$B$9)),"Y","N")</f>
        <v/>
      </c>
      <c r="AF67" s="19">
        <f>IF(AE67="Y",(Y67+AB67)*0.8,Y67)</f>
        <v/>
      </c>
      <c r="AG67" s="19">
        <f>IF(AE67="Y",(Y67+AB67)*0.2,AB67)</f>
        <v/>
      </c>
      <c r="AI67" s="18">
        <f>DATA!A67</f>
        <v/>
      </c>
      <c r="AJ67">
        <f>DATA!B67</f>
        <v/>
      </c>
      <c r="AK67" s="19">
        <f>AW66</f>
        <v/>
      </c>
      <c r="AL67" s="19">
        <f>AX66</f>
        <v/>
      </c>
      <c r="AM67" s="19">
        <f>AK67+AL67</f>
        <v/>
      </c>
      <c r="AN67" s="20">
        <f>DATA!E67</f>
        <v/>
      </c>
      <c r="AO67" s="20">
        <f>DATA!F67</f>
        <v/>
      </c>
      <c r="AP67" s="19">
        <f>AK67*(1+AN67)</f>
        <v/>
      </c>
      <c r="AQ67" s="19">
        <f>AL67*(1+AO67)</f>
        <v/>
      </c>
      <c r="AR67" s="19">
        <f>IF(AND(CONFIG!$B$11="Annual",MONTH(AI67)=7),(AP67+AQ67)*CONFIG!$B$6/12,AR66)</f>
        <v/>
      </c>
      <c r="AS67" s="19">
        <f>MAX(0,AQ67-AR67)</f>
        <v/>
      </c>
      <c r="AT67">
        <f>IF(OR(MONTH(AI67)=3,MONTH(AI67)=6,MONTH(AI67)=9,MONTH(AI67)=12),"Y","N")</f>
        <v/>
      </c>
      <c r="AU67" s="21">
        <f>IF((AP67+AS67)=0,0,AS67/(AP67+AS67))</f>
        <v/>
      </c>
      <c r="AV67">
        <f>IF(AND(AT67="Y",OR(AU67&lt;CONFIG!$B$8,AU67&gt;CONFIG!$B$9)),"Y","N")</f>
        <v/>
      </c>
      <c r="AW67" s="19">
        <f>IF(AV67="Y",(AP67+AS67)*0.8,AP67)</f>
        <v/>
      </c>
      <c r="AX67" s="19">
        <f>IF(AV67="Y",(AP67+AS67)*0.2,AS67)</f>
        <v/>
      </c>
    </row>
    <row r="68">
      <c r="A68" s="18">
        <f>DATA!A68</f>
        <v/>
      </c>
      <c r="B68">
        <f>DATA!B68</f>
        <v/>
      </c>
      <c r="C68" s="19">
        <f>O67</f>
        <v/>
      </c>
      <c r="D68" s="19">
        <f>P67</f>
        <v/>
      </c>
      <c r="E68" s="19">
        <f>C68+D68</f>
        <v/>
      </c>
      <c r="F68" s="20">
        <f>DATA!C68</f>
        <v/>
      </c>
      <c r="G68" s="20">
        <f>DATA!F68</f>
        <v/>
      </c>
      <c r="H68" s="19">
        <f>C68*(1+F68)</f>
        <v/>
      </c>
      <c r="I68" s="19">
        <f>D68*(1+G68)</f>
        <v/>
      </c>
      <c r="J68" s="19">
        <f>IF(AND(CONFIG!$B$11="Annual",MONTH(A68)=7),(H68+I68)*CONFIG!$B$6/12,J67)</f>
        <v/>
      </c>
      <c r="K68" s="19">
        <f>MAX(0,I68-J68)</f>
        <v/>
      </c>
      <c r="L68">
        <f>IF(OR(MONTH(A68)=3,MONTH(A68)=6,MONTH(A68)=9,MONTH(A68)=12),"Y","N")</f>
        <v/>
      </c>
      <c r="M68" s="21">
        <f>IF((H68+K68)=0,0,K68/(H68+K68))</f>
        <v/>
      </c>
      <c r="N68">
        <f>IF(AND(L68="Y",OR(M68&lt;CONFIG!$B$8,M68&gt;CONFIG!$B$9)),"Y","N")</f>
        <v/>
      </c>
      <c r="O68" s="19">
        <f>IF(N68="Y",(H68+K68)*0.8,H68)</f>
        <v/>
      </c>
      <c r="P68" s="19">
        <f>IF(N68="Y",(H68+K68)*0.2,K68)</f>
        <v/>
      </c>
      <c r="R68" s="18">
        <f>DATA!A68</f>
        <v/>
      </c>
      <c r="S68">
        <f>DATA!B68</f>
        <v/>
      </c>
      <c r="T68" s="19">
        <f>AF67</f>
        <v/>
      </c>
      <c r="U68" s="19">
        <f>AG67</f>
        <v/>
      </c>
      <c r="V68" s="19">
        <f>T68+U68</f>
        <v/>
      </c>
      <c r="W68" s="20">
        <f>DATA!D68</f>
        <v/>
      </c>
      <c r="X68" s="20">
        <f>DATA!F68</f>
        <v/>
      </c>
      <c r="Y68" s="19">
        <f>T68*(1+W68)</f>
        <v/>
      </c>
      <c r="Z68" s="19">
        <f>U68*(1+X68)</f>
        <v/>
      </c>
      <c r="AA68" s="19">
        <f>IF(AND(CONFIG!$B$11="Annual",MONTH(R68)=7),(Y68+Z68)*CONFIG!$B$6/12,AA67)</f>
        <v/>
      </c>
      <c r="AB68" s="19">
        <f>MAX(0,Z68-AA68)</f>
        <v/>
      </c>
      <c r="AC68">
        <f>IF(OR(MONTH(R68)=3,MONTH(R68)=6,MONTH(R68)=9,MONTH(R68)=12),"Y","N")</f>
        <v/>
      </c>
      <c r="AD68" s="21">
        <f>IF((Y68+AB68)=0,0,AB68/(Y68+AB68))</f>
        <v/>
      </c>
      <c r="AE68">
        <f>IF(AND(AC68="Y",OR(AD68&lt;CONFIG!$B$8,AD68&gt;CONFIG!$B$9)),"Y","N")</f>
        <v/>
      </c>
      <c r="AF68" s="19">
        <f>IF(AE68="Y",(Y68+AB68)*0.8,Y68)</f>
        <v/>
      </c>
      <c r="AG68" s="19">
        <f>IF(AE68="Y",(Y68+AB68)*0.2,AB68)</f>
        <v/>
      </c>
      <c r="AI68" s="18">
        <f>DATA!A68</f>
        <v/>
      </c>
      <c r="AJ68">
        <f>DATA!B68</f>
        <v/>
      </c>
      <c r="AK68" s="19">
        <f>AW67</f>
        <v/>
      </c>
      <c r="AL68" s="19">
        <f>AX67</f>
        <v/>
      </c>
      <c r="AM68" s="19">
        <f>AK68+AL68</f>
        <v/>
      </c>
      <c r="AN68" s="20">
        <f>DATA!E68</f>
        <v/>
      </c>
      <c r="AO68" s="20">
        <f>DATA!F68</f>
        <v/>
      </c>
      <c r="AP68" s="19">
        <f>AK68*(1+AN68)</f>
        <v/>
      </c>
      <c r="AQ68" s="19">
        <f>AL68*(1+AO68)</f>
        <v/>
      </c>
      <c r="AR68" s="19">
        <f>IF(AND(CONFIG!$B$11="Annual",MONTH(AI68)=7),(AP68+AQ68)*CONFIG!$B$6/12,AR67)</f>
        <v/>
      </c>
      <c r="AS68" s="19">
        <f>MAX(0,AQ68-AR68)</f>
        <v/>
      </c>
      <c r="AT68">
        <f>IF(OR(MONTH(AI68)=3,MONTH(AI68)=6,MONTH(AI68)=9,MONTH(AI68)=12),"Y","N")</f>
        <v/>
      </c>
      <c r="AU68" s="21">
        <f>IF((AP68+AS68)=0,0,AS68/(AP68+AS68))</f>
        <v/>
      </c>
      <c r="AV68">
        <f>IF(AND(AT68="Y",OR(AU68&lt;CONFIG!$B$8,AU68&gt;CONFIG!$B$9)),"Y","N")</f>
        <v/>
      </c>
      <c r="AW68" s="19">
        <f>IF(AV68="Y",(AP68+AS68)*0.8,AP68)</f>
        <v/>
      </c>
      <c r="AX68" s="19">
        <f>IF(AV68="Y",(AP68+AS68)*0.2,AS68)</f>
        <v/>
      </c>
    </row>
    <row r="69">
      <c r="A69" s="18">
        <f>DATA!A69</f>
        <v/>
      </c>
      <c r="B69">
        <f>DATA!B69</f>
        <v/>
      </c>
      <c r="C69" s="19">
        <f>O68</f>
        <v/>
      </c>
      <c r="D69" s="19">
        <f>P68</f>
        <v/>
      </c>
      <c r="E69" s="19">
        <f>C69+D69</f>
        <v/>
      </c>
      <c r="F69" s="20">
        <f>DATA!C69</f>
        <v/>
      </c>
      <c r="G69" s="20">
        <f>DATA!F69</f>
        <v/>
      </c>
      <c r="H69" s="19">
        <f>C69*(1+F69)</f>
        <v/>
      </c>
      <c r="I69" s="19">
        <f>D69*(1+G69)</f>
        <v/>
      </c>
      <c r="J69" s="19">
        <f>IF(AND(CONFIG!$B$11="Annual",MONTH(A69)=7),(H69+I69)*CONFIG!$B$6/12,J68)</f>
        <v/>
      </c>
      <c r="K69" s="19">
        <f>MAX(0,I69-J69)</f>
        <v/>
      </c>
      <c r="L69">
        <f>IF(OR(MONTH(A69)=3,MONTH(A69)=6,MONTH(A69)=9,MONTH(A69)=12),"Y","N")</f>
        <v/>
      </c>
      <c r="M69" s="21">
        <f>IF((H69+K69)=0,0,K69/(H69+K69))</f>
        <v/>
      </c>
      <c r="N69">
        <f>IF(AND(L69="Y",OR(M69&lt;CONFIG!$B$8,M69&gt;CONFIG!$B$9)),"Y","N")</f>
        <v/>
      </c>
      <c r="O69" s="19">
        <f>IF(N69="Y",(H69+K69)*0.8,H69)</f>
        <v/>
      </c>
      <c r="P69" s="19">
        <f>IF(N69="Y",(H69+K69)*0.2,K69)</f>
        <v/>
      </c>
      <c r="R69" s="18">
        <f>DATA!A69</f>
        <v/>
      </c>
      <c r="S69">
        <f>DATA!B69</f>
        <v/>
      </c>
      <c r="T69" s="19">
        <f>AF68</f>
        <v/>
      </c>
      <c r="U69" s="19">
        <f>AG68</f>
        <v/>
      </c>
      <c r="V69" s="19">
        <f>T69+U69</f>
        <v/>
      </c>
      <c r="W69" s="20">
        <f>DATA!D69</f>
        <v/>
      </c>
      <c r="X69" s="20">
        <f>DATA!F69</f>
        <v/>
      </c>
      <c r="Y69" s="19">
        <f>T69*(1+W69)</f>
        <v/>
      </c>
      <c r="Z69" s="19">
        <f>U69*(1+X69)</f>
        <v/>
      </c>
      <c r="AA69" s="19">
        <f>IF(AND(CONFIG!$B$11="Annual",MONTH(R69)=7),(Y69+Z69)*CONFIG!$B$6/12,AA68)</f>
        <v/>
      </c>
      <c r="AB69" s="19">
        <f>MAX(0,Z69-AA69)</f>
        <v/>
      </c>
      <c r="AC69">
        <f>IF(OR(MONTH(R69)=3,MONTH(R69)=6,MONTH(R69)=9,MONTH(R69)=12),"Y","N")</f>
        <v/>
      </c>
      <c r="AD69" s="21">
        <f>IF((Y69+AB69)=0,0,AB69/(Y69+AB69))</f>
        <v/>
      </c>
      <c r="AE69">
        <f>IF(AND(AC69="Y",OR(AD69&lt;CONFIG!$B$8,AD69&gt;CONFIG!$B$9)),"Y","N")</f>
        <v/>
      </c>
      <c r="AF69" s="19">
        <f>IF(AE69="Y",(Y69+AB69)*0.8,Y69)</f>
        <v/>
      </c>
      <c r="AG69" s="19">
        <f>IF(AE69="Y",(Y69+AB69)*0.2,AB69)</f>
        <v/>
      </c>
      <c r="AI69" s="18">
        <f>DATA!A69</f>
        <v/>
      </c>
      <c r="AJ69">
        <f>DATA!B69</f>
        <v/>
      </c>
      <c r="AK69" s="19">
        <f>AW68</f>
        <v/>
      </c>
      <c r="AL69" s="19">
        <f>AX68</f>
        <v/>
      </c>
      <c r="AM69" s="19">
        <f>AK69+AL69</f>
        <v/>
      </c>
      <c r="AN69" s="20">
        <f>DATA!E69</f>
        <v/>
      </c>
      <c r="AO69" s="20">
        <f>DATA!F69</f>
        <v/>
      </c>
      <c r="AP69" s="19">
        <f>AK69*(1+AN69)</f>
        <v/>
      </c>
      <c r="AQ69" s="19">
        <f>AL69*(1+AO69)</f>
        <v/>
      </c>
      <c r="AR69" s="19">
        <f>IF(AND(CONFIG!$B$11="Annual",MONTH(AI69)=7),(AP69+AQ69)*CONFIG!$B$6/12,AR68)</f>
        <v/>
      </c>
      <c r="AS69" s="19">
        <f>MAX(0,AQ69-AR69)</f>
        <v/>
      </c>
      <c r="AT69">
        <f>IF(OR(MONTH(AI69)=3,MONTH(AI69)=6,MONTH(AI69)=9,MONTH(AI69)=12),"Y","N")</f>
        <v/>
      </c>
      <c r="AU69" s="21">
        <f>IF((AP69+AS69)=0,0,AS69/(AP69+AS69))</f>
        <v/>
      </c>
      <c r="AV69">
        <f>IF(AND(AT69="Y",OR(AU69&lt;CONFIG!$B$8,AU69&gt;CONFIG!$B$9)),"Y","N")</f>
        <v/>
      </c>
      <c r="AW69" s="19">
        <f>IF(AV69="Y",(AP69+AS69)*0.8,AP69)</f>
        <v/>
      </c>
      <c r="AX69" s="19">
        <f>IF(AV69="Y",(AP69+AS69)*0.2,AS69)</f>
        <v/>
      </c>
    </row>
    <row r="70">
      <c r="A70" s="18">
        <f>DATA!A70</f>
        <v/>
      </c>
      <c r="B70">
        <f>DATA!B70</f>
        <v/>
      </c>
      <c r="C70" s="19">
        <f>O69</f>
        <v/>
      </c>
      <c r="D70" s="19">
        <f>P69</f>
        <v/>
      </c>
      <c r="E70" s="19">
        <f>C70+D70</f>
        <v/>
      </c>
      <c r="F70" s="20">
        <f>DATA!C70</f>
        <v/>
      </c>
      <c r="G70" s="20">
        <f>DATA!F70</f>
        <v/>
      </c>
      <c r="H70" s="19">
        <f>C70*(1+F70)</f>
        <v/>
      </c>
      <c r="I70" s="19">
        <f>D70*(1+G70)</f>
        <v/>
      </c>
      <c r="J70" s="19">
        <f>IF(AND(CONFIG!$B$11="Annual",MONTH(A70)=7),(H70+I70)*CONFIG!$B$6/12,J69)</f>
        <v/>
      </c>
      <c r="K70" s="19">
        <f>MAX(0,I70-J70)</f>
        <v/>
      </c>
      <c r="L70">
        <f>IF(OR(MONTH(A70)=3,MONTH(A70)=6,MONTH(A70)=9,MONTH(A70)=12),"Y","N")</f>
        <v/>
      </c>
      <c r="M70" s="21">
        <f>IF((H70+K70)=0,0,K70/(H70+K70))</f>
        <v/>
      </c>
      <c r="N70">
        <f>IF(AND(L70="Y",OR(M70&lt;CONFIG!$B$8,M70&gt;CONFIG!$B$9)),"Y","N")</f>
        <v/>
      </c>
      <c r="O70" s="19">
        <f>IF(N70="Y",(H70+K70)*0.8,H70)</f>
        <v/>
      </c>
      <c r="P70" s="19">
        <f>IF(N70="Y",(H70+K70)*0.2,K70)</f>
        <v/>
      </c>
      <c r="R70" s="18">
        <f>DATA!A70</f>
        <v/>
      </c>
      <c r="S70">
        <f>DATA!B70</f>
        <v/>
      </c>
      <c r="T70" s="19">
        <f>AF69</f>
        <v/>
      </c>
      <c r="U70" s="19">
        <f>AG69</f>
        <v/>
      </c>
      <c r="V70" s="19">
        <f>T70+U70</f>
        <v/>
      </c>
      <c r="W70" s="20">
        <f>DATA!D70</f>
        <v/>
      </c>
      <c r="X70" s="20">
        <f>DATA!F70</f>
        <v/>
      </c>
      <c r="Y70" s="19">
        <f>T70*(1+W70)</f>
        <v/>
      </c>
      <c r="Z70" s="19">
        <f>U70*(1+X70)</f>
        <v/>
      </c>
      <c r="AA70" s="19">
        <f>IF(AND(CONFIG!$B$11="Annual",MONTH(R70)=7),(Y70+Z70)*CONFIG!$B$6/12,AA69)</f>
        <v/>
      </c>
      <c r="AB70" s="19">
        <f>MAX(0,Z70-AA70)</f>
        <v/>
      </c>
      <c r="AC70">
        <f>IF(OR(MONTH(R70)=3,MONTH(R70)=6,MONTH(R70)=9,MONTH(R70)=12),"Y","N")</f>
        <v/>
      </c>
      <c r="AD70" s="21">
        <f>IF((Y70+AB70)=0,0,AB70/(Y70+AB70))</f>
        <v/>
      </c>
      <c r="AE70">
        <f>IF(AND(AC70="Y",OR(AD70&lt;CONFIG!$B$8,AD70&gt;CONFIG!$B$9)),"Y","N")</f>
        <v/>
      </c>
      <c r="AF70" s="19">
        <f>IF(AE70="Y",(Y70+AB70)*0.8,Y70)</f>
        <v/>
      </c>
      <c r="AG70" s="19">
        <f>IF(AE70="Y",(Y70+AB70)*0.2,AB70)</f>
        <v/>
      </c>
      <c r="AI70" s="18">
        <f>DATA!A70</f>
        <v/>
      </c>
      <c r="AJ70">
        <f>DATA!B70</f>
        <v/>
      </c>
      <c r="AK70" s="19">
        <f>AW69</f>
        <v/>
      </c>
      <c r="AL70" s="19">
        <f>AX69</f>
        <v/>
      </c>
      <c r="AM70" s="19">
        <f>AK70+AL70</f>
        <v/>
      </c>
      <c r="AN70" s="20">
        <f>DATA!E70</f>
        <v/>
      </c>
      <c r="AO70" s="20">
        <f>DATA!F70</f>
        <v/>
      </c>
      <c r="AP70" s="19">
        <f>AK70*(1+AN70)</f>
        <v/>
      </c>
      <c r="AQ70" s="19">
        <f>AL70*(1+AO70)</f>
        <v/>
      </c>
      <c r="AR70" s="19">
        <f>IF(AND(CONFIG!$B$11="Annual",MONTH(AI70)=7),(AP70+AQ70)*CONFIG!$B$6/12,AR69)</f>
        <v/>
      </c>
      <c r="AS70" s="19">
        <f>MAX(0,AQ70-AR70)</f>
        <v/>
      </c>
      <c r="AT70">
        <f>IF(OR(MONTH(AI70)=3,MONTH(AI70)=6,MONTH(AI70)=9,MONTH(AI70)=12),"Y","N")</f>
        <v/>
      </c>
      <c r="AU70" s="21">
        <f>IF((AP70+AS70)=0,0,AS70/(AP70+AS70))</f>
        <v/>
      </c>
      <c r="AV70">
        <f>IF(AND(AT70="Y",OR(AU70&lt;CONFIG!$B$8,AU70&gt;CONFIG!$B$9)),"Y","N")</f>
        <v/>
      </c>
      <c r="AW70" s="19">
        <f>IF(AV70="Y",(AP70+AS70)*0.8,AP70)</f>
        <v/>
      </c>
      <c r="AX70" s="19">
        <f>IF(AV70="Y",(AP70+AS70)*0.2,AS70)</f>
        <v/>
      </c>
    </row>
    <row r="71">
      <c r="A71" s="18">
        <f>DATA!A71</f>
        <v/>
      </c>
      <c r="B71">
        <f>DATA!B71</f>
        <v/>
      </c>
      <c r="C71" s="19">
        <f>O70</f>
        <v/>
      </c>
      <c r="D71" s="19">
        <f>P70</f>
        <v/>
      </c>
      <c r="E71" s="19">
        <f>C71+D71</f>
        <v/>
      </c>
      <c r="F71" s="20">
        <f>DATA!C71</f>
        <v/>
      </c>
      <c r="G71" s="20">
        <f>DATA!F71</f>
        <v/>
      </c>
      <c r="H71" s="19">
        <f>C71*(1+F71)</f>
        <v/>
      </c>
      <c r="I71" s="19">
        <f>D71*(1+G71)</f>
        <v/>
      </c>
      <c r="J71" s="19">
        <f>IF(AND(CONFIG!$B$11="Annual",MONTH(A71)=7),(H71+I71)*CONFIG!$B$6/12,J70)</f>
        <v/>
      </c>
      <c r="K71" s="19">
        <f>MAX(0,I71-J71)</f>
        <v/>
      </c>
      <c r="L71">
        <f>IF(OR(MONTH(A71)=3,MONTH(A71)=6,MONTH(A71)=9,MONTH(A71)=12),"Y","N")</f>
        <v/>
      </c>
      <c r="M71" s="21">
        <f>IF((H71+K71)=0,0,K71/(H71+K71))</f>
        <v/>
      </c>
      <c r="N71">
        <f>IF(AND(L71="Y",OR(M71&lt;CONFIG!$B$8,M71&gt;CONFIG!$B$9)),"Y","N")</f>
        <v/>
      </c>
      <c r="O71" s="19">
        <f>IF(N71="Y",(H71+K71)*0.8,H71)</f>
        <v/>
      </c>
      <c r="P71" s="19">
        <f>IF(N71="Y",(H71+K71)*0.2,K71)</f>
        <v/>
      </c>
      <c r="R71" s="18">
        <f>DATA!A71</f>
        <v/>
      </c>
      <c r="S71">
        <f>DATA!B71</f>
        <v/>
      </c>
      <c r="T71" s="19">
        <f>AF70</f>
        <v/>
      </c>
      <c r="U71" s="19">
        <f>AG70</f>
        <v/>
      </c>
      <c r="V71" s="19">
        <f>T71+U71</f>
        <v/>
      </c>
      <c r="W71" s="20">
        <f>DATA!D71</f>
        <v/>
      </c>
      <c r="X71" s="20">
        <f>DATA!F71</f>
        <v/>
      </c>
      <c r="Y71" s="19">
        <f>T71*(1+W71)</f>
        <v/>
      </c>
      <c r="Z71" s="19">
        <f>U71*(1+X71)</f>
        <v/>
      </c>
      <c r="AA71" s="19">
        <f>IF(AND(CONFIG!$B$11="Annual",MONTH(R71)=7),(Y71+Z71)*CONFIG!$B$6/12,AA70)</f>
        <v/>
      </c>
      <c r="AB71" s="19">
        <f>MAX(0,Z71-AA71)</f>
        <v/>
      </c>
      <c r="AC71">
        <f>IF(OR(MONTH(R71)=3,MONTH(R71)=6,MONTH(R71)=9,MONTH(R71)=12),"Y","N")</f>
        <v/>
      </c>
      <c r="AD71" s="21">
        <f>IF((Y71+AB71)=0,0,AB71/(Y71+AB71))</f>
        <v/>
      </c>
      <c r="AE71">
        <f>IF(AND(AC71="Y",OR(AD71&lt;CONFIG!$B$8,AD71&gt;CONFIG!$B$9)),"Y","N")</f>
        <v/>
      </c>
      <c r="AF71" s="19">
        <f>IF(AE71="Y",(Y71+AB71)*0.8,Y71)</f>
        <v/>
      </c>
      <c r="AG71" s="19">
        <f>IF(AE71="Y",(Y71+AB71)*0.2,AB71)</f>
        <v/>
      </c>
      <c r="AI71" s="18">
        <f>DATA!A71</f>
        <v/>
      </c>
      <c r="AJ71">
        <f>DATA!B71</f>
        <v/>
      </c>
      <c r="AK71" s="19">
        <f>AW70</f>
        <v/>
      </c>
      <c r="AL71" s="19">
        <f>AX70</f>
        <v/>
      </c>
      <c r="AM71" s="19">
        <f>AK71+AL71</f>
        <v/>
      </c>
      <c r="AN71" s="20">
        <f>DATA!E71</f>
        <v/>
      </c>
      <c r="AO71" s="20">
        <f>DATA!F71</f>
        <v/>
      </c>
      <c r="AP71" s="19">
        <f>AK71*(1+AN71)</f>
        <v/>
      </c>
      <c r="AQ71" s="19">
        <f>AL71*(1+AO71)</f>
        <v/>
      </c>
      <c r="AR71" s="19">
        <f>IF(AND(CONFIG!$B$11="Annual",MONTH(AI71)=7),(AP71+AQ71)*CONFIG!$B$6/12,AR70)</f>
        <v/>
      </c>
      <c r="AS71" s="19">
        <f>MAX(0,AQ71-AR71)</f>
        <v/>
      </c>
      <c r="AT71">
        <f>IF(OR(MONTH(AI71)=3,MONTH(AI71)=6,MONTH(AI71)=9,MONTH(AI71)=12),"Y","N")</f>
        <v/>
      </c>
      <c r="AU71" s="21">
        <f>IF((AP71+AS71)=0,0,AS71/(AP71+AS71))</f>
        <v/>
      </c>
      <c r="AV71">
        <f>IF(AND(AT71="Y",OR(AU71&lt;CONFIG!$B$8,AU71&gt;CONFIG!$B$9)),"Y","N")</f>
        <v/>
      </c>
      <c r="AW71" s="19">
        <f>IF(AV71="Y",(AP71+AS71)*0.8,AP71)</f>
        <v/>
      </c>
      <c r="AX71" s="19">
        <f>IF(AV71="Y",(AP71+AS71)*0.2,AS71)</f>
        <v/>
      </c>
    </row>
    <row r="72">
      <c r="A72" s="18">
        <f>DATA!A72</f>
        <v/>
      </c>
      <c r="B72">
        <f>DATA!B72</f>
        <v/>
      </c>
      <c r="C72" s="19">
        <f>O71</f>
        <v/>
      </c>
      <c r="D72" s="19">
        <f>P71</f>
        <v/>
      </c>
      <c r="E72" s="19">
        <f>C72+D72</f>
        <v/>
      </c>
      <c r="F72" s="20">
        <f>DATA!C72</f>
        <v/>
      </c>
      <c r="G72" s="20">
        <f>DATA!F72</f>
        <v/>
      </c>
      <c r="H72" s="19">
        <f>C72*(1+F72)</f>
        <v/>
      </c>
      <c r="I72" s="19">
        <f>D72*(1+G72)</f>
        <v/>
      </c>
      <c r="J72" s="19">
        <f>IF(AND(CONFIG!$B$11="Annual",MONTH(A72)=7),(H72+I72)*CONFIG!$B$6/12,J71)</f>
        <v/>
      </c>
      <c r="K72" s="19">
        <f>MAX(0,I72-J72)</f>
        <v/>
      </c>
      <c r="L72">
        <f>IF(OR(MONTH(A72)=3,MONTH(A72)=6,MONTH(A72)=9,MONTH(A72)=12),"Y","N")</f>
        <v/>
      </c>
      <c r="M72" s="21">
        <f>IF((H72+K72)=0,0,K72/(H72+K72))</f>
        <v/>
      </c>
      <c r="N72">
        <f>IF(AND(L72="Y",OR(M72&lt;CONFIG!$B$8,M72&gt;CONFIG!$B$9)),"Y","N")</f>
        <v/>
      </c>
      <c r="O72" s="19">
        <f>IF(N72="Y",(H72+K72)*0.8,H72)</f>
        <v/>
      </c>
      <c r="P72" s="19">
        <f>IF(N72="Y",(H72+K72)*0.2,K72)</f>
        <v/>
      </c>
      <c r="R72" s="18">
        <f>DATA!A72</f>
        <v/>
      </c>
      <c r="S72">
        <f>DATA!B72</f>
        <v/>
      </c>
      <c r="T72" s="19">
        <f>AF71</f>
        <v/>
      </c>
      <c r="U72" s="19">
        <f>AG71</f>
        <v/>
      </c>
      <c r="V72" s="19">
        <f>T72+U72</f>
        <v/>
      </c>
      <c r="W72" s="20">
        <f>DATA!D72</f>
        <v/>
      </c>
      <c r="X72" s="20">
        <f>DATA!F72</f>
        <v/>
      </c>
      <c r="Y72" s="19">
        <f>T72*(1+W72)</f>
        <v/>
      </c>
      <c r="Z72" s="19">
        <f>U72*(1+X72)</f>
        <v/>
      </c>
      <c r="AA72" s="19">
        <f>IF(AND(CONFIG!$B$11="Annual",MONTH(R72)=7),(Y72+Z72)*CONFIG!$B$6/12,AA71)</f>
        <v/>
      </c>
      <c r="AB72" s="19">
        <f>MAX(0,Z72-AA72)</f>
        <v/>
      </c>
      <c r="AC72">
        <f>IF(OR(MONTH(R72)=3,MONTH(R72)=6,MONTH(R72)=9,MONTH(R72)=12),"Y","N")</f>
        <v/>
      </c>
      <c r="AD72" s="21">
        <f>IF((Y72+AB72)=0,0,AB72/(Y72+AB72))</f>
        <v/>
      </c>
      <c r="AE72">
        <f>IF(AND(AC72="Y",OR(AD72&lt;CONFIG!$B$8,AD72&gt;CONFIG!$B$9)),"Y","N")</f>
        <v/>
      </c>
      <c r="AF72" s="19">
        <f>IF(AE72="Y",(Y72+AB72)*0.8,Y72)</f>
        <v/>
      </c>
      <c r="AG72" s="19">
        <f>IF(AE72="Y",(Y72+AB72)*0.2,AB72)</f>
        <v/>
      </c>
      <c r="AI72" s="18">
        <f>DATA!A72</f>
        <v/>
      </c>
      <c r="AJ72">
        <f>DATA!B72</f>
        <v/>
      </c>
      <c r="AK72" s="19">
        <f>AW71</f>
        <v/>
      </c>
      <c r="AL72" s="19">
        <f>AX71</f>
        <v/>
      </c>
      <c r="AM72" s="19">
        <f>AK72+AL72</f>
        <v/>
      </c>
      <c r="AN72" s="20">
        <f>DATA!E72</f>
        <v/>
      </c>
      <c r="AO72" s="20">
        <f>DATA!F72</f>
        <v/>
      </c>
      <c r="AP72" s="19">
        <f>AK72*(1+AN72)</f>
        <v/>
      </c>
      <c r="AQ72" s="19">
        <f>AL72*(1+AO72)</f>
        <v/>
      </c>
      <c r="AR72" s="19">
        <f>IF(AND(CONFIG!$B$11="Annual",MONTH(AI72)=7),(AP72+AQ72)*CONFIG!$B$6/12,AR71)</f>
        <v/>
      </c>
      <c r="AS72" s="19">
        <f>MAX(0,AQ72-AR72)</f>
        <v/>
      </c>
      <c r="AT72">
        <f>IF(OR(MONTH(AI72)=3,MONTH(AI72)=6,MONTH(AI72)=9,MONTH(AI72)=12),"Y","N")</f>
        <v/>
      </c>
      <c r="AU72" s="21">
        <f>IF((AP72+AS72)=0,0,AS72/(AP72+AS72))</f>
        <v/>
      </c>
      <c r="AV72">
        <f>IF(AND(AT72="Y",OR(AU72&lt;CONFIG!$B$8,AU72&gt;CONFIG!$B$9)),"Y","N")</f>
        <v/>
      </c>
      <c r="AW72" s="19">
        <f>IF(AV72="Y",(AP72+AS72)*0.8,AP72)</f>
        <v/>
      </c>
      <c r="AX72" s="19">
        <f>IF(AV72="Y",(AP72+AS72)*0.2,AS72)</f>
        <v/>
      </c>
    </row>
    <row r="73">
      <c r="A73" s="18">
        <f>DATA!A73</f>
        <v/>
      </c>
      <c r="B73">
        <f>DATA!B73</f>
        <v/>
      </c>
      <c r="C73" s="19">
        <f>O72</f>
        <v/>
      </c>
      <c r="D73" s="19">
        <f>P72</f>
        <v/>
      </c>
      <c r="E73" s="19">
        <f>C73+D73</f>
        <v/>
      </c>
      <c r="F73" s="20">
        <f>DATA!C73</f>
        <v/>
      </c>
      <c r="G73" s="20">
        <f>DATA!F73</f>
        <v/>
      </c>
      <c r="H73" s="19">
        <f>C73*(1+F73)</f>
        <v/>
      </c>
      <c r="I73" s="19">
        <f>D73*(1+G73)</f>
        <v/>
      </c>
      <c r="J73" s="19">
        <f>IF(AND(CONFIG!$B$11="Annual",MONTH(A73)=7),(H73+I73)*CONFIG!$B$6/12,J72)</f>
        <v/>
      </c>
      <c r="K73" s="19">
        <f>MAX(0,I73-J73)</f>
        <v/>
      </c>
      <c r="L73">
        <f>IF(OR(MONTH(A73)=3,MONTH(A73)=6,MONTH(A73)=9,MONTH(A73)=12),"Y","N")</f>
        <v/>
      </c>
      <c r="M73" s="21">
        <f>IF((H73+K73)=0,0,K73/(H73+K73))</f>
        <v/>
      </c>
      <c r="N73">
        <f>IF(AND(L73="Y",OR(M73&lt;CONFIG!$B$8,M73&gt;CONFIG!$B$9)),"Y","N")</f>
        <v/>
      </c>
      <c r="O73" s="19">
        <f>IF(N73="Y",(H73+K73)*0.8,H73)</f>
        <v/>
      </c>
      <c r="P73" s="19">
        <f>IF(N73="Y",(H73+K73)*0.2,K73)</f>
        <v/>
      </c>
      <c r="R73" s="18">
        <f>DATA!A73</f>
        <v/>
      </c>
      <c r="S73">
        <f>DATA!B73</f>
        <v/>
      </c>
      <c r="T73" s="19">
        <f>AF72</f>
        <v/>
      </c>
      <c r="U73" s="19">
        <f>AG72</f>
        <v/>
      </c>
      <c r="V73" s="19">
        <f>T73+U73</f>
        <v/>
      </c>
      <c r="W73" s="20">
        <f>DATA!D73</f>
        <v/>
      </c>
      <c r="X73" s="20">
        <f>DATA!F73</f>
        <v/>
      </c>
      <c r="Y73" s="19">
        <f>T73*(1+W73)</f>
        <v/>
      </c>
      <c r="Z73" s="19">
        <f>U73*(1+X73)</f>
        <v/>
      </c>
      <c r="AA73" s="19">
        <f>IF(AND(CONFIG!$B$11="Annual",MONTH(R73)=7),(Y73+Z73)*CONFIG!$B$6/12,AA72)</f>
        <v/>
      </c>
      <c r="AB73" s="19">
        <f>MAX(0,Z73-AA73)</f>
        <v/>
      </c>
      <c r="AC73">
        <f>IF(OR(MONTH(R73)=3,MONTH(R73)=6,MONTH(R73)=9,MONTH(R73)=12),"Y","N")</f>
        <v/>
      </c>
      <c r="AD73" s="21">
        <f>IF((Y73+AB73)=0,0,AB73/(Y73+AB73))</f>
        <v/>
      </c>
      <c r="AE73">
        <f>IF(AND(AC73="Y",OR(AD73&lt;CONFIG!$B$8,AD73&gt;CONFIG!$B$9)),"Y","N")</f>
        <v/>
      </c>
      <c r="AF73" s="19">
        <f>IF(AE73="Y",(Y73+AB73)*0.8,Y73)</f>
        <v/>
      </c>
      <c r="AG73" s="19">
        <f>IF(AE73="Y",(Y73+AB73)*0.2,AB73)</f>
        <v/>
      </c>
      <c r="AI73" s="18">
        <f>DATA!A73</f>
        <v/>
      </c>
      <c r="AJ73">
        <f>DATA!B73</f>
        <v/>
      </c>
      <c r="AK73" s="19">
        <f>AW72</f>
        <v/>
      </c>
      <c r="AL73" s="19">
        <f>AX72</f>
        <v/>
      </c>
      <c r="AM73" s="19">
        <f>AK73+AL73</f>
        <v/>
      </c>
      <c r="AN73" s="20">
        <f>DATA!E73</f>
        <v/>
      </c>
      <c r="AO73" s="20">
        <f>DATA!F73</f>
        <v/>
      </c>
      <c r="AP73" s="19">
        <f>AK73*(1+AN73)</f>
        <v/>
      </c>
      <c r="AQ73" s="19">
        <f>AL73*(1+AO73)</f>
        <v/>
      </c>
      <c r="AR73" s="19">
        <f>IF(AND(CONFIG!$B$11="Annual",MONTH(AI73)=7),(AP73+AQ73)*CONFIG!$B$6/12,AR72)</f>
        <v/>
      </c>
      <c r="AS73" s="19">
        <f>MAX(0,AQ73-AR73)</f>
        <v/>
      </c>
      <c r="AT73">
        <f>IF(OR(MONTH(AI73)=3,MONTH(AI73)=6,MONTH(AI73)=9,MONTH(AI73)=12),"Y","N")</f>
        <v/>
      </c>
      <c r="AU73" s="21">
        <f>IF((AP73+AS73)=0,0,AS73/(AP73+AS73))</f>
        <v/>
      </c>
      <c r="AV73">
        <f>IF(AND(AT73="Y",OR(AU73&lt;CONFIG!$B$8,AU73&gt;CONFIG!$B$9)),"Y","N")</f>
        <v/>
      </c>
      <c r="AW73" s="19">
        <f>IF(AV73="Y",(AP73+AS73)*0.8,AP73)</f>
        <v/>
      </c>
      <c r="AX73" s="19">
        <f>IF(AV73="Y",(AP73+AS73)*0.2,AS73)</f>
        <v/>
      </c>
    </row>
    <row r="74">
      <c r="A74" s="18">
        <f>DATA!A74</f>
        <v/>
      </c>
      <c r="B74">
        <f>DATA!B74</f>
        <v/>
      </c>
      <c r="C74" s="19">
        <f>O73</f>
        <v/>
      </c>
      <c r="D74" s="19">
        <f>P73</f>
        <v/>
      </c>
      <c r="E74" s="19">
        <f>C74+D74</f>
        <v/>
      </c>
      <c r="F74" s="20">
        <f>DATA!C74</f>
        <v/>
      </c>
      <c r="G74" s="20">
        <f>DATA!F74</f>
        <v/>
      </c>
      <c r="H74" s="19">
        <f>C74*(1+F74)</f>
        <v/>
      </c>
      <c r="I74" s="19">
        <f>D74*(1+G74)</f>
        <v/>
      </c>
      <c r="J74" s="19">
        <f>IF(AND(CONFIG!$B$11="Annual",MONTH(A74)=7),(H74+I74)*CONFIG!$B$6/12,J73)</f>
        <v/>
      </c>
      <c r="K74" s="19">
        <f>MAX(0,I74-J74)</f>
        <v/>
      </c>
      <c r="L74">
        <f>IF(OR(MONTH(A74)=3,MONTH(A74)=6,MONTH(A74)=9,MONTH(A74)=12),"Y","N")</f>
        <v/>
      </c>
      <c r="M74" s="21">
        <f>IF((H74+K74)=0,0,K74/(H74+K74))</f>
        <v/>
      </c>
      <c r="N74">
        <f>IF(AND(L74="Y",OR(M74&lt;CONFIG!$B$8,M74&gt;CONFIG!$B$9)),"Y","N")</f>
        <v/>
      </c>
      <c r="O74" s="19">
        <f>IF(N74="Y",(H74+K74)*0.8,H74)</f>
        <v/>
      </c>
      <c r="P74" s="19">
        <f>IF(N74="Y",(H74+K74)*0.2,K74)</f>
        <v/>
      </c>
      <c r="R74" s="18">
        <f>DATA!A74</f>
        <v/>
      </c>
      <c r="S74">
        <f>DATA!B74</f>
        <v/>
      </c>
      <c r="T74" s="19">
        <f>AF73</f>
        <v/>
      </c>
      <c r="U74" s="19">
        <f>AG73</f>
        <v/>
      </c>
      <c r="V74" s="19">
        <f>T74+U74</f>
        <v/>
      </c>
      <c r="W74" s="20">
        <f>DATA!D74</f>
        <v/>
      </c>
      <c r="X74" s="20">
        <f>DATA!F74</f>
        <v/>
      </c>
      <c r="Y74" s="19">
        <f>T74*(1+W74)</f>
        <v/>
      </c>
      <c r="Z74" s="19">
        <f>U74*(1+X74)</f>
        <v/>
      </c>
      <c r="AA74" s="19">
        <f>IF(AND(CONFIG!$B$11="Annual",MONTH(R74)=7),(Y74+Z74)*CONFIG!$B$6/12,AA73)</f>
        <v/>
      </c>
      <c r="AB74" s="19">
        <f>MAX(0,Z74-AA74)</f>
        <v/>
      </c>
      <c r="AC74">
        <f>IF(OR(MONTH(R74)=3,MONTH(R74)=6,MONTH(R74)=9,MONTH(R74)=12),"Y","N")</f>
        <v/>
      </c>
      <c r="AD74" s="21">
        <f>IF((Y74+AB74)=0,0,AB74/(Y74+AB74))</f>
        <v/>
      </c>
      <c r="AE74">
        <f>IF(AND(AC74="Y",OR(AD74&lt;CONFIG!$B$8,AD74&gt;CONFIG!$B$9)),"Y","N")</f>
        <v/>
      </c>
      <c r="AF74" s="19">
        <f>IF(AE74="Y",(Y74+AB74)*0.8,Y74)</f>
        <v/>
      </c>
      <c r="AG74" s="19">
        <f>IF(AE74="Y",(Y74+AB74)*0.2,AB74)</f>
        <v/>
      </c>
      <c r="AI74" s="18">
        <f>DATA!A74</f>
        <v/>
      </c>
      <c r="AJ74">
        <f>DATA!B74</f>
        <v/>
      </c>
      <c r="AK74" s="19">
        <f>AW73</f>
        <v/>
      </c>
      <c r="AL74" s="19">
        <f>AX73</f>
        <v/>
      </c>
      <c r="AM74" s="19">
        <f>AK74+AL74</f>
        <v/>
      </c>
      <c r="AN74" s="20">
        <f>DATA!E74</f>
        <v/>
      </c>
      <c r="AO74" s="20">
        <f>DATA!F74</f>
        <v/>
      </c>
      <c r="AP74" s="19">
        <f>AK74*(1+AN74)</f>
        <v/>
      </c>
      <c r="AQ74" s="19">
        <f>AL74*(1+AO74)</f>
        <v/>
      </c>
      <c r="AR74" s="19">
        <f>IF(AND(CONFIG!$B$11="Annual",MONTH(AI74)=7),(AP74+AQ74)*CONFIG!$B$6/12,AR73)</f>
        <v/>
      </c>
      <c r="AS74" s="19">
        <f>MAX(0,AQ74-AR74)</f>
        <v/>
      </c>
      <c r="AT74">
        <f>IF(OR(MONTH(AI74)=3,MONTH(AI74)=6,MONTH(AI74)=9,MONTH(AI74)=12),"Y","N")</f>
        <v/>
      </c>
      <c r="AU74" s="21">
        <f>IF((AP74+AS74)=0,0,AS74/(AP74+AS74))</f>
        <v/>
      </c>
      <c r="AV74">
        <f>IF(AND(AT74="Y",OR(AU74&lt;CONFIG!$B$8,AU74&gt;CONFIG!$B$9)),"Y","N")</f>
        <v/>
      </c>
      <c r="AW74" s="19">
        <f>IF(AV74="Y",(AP74+AS74)*0.8,AP74)</f>
        <v/>
      </c>
      <c r="AX74" s="19">
        <f>IF(AV74="Y",(AP74+AS74)*0.2,AS74)</f>
        <v/>
      </c>
    </row>
    <row r="75">
      <c r="A75" s="18">
        <f>DATA!A75</f>
        <v/>
      </c>
      <c r="B75">
        <f>DATA!B75</f>
        <v/>
      </c>
      <c r="C75" s="19">
        <f>O74</f>
        <v/>
      </c>
      <c r="D75" s="19">
        <f>P74</f>
        <v/>
      </c>
      <c r="E75" s="19">
        <f>C75+D75</f>
        <v/>
      </c>
      <c r="F75" s="20">
        <f>DATA!C75</f>
        <v/>
      </c>
      <c r="G75" s="20">
        <f>DATA!F75</f>
        <v/>
      </c>
      <c r="H75" s="19">
        <f>C75*(1+F75)</f>
        <v/>
      </c>
      <c r="I75" s="19">
        <f>D75*(1+G75)</f>
        <v/>
      </c>
      <c r="J75" s="19">
        <f>IF(AND(CONFIG!$B$11="Annual",MONTH(A75)=7),(H75+I75)*CONFIG!$B$6/12,J74)</f>
        <v/>
      </c>
      <c r="K75" s="19">
        <f>MAX(0,I75-J75)</f>
        <v/>
      </c>
      <c r="L75">
        <f>IF(OR(MONTH(A75)=3,MONTH(A75)=6,MONTH(A75)=9,MONTH(A75)=12),"Y","N")</f>
        <v/>
      </c>
      <c r="M75" s="21">
        <f>IF((H75+K75)=0,0,K75/(H75+K75))</f>
        <v/>
      </c>
      <c r="N75">
        <f>IF(AND(L75="Y",OR(M75&lt;CONFIG!$B$8,M75&gt;CONFIG!$B$9)),"Y","N")</f>
        <v/>
      </c>
      <c r="O75" s="19">
        <f>IF(N75="Y",(H75+K75)*0.8,H75)</f>
        <v/>
      </c>
      <c r="P75" s="19">
        <f>IF(N75="Y",(H75+K75)*0.2,K75)</f>
        <v/>
      </c>
      <c r="R75" s="18">
        <f>DATA!A75</f>
        <v/>
      </c>
      <c r="S75">
        <f>DATA!B75</f>
        <v/>
      </c>
      <c r="T75" s="19">
        <f>AF74</f>
        <v/>
      </c>
      <c r="U75" s="19">
        <f>AG74</f>
        <v/>
      </c>
      <c r="V75" s="19">
        <f>T75+U75</f>
        <v/>
      </c>
      <c r="W75" s="20">
        <f>DATA!D75</f>
        <v/>
      </c>
      <c r="X75" s="20">
        <f>DATA!F75</f>
        <v/>
      </c>
      <c r="Y75" s="19">
        <f>T75*(1+W75)</f>
        <v/>
      </c>
      <c r="Z75" s="19">
        <f>U75*(1+X75)</f>
        <v/>
      </c>
      <c r="AA75" s="19">
        <f>IF(AND(CONFIG!$B$11="Annual",MONTH(R75)=7),(Y75+Z75)*CONFIG!$B$6/12,AA74)</f>
        <v/>
      </c>
      <c r="AB75" s="19">
        <f>MAX(0,Z75-AA75)</f>
        <v/>
      </c>
      <c r="AC75">
        <f>IF(OR(MONTH(R75)=3,MONTH(R75)=6,MONTH(R75)=9,MONTH(R75)=12),"Y","N")</f>
        <v/>
      </c>
      <c r="AD75" s="21">
        <f>IF((Y75+AB75)=0,0,AB75/(Y75+AB75))</f>
        <v/>
      </c>
      <c r="AE75">
        <f>IF(AND(AC75="Y",OR(AD75&lt;CONFIG!$B$8,AD75&gt;CONFIG!$B$9)),"Y","N")</f>
        <v/>
      </c>
      <c r="AF75" s="19">
        <f>IF(AE75="Y",(Y75+AB75)*0.8,Y75)</f>
        <v/>
      </c>
      <c r="AG75" s="19">
        <f>IF(AE75="Y",(Y75+AB75)*0.2,AB75)</f>
        <v/>
      </c>
      <c r="AI75" s="18">
        <f>DATA!A75</f>
        <v/>
      </c>
      <c r="AJ75">
        <f>DATA!B75</f>
        <v/>
      </c>
      <c r="AK75" s="19">
        <f>AW74</f>
        <v/>
      </c>
      <c r="AL75" s="19">
        <f>AX74</f>
        <v/>
      </c>
      <c r="AM75" s="19">
        <f>AK75+AL75</f>
        <v/>
      </c>
      <c r="AN75" s="20">
        <f>DATA!E75</f>
        <v/>
      </c>
      <c r="AO75" s="20">
        <f>DATA!F75</f>
        <v/>
      </c>
      <c r="AP75" s="19">
        <f>AK75*(1+AN75)</f>
        <v/>
      </c>
      <c r="AQ75" s="19">
        <f>AL75*(1+AO75)</f>
        <v/>
      </c>
      <c r="AR75" s="19">
        <f>IF(AND(CONFIG!$B$11="Annual",MONTH(AI75)=7),(AP75+AQ75)*CONFIG!$B$6/12,AR74)</f>
        <v/>
      </c>
      <c r="AS75" s="19">
        <f>MAX(0,AQ75-AR75)</f>
        <v/>
      </c>
      <c r="AT75">
        <f>IF(OR(MONTH(AI75)=3,MONTH(AI75)=6,MONTH(AI75)=9,MONTH(AI75)=12),"Y","N")</f>
        <v/>
      </c>
      <c r="AU75" s="21">
        <f>IF((AP75+AS75)=0,0,AS75/(AP75+AS75))</f>
        <v/>
      </c>
      <c r="AV75">
        <f>IF(AND(AT75="Y",OR(AU75&lt;CONFIG!$B$8,AU75&gt;CONFIG!$B$9)),"Y","N")</f>
        <v/>
      </c>
      <c r="AW75" s="19">
        <f>IF(AV75="Y",(AP75+AS75)*0.8,AP75)</f>
        <v/>
      </c>
      <c r="AX75" s="19">
        <f>IF(AV75="Y",(AP75+AS75)*0.2,AS75)</f>
        <v/>
      </c>
    </row>
    <row r="76">
      <c r="A76" s="18">
        <f>DATA!A76</f>
        <v/>
      </c>
      <c r="B76">
        <f>DATA!B76</f>
        <v/>
      </c>
      <c r="C76" s="19">
        <f>O75</f>
        <v/>
      </c>
      <c r="D76" s="19">
        <f>P75</f>
        <v/>
      </c>
      <c r="E76" s="19">
        <f>C76+D76</f>
        <v/>
      </c>
      <c r="F76" s="20">
        <f>DATA!C76</f>
        <v/>
      </c>
      <c r="G76" s="20">
        <f>DATA!F76</f>
        <v/>
      </c>
      <c r="H76" s="19">
        <f>C76*(1+F76)</f>
        <v/>
      </c>
      <c r="I76" s="19">
        <f>D76*(1+G76)</f>
        <v/>
      </c>
      <c r="J76" s="19">
        <f>IF(AND(CONFIG!$B$11="Annual",MONTH(A76)=7),(H76+I76)*CONFIG!$B$6/12,J75)</f>
        <v/>
      </c>
      <c r="K76" s="19">
        <f>MAX(0,I76-J76)</f>
        <v/>
      </c>
      <c r="L76">
        <f>IF(OR(MONTH(A76)=3,MONTH(A76)=6,MONTH(A76)=9,MONTH(A76)=12),"Y","N")</f>
        <v/>
      </c>
      <c r="M76" s="21">
        <f>IF((H76+K76)=0,0,K76/(H76+K76))</f>
        <v/>
      </c>
      <c r="N76">
        <f>IF(AND(L76="Y",OR(M76&lt;CONFIG!$B$8,M76&gt;CONFIG!$B$9)),"Y","N")</f>
        <v/>
      </c>
      <c r="O76" s="19">
        <f>IF(N76="Y",(H76+K76)*0.8,H76)</f>
        <v/>
      </c>
      <c r="P76" s="19">
        <f>IF(N76="Y",(H76+K76)*0.2,K76)</f>
        <v/>
      </c>
      <c r="R76" s="18">
        <f>DATA!A76</f>
        <v/>
      </c>
      <c r="S76">
        <f>DATA!B76</f>
        <v/>
      </c>
      <c r="T76" s="19">
        <f>AF75</f>
        <v/>
      </c>
      <c r="U76" s="19">
        <f>AG75</f>
        <v/>
      </c>
      <c r="V76" s="19">
        <f>T76+U76</f>
        <v/>
      </c>
      <c r="W76" s="20">
        <f>DATA!D76</f>
        <v/>
      </c>
      <c r="X76" s="20">
        <f>DATA!F76</f>
        <v/>
      </c>
      <c r="Y76" s="19">
        <f>T76*(1+W76)</f>
        <v/>
      </c>
      <c r="Z76" s="19">
        <f>U76*(1+X76)</f>
        <v/>
      </c>
      <c r="AA76" s="19">
        <f>IF(AND(CONFIG!$B$11="Annual",MONTH(R76)=7),(Y76+Z76)*CONFIG!$B$6/12,AA75)</f>
        <v/>
      </c>
      <c r="AB76" s="19">
        <f>MAX(0,Z76-AA76)</f>
        <v/>
      </c>
      <c r="AC76">
        <f>IF(OR(MONTH(R76)=3,MONTH(R76)=6,MONTH(R76)=9,MONTH(R76)=12),"Y","N")</f>
        <v/>
      </c>
      <c r="AD76" s="21">
        <f>IF((Y76+AB76)=0,0,AB76/(Y76+AB76))</f>
        <v/>
      </c>
      <c r="AE76">
        <f>IF(AND(AC76="Y",OR(AD76&lt;CONFIG!$B$8,AD76&gt;CONFIG!$B$9)),"Y","N")</f>
        <v/>
      </c>
      <c r="AF76" s="19">
        <f>IF(AE76="Y",(Y76+AB76)*0.8,Y76)</f>
        <v/>
      </c>
      <c r="AG76" s="19">
        <f>IF(AE76="Y",(Y76+AB76)*0.2,AB76)</f>
        <v/>
      </c>
      <c r="AI76" s="18">
        <f>DATA!A76</f>
        <v/>
      </c>
      <c r="AJ76">
        <f>DATA!B76</f>
        <v/>
      </c>
      <c r="AK76" s="19">
        <f>AW75</f>
        <v/>
      </c>
      <c r="AL76" s="19">
        <f>AX75</f>
        <v/>
      </c>
      <c r="AM76" s="19">
        <f>AK76+AL76</f>
        <v/>
      </c>
      <c r="AN76" s="20">
        <f>DATA!E76</f>
        <v/>
      </c>
      <c r="AO76" s="20">
        <f>DATA!F76</f>
        <v/>
      </c>
      <c r="AP76" s="19">
        <f>AK76*(1+AN76)</f>
        <v/>
      </c>
      <c r="AQ76" s="19">
        <f>AL76*(1+AO76)</f>
        <v/>
      </c>
      <c r="AR76" s="19">
        <f>IF(AND(CONFIG!$B$11="Annual",MONTH(AI76)=7),(AP76+AQ76)*CONFIG!$B$6/12,AR75)</f>
        <v/>
      </c>
      <c r="AS76" s="19">
        <f>MAX(0,AQ76-AR76)</f>
        <v/>
      </c>
      <c r="AT76">
        <f>IF(OR(MONTH(AI76)=3,MONTH(AI76)=6,MONTH(AI76)=9,MONTH(AI76)=12),"Y","N")</f>
        <v/>
      </c>
      <c r="AU76" s="21">
        <f>IF((AP76+AS76)=0,0,AS76/(AP76+AS76))</f>
        <v/>
      </c>
      <c r="AV76">
        <f>IF(AND(AT76="Y",OR(AU76&lt;CONFIG!$B$8,AU76&gt;CONFIG!$B$9)),"Y","N")</f>
        <v/>
      </c>
      <c r="AW76" s="19">
        <f>IF(AV76="Y",(AP76+AS76)*0.8,AP76)</f>
        <v/>
      </c>
      <c r="AX76" s="19">
        <f>IF(AV76="Y",(AP76+AS76)*0.2,AS76)</f>
        <v/>
      </c>
    </row>
    <row r="77">
      <c r="A77" s="18">
        <f>DATA!A77</f>
        <v/>
      </c>
      <c r="B77">
        <f>DATA!B77</f>
        <v/>
      </c>
      <c r="C77" s="19">
        <f>O76</f>
        <v/>
      </c>
      <c r="D77" s="19">
        <f>P76</f>
        <v/>
      </c>
      <c r="E77" s="19">
        <f>C77+D77</f>
        <v/>
      </c>
      <c r="F77" s="20">
        <f>DATA!C77</f>
        <v/>
      </c>
      <c r="G77" s="20">
        <f>DATA!F77</f>
        <v/>
      </c>
      <c r="H77" s="19">
        <f>C77*(1+F77)</f>
        <v/>
      </c>
      <c r="I77" s="19">
        <f>D77*(1+G77)</f>
        <v/>
      </c>
      <c r="J77" s="19">
        <f>IF(AND(CONFIG!$B$11="Annual",MONTH(A77)=7),(H77+I77)*CONFIG!$B$6/12,J76)</f>
        <v/>
      </c>
      <c r="K77" s="19">
        <f>MAX(0,I77-J77)</f>
        <v/>
      </c>
      <c r="L77">
        <f>IF(OR(MONTH(A77)=3,MONTH(A77)=6,MONTH(A77)=9,MONTH(A77)=12),"Y","N")</f>
        <v/>
      </c>
      <c r="M77" s="21">
        <f>IF((H77+K77)=0,0,K77/(H77+K77))</f>
        <v/>
      </c>
      <c r="N77">
        <f>IF(AND(L77="Y",OR(M77&lt;CONFIG!$B$8,M77&gt;CONFIG!$B$9)),"Y","N")</f>
        <v/>
      </c>
      <c r="O77" s="19">
        <f>IF(N77="Y",(H77+K77)*0.8,H77)</f>
        <v/>
      </c>
      <c r="P77" s="19">
        <f>IF(N77="Y",(H77+K77)*0.2,K77)</f>
        <v/>
      </c>
      <c r="R77" s="18">
        <f>DATA!A77</f>
        <v/>
      </c>
      <c r="S77">
        <f>DATA!B77</f>
        <v/>
      </c>
      <c r="T77" s="19">
        <f>AF76</f>
        <v/>
      </c>
      <c r="U77" s="19">
        <f>AG76</f>
        <v/>
      </c>
      <c r="V77" s="19">
        <f>T77+U77</f>
        <v/>
      </c>
      <c r="W77" s="20">
        <f>DATA!D77</f>
        <v/>
      </c>
      <c r="X77" s="20">
        <f>DATA!F77</f>
        <v/>
      </c>
      <c r="Y77" s="19">
        <f>T77*(1+W77)</f>
        <v/>
      </c>
      <c r="Z77" s="19">
        <f>U77*(1+X77)</f>
        <v/>
      </c>
      <c r="AA77" s="19">
        <f>IF(AND(CONFIG!$B$11="Annual",MONTH(R77)=7),(Y77+Z77)*CONFIG!$B$6/12,AA76)</f>
        <v/>
      </c>
      <c r="AB77" s="19">
        <f>MAX(0,Z77-AA77)</f>
        <v/>
      </c>
      <c r="AC77">
        <f>IF(OR(MONTH(R77)=3,MONTH(R77)=6,MONTH(R77)=9,MONTH(R77)=12),"Y","N")</f>
        <v/>
      </c>
      <c r="AD77" s="21">
        <f>IF((Y77+AB77)=0,0,AB77/(Y77+AB77))</f>
        <v/>
      </c>
      <c r="AE77">
        <f>IF(AND(AC77="Y",OR(AD77&lt;CONFIG!$B$8,AD77&gt;CONFIG!$B$9)),"Y","N")</f>
        <v/>
      </c>
      <c r="AF77" s="19">
        <f>IF(AE77="Y",(Y77+AB77)*0.8,Y77)</f>
        <v/>
      </c>
      <c r="AG77" s="19">
        <f>IF(AE77="Y",(Y77+AB77)*0.2,AB77)</f>
        <v/>
      </c>
      <c r="AI77" s="18">
        <f>DATA!A77</f>
        <v/>
      </c>
      <c r="AJ77">
        <f>DATA!B77</f>
        <v/>
      </c>
      <c r="AK77" s="19">
        <f>AW76</f>
        <v/>
      </c>
      <c r="AL77" s="19">
        <f>AX76</f>
        <v/>
      </c>
      <c r="AM77" s="19">
        <f>AK77+AL77</f>
        <v/>
      </c>
      <c r="AN77" s="20">
        <f>DATA!E77</f>
        <v/>
      </c>
      <c r="AO77" s="20">
        <f>DATA!F77</f>
        <v/>
      </c>
      <c r="AP77" s="19">
        <f>AK77*(1+AN77)</f>
        <v/>
      </c>
      <c r="AQ77" s="19">
        <f>AL77*(1+AO77)</f>
        <v/>
      </c>
      <c r="AR77" s="19">
        <f>IF(AND(CONFIG!$B$11="Annual",MONTH(AI77)=7),(AP77+AQ77)*CONFIG!$B$6/12,AR76)</f>
        <v/>
      </c>
      <c r="AS77" s="19">
        <f>MAX(0,AQ77-AR77)</f>
        <v/>
      </c>
      <c r="AT77">
        <f>IF(OR(MONTH(AI77)=3,MONTH(AI77)=6,MONTH(AI77)=9,MONTH(AI77)=12),"Y","N")</f>
        <v/>
      </c>
      <c r="AU77" s="21">
        <f>IF((AP77+AS77)=0,0,AS77/(AP77+AS77))</f>
        <v/>
      </c>
      <c r="AV77">
        <f>IF(AND(AT77="Y",OR(AU77&lt;CONFIG!$B$8,AU77&gt;CONFIG!$B$9)),"Y","N")</f>
        <v/>
      </c>
      <c r="AW77" s="19">
        <f>IF(AV77="Y",(AP77+AS77)*0.8,AP77)</f>
        <v/>
      </c>
      <c r="AX77" s="19">
        <f>IF(AV77="Y",(AP77+AS77)*0.2,AS77)</f>
        <v/>
      </c>
    </row>
    <row r="78">
      <c r="A78" s="18">
        <f>DATA!A78</f>
        <v/>
      </c>
      <c r="B78">
        <f>DATA!B78</f>
        <v/>
      </c>
      <c r="C78" s="19">
        <f>O77</f>
        <v/>
      </c>
      <c r="D78" s="19">
        <f>P77</f>
        <v/>
      </c>
      <c r="E78" s="19">
        <f>C78+D78</f>
        <v/>
      </c>
      <c r="F78" s="20">
        <f>DATA!C78</f>
        <v/>
      </c>
      <c r="G78" s="20">
        <f>DATA!F78</f>
        <v/>
      </c>
      <c r="H78" s="19">
        <f>C78*(1+F78)</f>
        <v/>
      </c>
      <c r="I78" s="19">
        <f>D78*(1+G78)</f>
        <v/>
      </c>
      <c r="J78" s="19">
        <f>IF(AND(CONFIG!$B$11="Annual",MONTH(A78)=7),(H78+I78)*CONFIG!$B$6/12,J77)</f>
        <v/>
      </c>
      <c r="K78" s="19">
        <f>MAX(0,I78-J78)</f>
        <v/>
      </c>
      <c r="L78">
        <f>IF(OR(MONTH(A78)=3,MONTH(A78)=6,MONTH(A78)=9,MONTH(A78)=12),"Y","N")</f>
        <v/>
      </c>
      <c r="M78" s="21">
        <f>IF((H78+K78)=0,0,K78/(H78+K78))</f>
        <v/>
      </c>
      <c r="N78">
        <f>IF(AND(L78="Y",OR(M78&lt;CONFIG!$B$8,M78&gt;CONFIG!$B$9)),"Y","N")</f>
        <v/>
      </c>
      <c r="O78" s="19">
        <f>IF(N78="Y",(H78+K78)*0.8,H78)</f>
        <v/>
      </c>
      <c r="P78" s="19">
        <f>IF(N78="Y",(H78+K78)*0.2,K78)</f>
        <v/>
      </c>
      <c r="R78" s="18">
        <f>DATA!A78</f>
        <v/>
      </c>
      <c r="S78">
        <f>DATA!B78</f>
        <v/>
      </c>
      <c r="T78" s="19">
        <f>AF77</f>
        <v/>
      </c>
      <c r="U78" s="19">
        <f>AG77</f>
        <v/>
      </c>
      <c r="V78" s="19">
        <f>T78+U78</f>
        <v/>
      </c>
      <c r="W78" s="20">
        <f>DATA!D78</f>
        <v/>
      </c>
      <c r="X78" s="20">
        <f>DATA!F78</f>
        <v/>
      </c>
      <c r="Y78" s="19">
        <f>T78*(1+W78)</f>
        <v/>
      </c>
      <c r="Z78" s="19">
        <f>U78*(1+X78)</f>
        <v/>
      </c>
      <c r="AA78" s="19">
        <f>IF(AND(CONFIG!$B$11="Annual",MONTH(R78)=7),(Y78+Z78)*CONFIG!$B$6/12,AA77)</f>
        <v/>
      </c>
      <c r="AB78" s="19">
        <f>MAX(0,Z78-AA78)</f>
        <v/>
      </c>
      <c r="AC78">
        <f>IF(OR(MONTH(R78)=3,MONTH(R78)=6,MONTH(R78)=9,MONTH(R78)=12),"Y","N")</f>
        <v/>
      </c>
      <c r="AD78" s="21">
        <f>IF((Y78+AB78)=0,0,AB78/(Y78+AB78))</f>
        <v/>
      </c>
      <c r="AE78">
        <f>IF(AND(AC78="Y",OR(AD78&lt;CONFIG!$B$8,AD78&gt;CONFIG!$B$9)),"Y","N")</f>
        <v/>
      </c>
      <c r="AF78" s="19">
        <f>IF(AE78="Y",(Y78+AB78)*0.8,Y78)</f>
        <v/>
      </c>
      <c r="AG78" s="19">
        <f>IF(AE78="Y",(Y78+AB78)*0.2,AB78)</f>
        <v/>
      </c>
      <c r="AI78" s="18">
        <f>DATA!A78</f>
        <v/>
      </c>
      <c r="AJ78">
        <f>DATA!B78</f>
        <v/>
      </c>
      <c r="AK78" s="19">
        <f>AW77</f>
        <v/>
      </c>
      <c r="AL78" s="19">
        <f>AX77</f>
        <v/>
      </c>
      <c r="AM78" s="19">
        <f>AK78+AL78</f>
        <v/>
      </c>
      <c r="AN78" s="20">
        <f>DATA!E78</f>
        <v/>
      </c>
      <c r="AO78" s="20">
        <f>DATA!F78</f>
        <v/>
      </c>
      <c r="AP78" s="19">
        <f>AK78*(1+AN78)</f>
        <v/>
      </c>
      <c r="AQ78" s="19">
        <f>AL78*(1+AO78)</f>
        <v/>
      </c>
      <c r="AR78" s="19">
        <f>IF(AND(CONFIG!$B$11="Annual",MONTH(AI78)=7),(AP78+AQ78)*CONFIG!$B$6/12,AR77)</f>
        <v/>
      </c>
      <c r="AS78" s="19">
        <f>MAX(0,AQ78-AR78)</f>
        <v/>
      </c>
      <c r="AT78">
        <f>IF(OR(MONTH(AI78)=3,MONTH(AI78)=6,MONTH(AI78)=9,MONTH(AI78)=12),"Y","N")</f>
        <v/>
      </c>
      <c r="AU78" s="21">
        <f>IF((AP78+AS78)=0,0,AS78/(AP78+AS78))</f>
        <v/>
      </c>
      <c r="AV78">
        <f>IF(AND(AT78="Y",OR(AU78&lt;CONFIG!$B$8,AU78&gt;CONFIG!$B$9)),"Y","N")</f>
        <v/>
      </c>
      <c r="AW78" s="19">
        <f>IF(AV78="Y",(AP78+AS78)*0.8,AP78)</f>
        <v/>
      </c>
      <c r="AX78" s="19">
        <f>IF(AV78="Y",(AP78+AS78)*0.2,AS78)</f>
        <v/>
      </c>
    </row>
    <row r="79">
      <c r="A79" s="18">
        <f>DATA!A79</f>
        <v/>
      </c>
      <c r="B79">
        <f>DATA!B79</f>
        <v/>
      </c>
      <c r="C79" s="19">
        <f>O78</f>
        <v/>
      </c>
      <c r="D79" s="19">
        <f>P78</f>
        <v/>
      </c>
      <c r="E79" s="19">
        <f>C79+D79</f>
        <v/>
      </c>
      <c r="F79" s="20">
        <f>DATA!C79</f>
        <v/>
      </c>
      <c r="G79" s="20">
        <f>DATA!F79</f>
        <v/>
      </c>
      <c r="H79" s="19">
        <f>C79*(1+F79)</f>
        <v/>
      </c>
      <c r="I79" s="19">
        <f>D79*(1+G79)</f>
        <v/>
      </c>
      <c r="J79" s="19">
        <f>IF(AND(CONFIG!$B$11="Annual",MONTH(A79)=7),(H79+I79)*CONFIG!$B$6/12,J78)</f>
        <v/>
      </c>
      <c r="K79" s="19">
        <f>MAX(0,I79-J79)</f>
        <v/>
      </c>
      <c r="L79">
        <f>IF(OR(MONTH(A79)=3,MONTH(A79)=6,MONTH(A79)=9,MONTH(A79)=12),"Y","N")</f>
        <v/>
      </c>
      <c r="M79" s="21">
        <f>IF((H79+K79)=0,0,K79/(H79+K79))</f>
        <v/>
      </c>
      <c r="N79">
        <f>IF(AND(L79="Y",OR(M79&lt;CONFIG!$B$8,M79&gt;CONFIG!$B$9)),"Y","N")</f>
        <v/>
      </c>
      <c r="O79" s="19">
        <f>IF(N79="Y",(H79+K79)*0.8,H79)</f>
        <v/>
      </c>
      <c r="P79" s="19">
        <f>IF(N79="Y",(H79+K79)*0.2,K79)</f>
        <v/>
      </c>
      <c r="R79" s="18">
        <f>DATA!A79</f>
        <v/>
      </c>
      <c r="S79">
        <f>DATA!B79</f>
        <v/>
      </c>
      <c r="T79" s="19">
        <f>AF78</f>
        <v/>
      </c>
      <c r="U79" s="19">
        <f>AG78</f>
        <v/>
      </c>
      <c r="V79" s="19">
        <f>T79+U79</f>
        <v/>
      </c>
      <c r="W79" s="20">
        <f>DATA!D79</f>
        <v/>
      </c>
      <c r="X79" s="20">
        <f>DATA!F79</f>
        <v/>
      </c>
      <c r="Y79" s="19">
        <f>T79*(1+W79)</f>
        <v/>
      </c>
      <c r="Z79" s="19">
        <f>U79*(1+X79)</f>
        <v/>
      </c>
      <c r="AA79" s="19">
        <f>IF(AND(CONFIG!$B$11="Annual",MONTH(R79)=7),(Y79+Z79)*CONFIG!$B$6/12,AA78)</f>
        <v/>
      </c>
      <c r="AB79" s="19">
        <f>MAX(0,Z79-AA79)</f>
        <v/>
      </c>
      <c r="AC79">
        <f>IF(OR(MONTH(R79)=3,MONTH(R79)=6,MONTH(R79)=9,MONTH(R79)=12),"Y","N")</f>
        <v/>
      </c>
      <c r="AD79" s="21">
        <f>IF((Y79+AB79)=0,0,AB79/(Y79+AB79))</f>
        <v/>
      </c>
      <c r="AE79">
        <f>IF(AND(AC79="Y",OR(AD79&lt;CONFIG!$B$8,AD79&gt;CONFIG!$B$9)),"Y","N")</f>
        <v/>
      </c>
      <c r="AF79" s="19">
        <f>IF(AE79="Y",(Y79+AB79)*0.8,Y79)</f>
        <v/>
      </c>
      <c r="AG79" s="19">
        <f>IF(AE79="Y",(Y79+AB79)*0.2,AB79)</f>
        <v/>
      </c>
      <c r="AI79" s="18">
        <f>DATA!A79</f>
        <v/>
      </c>
      <c r="AJ79">
        <f>DATA!B79</f>
        <v/>
      </c>
      <c r="AK79" s="19">
        <f>AW78</f>
        <v/>
      </c>
      <c r="AL79" s="19">
        <f>AX78</f>
        <v/>
      </c>
      <c r="AM79" s="19">
        <f>AK79+AL79</f>
        <v/>
      </c>
      <c r="AN79" s="20">
        <f>DATA!E79</f>
        <v/>
      </c>
      <c r="AO79" s="20">
        <f>DATA!F79</f>
        <v/>
      </c>
      <c r="AP79" s="19">
        <f>AK79*(1+AN79)</f>
        <v/>
      </c>
      <c r="AQ79" s="19">
        <f>AL79*(1+AO79)</f>
        <v/>
      </c>
      <c r="AR79" s="19">
        <f>IF(AND(CONFIG!$B$11="Annual",MONTH(AI79)=7),(AP79+AQ79)*CONFIG!$B$6/12,AR78)</f>
        <v/>
      </c>
      <c r="AS79" s="19">
        <f>MAX(0,AQ79-AR79)</f>
        <v/>
      </c>
      <c r="AT79">
        <f>IF(OR(MONTH(AI79)=3,MONTH(AI79)=6,MONTH(AI79)=9,MONTH(AI79)=12),"Y","N")</f>
        <v/>
      </c>
      <c r="AU79" s="21">
        <f>IF((AP79+AS79)=0,0,AS79/(AP79+AS79))</f>
        <v/>
      </c>
      <c r="AV79">
        <f>IF(AND(AT79="Y",OR(AU79&lt;CONFIG!$B$8,AU79&gt;CONFIG!$B$9)),"Y","N")</f>
        <v/>
      </c>
      <c r="AW79" s="19">
        <f>IF(AV79="Y",(AP79+AS79)*0.8,AP79)</f>
        <v/>
      </c>
      <c r="AX79" s="19">
        <f>IF(AV79="Y",(AP79+AS79)*0.2,AS79)</f>
        <v/>
      </c>
    </row>
    <row r="80">
      <c r="A80" s="18">
        <f>DATA!A80</f>
        <v/>
      </c>
      <c r="B80">
        <f>DATA!B80</f>
        <v/>
      </c>
      <c r="C80" s="19">
        <f>O79</f>
        <v/>
      </c>
      <c r="D80" s="19">
        <f>P79</f>
        <v/>
      </c>
      <c r="E80" s="19">
        <f>C80+D80</f>
        <v/>
      </c>
      <c r="F80" s="20">
        <f>DATA!C80</f>
        <v/>
      </c>
      <c r="G80" s="20">
        <f>DATA!F80</f>
        <v/>
      </c>
      <c r="H80" s="19">
        <f>C80*(1+F80)</f>
        <v/>
      </c>
      <c r="I80" s="19">
        <f>D80*(1+G80)</f>
        <v/>
      </c>
      <c r="J80" s="19">
        <f>IF(AND(CONFIG!$B$11="Annual",MONTH(A80)=7),(H80+I80)*CONFIG!$B$6/12,J79)</f>
        <v/>
      </c>
      <c r="K80" s="19">
        <f>MAX(0,I80-J80)</f>
        <v/>
      </c>
      <c r="L80">
        <f>IF(OR(MONTH(A80)=3,MONTH(A80)=6,MONTH(A80)=9,MONTH(A80)=12),"Y","N")</f>
        <v/>
      </c>
      <c r="M80" s="21">
        <f>IF((H80+K80)=0,0,K80/(H80+K80))</f>
        <v/>
      </c>
      <c r="N80">
        <f>IF(AND(L80="Y",OR(M80&lt;CONFIG!$B$8,M80&gt;CONFIG!$B$9)),"Y","N")</f>
        <v/>
      </c>
      <c r="O80" s="19">
        <f>IF(N80="Y",(H80+K80)*0.8,H80)</f>
        <v/>
      </c>
      <c r="P80" s="19">
        <f>IF(N80="Y",(H80+K80)*0.2,K80)</f>
        <v/>
      </c>
      <c r="R80" s="18">
        <f>DATA!A80</f>
        <v/>
      </c>
      <c r="S80">
        <f>DATA!B80</f>
        <v/>
      </c>
      <c r="T80" s="19">
        <f>AF79</f>
        <v/>
      </c>
      <c r="U80" s="19">
        <f>AG79</f>
        <v/>
      </c>
      <c r="V80" s="19">
        <f>T80+U80</f>
        <v/>
      </c>
      <c r="W80" s="20">
        <f>DATA!D80</f>
        <v/>
      </c>
      <c r="X80" s="20">
        <f>DATA!F80</f>
        <v/>
      </c>
      <c r="Y80" s="19">
        <f>T80*(1+W80)</f>
        <v/>
      </c>
      <c r="Z80" s="19">
        <f>U80*(1+X80)</f>
        <v/>
      </c>
      <c r="AA80" s="19">
        <f>IF(AND(CONFIG!$B$11="Annual",MONTH(R80)=7),(Y80+Z80)*CONFIG!$B$6/12,AA79)</f>
        <v/>
      </c>
      <c r="AB80" s="19">
        <f>MAX(0,Z80-AA80)</f>
        <v/>
      </c>
      <c r="AC80">
        <f>IF(OR(MONTH(R80)=3,MONTH(R80)=6,MONTH(R80)=9,MONTH(R80)=12),"Y","N")</f>
        <v/>
      </c>
      <c r="AD80" s="21">
        <f>IF((Y80+AB80)=0,0,AB80/(Y80+AB80))</f>
        <v/>
      </c>
      <c r="AE80">
        <f>IF(AND(AC80="Y",OR(AD80&lt;CONFIG!$B$8,AD80&gt;CONFIG!$B$9)),"Y","N")</f>
        <v/>
      </c>
      <c r="AF80" s="19">
        <f>IF(AE80="Y",(Y80+AB80)*0.8,Y80)</f>
        <v/>
      </c>
      <c r="AG80" s="19">
        <f>IF(AE80="Y",(Y80+AB80)*0.2,AB80)</f>
        <v/>
      </c>
      <c r="AI80" s="18">
        <f>DATA!A80</f>
        <v/>
      </c>
      <c r="AJ80">
        <f>DATA!B80</f>
        <v/>
      </c>
      <c r="AK80" s="19">
        <f>AW79</f>
        <v/>
      </c>
      <c r="AL80" s="19">
        <f>AX79</f>
        <v/>
      </c>
      <c r="AM80" s="19">
        <f>AK80+AL80</f>
        <v/>
      </c>
      <c r="AN80" s="20">
        <f>DATA!E80</f>
        <v/>
      </c>
      <c r="AO80" s="20">
        <f>DATA!F80</f>
        <v/>
      </c>
      <c r="AP80" s="19">
        <f>AK80*(1+AN80)</f>
        <v/>
      </c>
      <c r="AQ80" s="19">
        <f>AL80*(1+AO80)</f>
        <v/>
      </c>
      <c r="AR80" s="19">
        <f>IF(AND(CONFIG!$B$11="Annual",MONTH(AI80)=7),(AP80+AQ80)*CONFIG!$B$6/12,AR79)</f>
        <v/>
      </c>
      <c r="AS80" s="19">
        <f>MAX(0,AQ80-AR80)</f>
        <v/>
      </c>
      <c r="AT80">
        <f>IF(OR(MONTH(AI80)=3,MONTH(AI80)=6,MONTH(AI80)=9,MONTH(AI80)=12),"Y","N")</f>
        <v/>
      </c>
      <c r="AU80" s="21">
        <f>IF((AP80+AS80)=0,0,AS80/(AP80+AS80))</f>
        <v/>
      </c>
      <c r="AV80">
        <f>IF(AND(AT80="Y",OR(AU80&lt;CONFIG!$B$8,AU80&gt;CONFIG!$B$9)),"Y","N")</f>
        <v/>
      </c>
      <c r="AW80" s="19">
        <f>IF(AV80="Y",(AP80+AS80)*0.8,AP80)</f>
        <v/>
      </c>
      <c r="AX80" s="19">
        <f>IF(AV80="Y",(AP80+AS80)*0.2,AS80)</f>
        <v/>
      </c>
    </row>
    <row r="81">
      <c r="A81" s="18">
        <f>DATA!A81</f>
        <v/>
      </c>
      <c r="B81">
        <f>DATA!B81</f>
        <v/>
      </c>
      <c r="C81" s="19">
        <f>O80</f>
        <v/>
      </c>
      <c r="D81" s="19">
        <f>P80</f>
        <v/>
      </c>
      <c r="E81" s="19">
        <f>C81+D81</f>
        <v/>
      </c>
      <c r="F81" s="20">
        <f>DATA!C81</f>
        <v/>
      </c>
      <c r="G81" s="20">
        <f>DATA!F81</f>
        <v/>
      </c>
      <c r="H81" s="19">
        <f>C81*(1+F81)</f>
        <v/>
      </c>
      <c r="I81" s="19">
        <f>D81*(1+G81)</f>
        <v/>
      </c>
      <c r="J81" s="19">
        <f>IF(AND(CONFIG!$B$11="Annual",MONTH(A81)=7),(H81+I81)*CONFIG!$B$6/12,J80)</f>
        <v/>
      </c>
      <c r="K81" s="19">
        <f>MAX(0,I81-J81)</f>
        <v/>
      </c>
      <c r="L81">
        <f>IF(OR(MONTH(A81)=3,MONTH(A81)=6,MONTH(A81)=9,MONTH(A81)=12),"Y","N")</f>
        <v/>
      </c>
      <c r="M81" s="21">
        <f>IF((H81+K81)=0,0,K81/(H81+K81))</f>
        <v/>
      </c>
      <c r="N81">
        <f>IF(AND(L81="Y",OR(M81&lt;CONFIG!$B$8,M81&gt;CONFIG!$B$9)),"Y","N")</f>
        <v/>
      </c>
      <c r="O81" s="19">
        <f>IF(N81="Y",(H81+K81)*0.8,H81)</f>
        <v/>
      </c>
      <c r="P81" s="19">
        <f>IF(N81="Y",(H81+K81)*0.2,K81)</f>
        <v/>
      </c>
      <c r="R81" s="18">
        <f>DATA!A81</f>
        <v/>
      </c>
      <c r="S81">
        <f>DATA!B81</f>
        <v/>
      </c>
      <c r="T81" s="19">
        <f>AF80</f>
        <v/>
      </c>
      <c r="U81" s="19">
        <f>AG80</f>
        <v/>
      </c>
      <c r="V81" s="19">
        <f>T81+U81</f>
        <v/>
      </c>
      <c r="W81" s="20">
        <f>DATA!D81</f>
        <v/>
      </c>
      <c r="X81" s="20">
        <f>DATA!F81</f>
        <v/>
      </c>
      <c r="Y81" s="19">
        <f>T81*(1+W81)</f>
        <v/>
      </c>
      <c r="Z81" s="19">
        <f>U81*(1+X81)</f>
        <v/>
      </c>
      <c r="AA81" s="19">
        <f>IF(AND(CONFIG!$B$11="Annual",MONTH(R81)=7),(Y81+Z81)*CONFIG!$B$6/12,AA80)</f>
        <v/>
      </c>
      <c r="AB81" s="19">
        <f>MAX(0,Z81-AA81)</f>
        <v/>
      </c>
      <c r="AC81">
        <f>IF(OR(MONTH(R81)=3,MONTH(R81)=6,MONTH(R81)=9,MONTH(R81)=12),"Y","N")</f>
        <v/>
      </c>
      <c r="AD81" s="21">
        <f>IF((Y81+AB81)=0,0,AB81/(Y81+AB81))</f>
        <v/>
      </c>
      <c r="AE81">
        <f>IF(AND(AC81="Y",OR(AD81&lt;CONFIG!$B$8,AD81&gt;CONFIG!$B$9)),"Y","N")</f>
        <v/>
      </c>
      <c r="AF81" s="19">
        <f>IF(AE81="Y",(Y81+AB81)*0.8,Y81)</f>
        <v/>
      </c>
      <c r="AG81" s="19">
        <f>IF(AE81="Y",(Y81+AB81)*0.2,AB81)</f>
        <v/>
      </c>
      <c r="AI81" s="18">
        <f>DATA!A81</f>
        <v/>
      </c>
      <c r="AJ81">
        <f>DATA!B81</f>
        <v/>
      </c>
      <c r="AK81" s="19">
        <f>AW80</f>
        <v/>
      </c>
      <c r="AL81" s="19">
        <f>AX80</f>
        <v/>
      </c>
      <c r="AM81" s="19">
        <f>AK81+AL81</f>
        <v/>
      </c>
      <c r="AN81" s="20">
        <f>DATA!E81</f>
        <v/>
      </c>
      <c r="AO81" s="20">
        <f>DATA!F81</f>
        <v/>
      </c>
      <c r="AP81" s="19">
        <f>AK81*(1+AN81)</f>
        <v/>
      </c>
      <c r="AQ81" s="19">
        <f>AL81*(1+AO81)</f>
        <v/>
      </c>
      <c r="AR81" s="19">
        <f>IF(AND(CONFIG!$B$11="Annual",MONTH(AI81)=7),(AP81+AQ81)*CONFIG!$B$6/12,AR80)</f>
        <v/>
      </c>
      <c r="AS81" s="19">
        <f>MAX(0,AQ81-AR81)</f>
        <v/>
      </c>
      <c r="AT81">
        <f>IF(OR(MONTH(AI81)=3,MONTH(AI81)=6,MONTH(AI81)=9,MONTH(AI81)=12),"Y","N")</f>
        <v/>
      </c>
      <c r="AU81" s="21">
        <f>IF((AP81+AS81)=0,0,AS81/(AP81+AS81))</f>
        <v/>
      </c>
      <c r="AV81">
        <f>IF(AND(AT81="Y",OR(AU81&lt;CONFIG!$B$8,AU81&gt;CONFIG!$B$9)),"Y","N")</f>
        <v/>
      </c>
      <c r="AW81" s="19">
        <f>IF(AV81="Y",(AP81+AS81)*0.8,AP81)</f>
        <v/>
      </c>
      <c r="AX81" s="19">
        <f>IF(AV81="Y",(AP81+AS81)*0.2,AS81)</f>
        <v/>
      </c>
    </row>
    <row r="82">
      <c r="A82" s="18">
        <f>DATA!A82</f>
        <v/>
      </c>
      <c r="B82">
        <f>DATA!B82</f>
        <v/>
      </c>
      <c r="C82" s="19">
        <f>O81</f>
        <v/>
      </c>
      <c r="D82" s="19">
        <f>P81</f>
        <v/>
      </c>
      <c r="E82" s="19">
        <f>C82+D82</f>
        <v/>
      </c>
      <c r="F82" s="20">
        <f>DATA!C82</f>
        <v/>
      </c>
      <c r="G82" s="20">
        <f>DATA!F82</f>
        <v/>
      </c>
      <c r="H82" s="19">
        <f>C82*(1+F82)</f>
        <v/>
      </c>
      <c r="I82" s="19">
        <f>D82*(1+G82)</f>
        <v/>
      </c>
      <c r="J82" s="19">
        <f>IF(AND(CONFIG!$B$11="Annual",MONTH(A82)=7),(H82+I82)*CONFIG!$B$6/12,J81)</f>
        <v/>
      </c>
      <c r="K82" s="19">
        <f>MAX(0,I82-J82)</f>
        <v/>
      </c>
      <c r="L82">
        <f>IF(OR(MONTH(A82)=3,MONTH(A82)=6,MONTH(A82)=9,MONTH(A82)=12),"Y","N")</f>
        <v/>
      </c>
      <c r="M82" s="21">
        <f>IF((H82+K82)=0,0,K82/(H82+K82))</f>
        <v/>
      </c>
      <c r="N82">
        <f>IF(AND(L82="Y",OR(M82&lt;CONFIG!$B$8,M82&gt;CONFIG!$B$9)),"Y","N")</f>
        <v/>
      </c>
      <c r="O82" s="19">
        <f>IF(N82="Y",(H82+K82)*0.8,H82)</f>
        <v/>
      </c>
      <c r="P82" s="19">
        <f>IF(N82="Y",(H82+K82)*0.2,K82)</f>
        <v/>
      </c>
      <c r="R82" s="18">
        <f>DATA!A82</f>
        <v/>
      </c>
      <c r="S82">
        <f>DATA!B82</f>
        <v/>
      </c>
      <c r="T82" s="19">
        <f>AF81</f>
        <v/>
      </c>
      <c r="U82" s="19">
        <f>AG81</f>
        <v/>
      </c>
      <c r="V82" s="19">
        <f>T82+U82</f>
        <v/>
      </c>
      <c r="W82" s="20">
        <f>DATA!D82</f>
        <v/>
      </c>
      <c r="X82" s="20">
        <f>DATA!F82</f>
        <v/>
      </c>
      <c r="Y82" s="19">
        <f>T82*(1+W82)</f>
        <v/>
      </c>
      <c r="Z82" s="19">
        <f>U82*(1+X82)</f>
        <v/>
      </c>
      <c r="AA82" s="19">
        <f>IF(AND(CONFIG!$B$11="Annual",MONTH(R82)=7),(Y82+Z82)*CONFIG!$B$6/12,AA81)</f>
        <v/>
      </c>
      <c r="AB82" s="19">
        <f>MAX(0,Z82-AA82)</f>
        <v/>
      </c>
      <c r="AC82">
        <f>IF(OR(MONTH(R82)=3,MONTH(R82)=6,MONTH(R82)=9,MONTH(R82)=12),"Y","N")</f>
        <v/>
      </c>
      <c r="AD82" s="21">
        <f>IF((Y82+AB82)=0,0,AB82/(Y82+AB82))</f>
        <v/>
      </c>
      <c r="AE82">
        <f>IF(AND(AC82="Y",OR(AD82&lt;CONFIG!$B$8,AD82&gt;CONFIG!$B$9)),"Y","N")</f>
        <v/>
      </c>
      <c r="AF82" s="19">
        <f>IF(AE82="Y",(Y82+AB82)*0.8,Y82)</f>
        <v/>
      </c>
      <c r="AG82" s="19">
        <f>IF(AE82="Y",(Y82+AB82)*0.2,AB82)</f>
        <v/>
      </c>
      <c r="AI82" s="18">
        <f>DATA!A82</f>
        <v/>
      </c>
      <c r="AJ82">
        <f>DATA!B82</f>
        <v/>
      </c>
      <c r="AK82" s="19">
        <f>AW81</f>
        <v/>
      </c>
      <c r="AL82" s="19">
        <f>AX81</f>
        <v/>
      </c>
      <c r="AM82" s="19">
        <f>AK82+AL82</f>
        <v/>
      </c>
      <c r="AN82" s="20">
        <f>DATA!E82</f>
        <v/>
      </c>
      <c r="AO82" s="20">
        <f>DATA!F82</f>
        <v/>
      </c>
      <c r="AP82" s="19">
        <f>AK82*(1+AN82)</f>
        <v/>
      </c>
      <c r="AQ82" s="19">
        <f>AL82*(1+AO82)</f>
        <v/>
      </c>
      <c r="AR82" s="19">
        <f>IF(AND(CONFIG!$B$11="Annual",MONTH(AI82)=7),(AP82+AQ82)*CONFIG!$B$6/12,AR81)</f>
        <v/>
      </c>
      <c r="AS82" s="19">
        <f>MAX(0,AQ82-AR82)</f>
        <v/>
      </c>
      <c r="AT82">
        <f>IF(OR(MONTH(AI82)=3,MONTH(AI82)=6,MONTH(AI82)=9,MONTH(AI82)=12),"Y","N")</f>
        <v/>
      </c>
      <c r="AU82" s="21">
        <f>IF((AP82+AS82)=0,0,AS82/(AP82+AS82))</f>
        <v/>
      </c>
      <c r="AV82">
        <f>IF(AND(AT82="Y",OR(AU82&lt;CONFIG!$B$8,AU82&gt;CONFIG!$B$9)),"Y","N")</f>
        <v/>
      </c>
      <c r="AW82" s="19">
        <f>IF(AV82="Y",(AP82+AS82)*0.8,AP82)</f>
        <v/>
      </c>
      <c r="AX82" s="19">
        <f>IF(AV82="Y",(AP82+AS82)*0.2,AS82)</f>
        <v/>
      </c>
    </row>
    <row r="83">
      <c r="A83" s="18">
        <f>DATA!A83</f>
        <v/>
      </c>
      <c r="B83">
        <f>DATA!B83</f>
        <v/>
      </c>
      <c r="C83" s="19">
        <f>O82</f>
        <v/>
      </c>
      <c r="D83" s="19">
        <f>P82</f>
        <v/>
      </c>
      <c r="E83" s="19">
        <f>C83+D83</f>
        <v/>
      </c>
      <c r="F83" s="20">
        <f>DATA!C83</f>
        <v/>
      </c>
      <c r="G83" s="20">
        <f>DATA!F83</f>
        <v/>
      </c>
      <c r="H83" s="19">
        <f>C83*(1+F83)</f>
        <v/>
      </c>
      <c r="I83" s="19">
        <f>D83*(1+G83)</f>
        <v/>
      </c>
      <c r="J83" s="19">
        <f>IF(AND(CONFIG!$B$11="Annual",MONTH(A83)=7),(H83+I83)*CONFIG!$B$6/12,J82)</f>
        <v/>
      </c>
      <c r="K83" s="19">
        <f>MAX(0,I83-J83)</f>
        <v/>
      </c>
      <c r="L83">
        <f>IF(OR(MONTH(A83)=3,MONTH(A83)=6,MONTH(A83)=9,MONTH(A83)=12),"Y","N")</f>
        <v/>
      </c>
      <c r="M83" s="21">
        <f>IF((H83+K83)=0,0,K83/(H83+K83))</f>
        <v/>
      </c>
      <c r="N83">
        <f>IF(AND(L83="Y",OR(M83&lt;CONFIG!$B$8,M83&gt;CONFIG!$B$9)),"Y","N")</f>
        <v/>
      </c>
      <c r="O83" s="19">
        <f>IF(N83="Y",(H83+K83)*0.8,H83)</f>
        <v/>
      </c>
      <c r="P83" s="19">
        <f>IF(N83="Y",(H83+K83)*0.2,K83)</f>
        <v/>
      </c>
      <c r="R83" s="18">
        <f>DATA!A83</f>
        <v/>
      </c>
      <c r="S83">
        <f>DATA!B83</f>
        <v/>
      </c>
      <c r="T83" s="19">
        <f>AF82</f>
        <v/>
      </c>
      <c r="U83" s="19">
        <f>AG82</f>
        <v/>
      </c>
      <c r="V83" s="19">
        <f>T83+U83</f>
        <v/>
      </c>
      <c r="W83" s="20">
        <f>DATA!D83</f>
        <v/>
      </c>
      <c r="X83" s="20">
        <f>DATA!F83</f>
        <v/>
      </c>
      <c r="Y83" s="19">
        <f>T83*(1+W83)</f>
        <v/>
      </c>
      <c r="Z83" s="19">
        <f>U83*(1+X83)</f>
        <v/>
      </c>
      <c r="AA83" s="19">
        <f>IF(AND(CONFIG!$B$11="Annual",MONTH(R83)=7),(Y83+Z83)*CONFIG!$B$6/12,AA82)</f>
        <v/>
      </c>
      <c r="AB83" s="19">
        <f>MAX(0,Z83-AA83)</f>
        <v/>
      </c>
      <c r="AC83">
        <f>IF(OR(MONTH(R83)=3,MONTH(R83)=6,MONTH(R83)=9,MONTH(R83)=12),"Y","N")</f>
        <v/>
      </c>
      <c r="AD83" s="21">
        <f>IF((Y83+AB83)=0,0,AB83/(Y83+AB83))</f>
        <v/>
      </c>
      <c r="AE83">
        <f>IF(AND(AC83="Y",OR(AD83&lt;CONFIG!$B$8,AD83&gt;CONFIG!$B$9)),"Y","N")</f>
        <v/>
      </c>
      <c r="AF83" s="19">
        <f>IF(AE83="Y",(Y83+AB83)*0.8,Y83)</f>
        <v/>
      </c>
      <c r="AG83" s="19">
        <f>IF(AE83="Y",(Y83+AB83)*0.2,AB83)</f>
        <v/>
      </c>
      <c r="AI83" s="18">
        <f>DATA!A83</f>
        <v/>
      </c>
      <c r="AJ83">
        <f>DATA!B83</f>
        <v/>
      </c>
      <c r="AK83" s="19">
        <f>AW82</f>
        <v/>
      </c>
      <c r="AL83" s="19">
        <f>AX82</f>
        <v/>
      </c>
      <c r="AM83" s="19">
        <f>AK83+AL83</f>
        <v/>
      </c>
      <c r="AN83" s="20">
        <f>DATA!E83</f>
        <v/>
      </c>
      <c r="AO83" s="20">
        <f>DATA!F83</f>
        <v/>
      </c>
      <c r="AP83" s="19">
        <f>AK83*(1+AN83)</f>
        <v/>
      </c>
      <c r="AQ83" s="19">
        <f>AL83*(1+AO83)</f>
        <v/>
      </c>
      <c r="AR83" s="19">
        <f>IF(AND(CONFIG!$B$11="Annual",MONTH(AI83)=7),(AP83+AQ83)*CONFIG!$B$6/12,AR82)</f>
        <v/>
      </c>
      <c r="AS83" s="19">
        <f>MAX(0,AQ83-AR83)</f>
        <v/>
      </c>
      <c r="AT83">
        <f>IF(OR(MONTH(AI83)=3,MONTH(AI83)=6,MONTH(AI83)=9,MONTH(AI83)=12),"Y","N")</f>
        <v/>
      </c>
      <c r="AU83" s="21">
        <f>IF((AP83+AS83)=0,0,AS83/(AP83+AS83))</f>
        <v/>
      </c>
      <c r="AV83">
        <f>IF(AND(AT83="Y",OR(AU83&lt;CONFIG!$B$8,AU83&gt;CONFIG!$B$9)),"Y","N")</f>
        <v/>
      </c>
      <c r="AW83" s="19">
        <f>IF(AV83="Y",(AP83+AS83)*0.8,AP83)</f>
        <v/>
      </c>
      <c r="AX83" s="19">
        <f>IF(AV83="Y",(AP83+AS83)*0.2,AS83)</f>
        <v/>
      </c>
    </row>
    <row r="84">
      <c r="A84" s="18">
        <f>DATA!A84</f>
        <v/>
      </c>
      <c r="B84">
        <f>DATA!B84</f>
        <v/>
      </c>
      <c r="C84" s="19">
        <f>O83</f>
        <v/>
      </c>
      <c r="D84" s="19">
        <f>P83</f>
        <v/>
      </c>
      <c r="E84" s="19">
        <f>C84+D84</f>
        <v/>
      </c>
      <c r="F84" s="20">
        <f>DATA!C84</f>
        <v/>
      </c>
      <c r="G84" s="20">
        <f>DATA!F84</f>
        <v/>
      </c>
      <c r="H84" s="19">
        <f>C84*(1+F84)</f>
        <v/>
      </c>
      <c r="I84" s="19">
        <f>D84*(1+G84)</f>
        <v/>
      </c>
      <c r="J84" s="19">
        <f>IF(AND(CONFIG!$B$11="Annual",MONTH(A84)=7),(H84+I84)*CONFIG!$B$6/12,J83)</f>
        <v/>
      </c>
      <c r="K84" s="19">
        <f>MAX(0,I84-J84)</f>
        <v/>
      </c>
      <c r="L84">
        <f>IF(OR(MONTH(A84)=3,MONTH(A84)=6,MONTH(A84)=9,MONTH(A84)=12),"Y","N")</f>
        <v/>
      </c>
      <c r="M84" s="21">
        <f>IF((H84+K84)=0,0,K84/(H84+K84))</f>
        <v/>
      </c>
      <c r="N84">
        <f>IF(AND(L84="Y",OR(M84&lt;CONFIG!$B$8,M84&gt;CONFIG!$B$9)),"Y","N")</f>
        <v/>
      </c>
      <c r="O84" s="19">
        <f>IF(N84="Y",(H84+K84)*0.8,H84)</f>
        <v/>
      </c>
      <c r="P84" s="19">
        <f>IF(N84="Y",(H84+K84)*0.2,K84)</f>
        <v/>
      </c>
      <c r="R84" s="18">
        <f>DATA!A84</f>
        <v/>
      </c>
      <c r="S84">
        <f>DATA!B84</f>
        <v/>
      </c>
      <c r="T84" s="19">
        <f>AF83</f>
        <v/>
      </c>
      <c r="U84" s="19">
        <f>AG83</f>
        <v/>
      </c>
      <c r="V84" s="19">
        <f>T84+U84</f>
        <v/>
      </c>
      <c r="W84" s="20">
        <f>DATA!D84</f>
        <v/>
      </c>
      <c r="X84" s="20">
        <f>DATA!F84</f>
        <v/>
      </c>
      <c r="Y84" s="19">
        <f>T84*(1+W84)</f>
        <v/>
      </c>
      <c r="Z84" s="19">
        <f>U84*(1+X84)</f>
        <v/>
      </c>
      <c r="AA84" s="19">
        <f>IF(AND(CONFIG!$B$11="Annual",MONTH(R84)=7),(Y84+Z84)*CONFIG!$B$6/12,AA83)</f>
        <v/>
      </c>
      <c r="AB84" s="19">
        <f>MAX(0,Z84-AA84)</f>
        <v/>
      </c>
      <c r="AC84">
        <f>IF(OR(MONTH(R84)=3,MONTH(R84)=6,MONTH(R84)=9,MONTH(R84)=12),"Y","N")</f>
        <v/>
      </c>
      <c r="AD84" s="21">
        <f>IF((Y84+AB84)=0,0,AB84/(Y84+AB84))</f>
        <v/>
      </c>
      <c r="AE84">
        <f>IF(AND(AC84="Y",OR(AD84&lt;CONFIG!$B$8,AD84&gt;CONFIG!$B$9)),"Y","N")</f>
        <v/>
      </c>
      <c r="AF84" s="19">
        <f>IF(AE84="Y",(Y84+AB84)*0.8,Y84)</f>
        <v/>
      </c>
      <c r="AG84" s="19">
        <f>IF(AE84="Y",(Y84+AB84)*0.2,AB84)</f>
        <v/>
      </c>
      <c r="AI84" s="18">
        <f>DATA!A84</f>
        <v/>
      </c>
      <c r="AJ84">
        <f>DATA!B84</f>
        <v/>
      </c>
      <c r="AK84" s="19">
        <f>AW83</f>
        <v/>
      </c>
      <c r="AL84" s="19">
        <f>AX83</f>
        <v/>
      </c>
      <c r="AM84" s="19">
        <f>AK84+AL84</f>
        <v/>
      </c>
      <c r="AN84" s="20">
        <f>DATA!E84</f>
        <v/>
      </c>
      <c r="AO84" s="20">
        <f>DATA!F84</f>
        <v/>
      </c>
      <c r="AP84" s="19">
        <f>AK84*(1+AN84)</f>
        <v/>
      </c>
      <c r="AQ84" s="19">
        <f>AL84*(1+AO84)</f>
        <v/>
      </c>
      <c r="AR84" s="19">
        <f>IF(AND(CONFIG!$B$11="Annual",MONTH(AI84)=7),(AP84+AQ84)*CONFIG!$B$6/12,AR83)</f>
        <v/>
      </c>
      <c r="AS84" s="19">
        <f>MAX(0,AQ84-AR84)</f>
        <v/>
      </c>
      <c r="AT84">
        <f>IF(OR(MONTH(AI84)=3,MONTH(AI84)=6,MONTH(AI84)=9,MONTH(AI84)=12),"Y","N")</f>
        <v/>
      </c>
      <c r="AU84" s="21">
        <f>IF((AP84+AS84)=0,0,AS84/(AP84+AS84))</f>
        <v/>
      </c>
      <c r="AV84">
        <f>IF(AND(AT84="Y",OR(AU84&lt;CONFIG!$B$8,AU84&gt;CONFIG!$B$9)),"Y","N")</f>
        <v/>
      </c>
      <c r="AW84" s="19">
        <f>IF(AV84="Y",(AP84+AS84)*0.8,AP84)</f>
        <v/>
      </c>
      <c r="AX84" s="19">
        <f>IF(AV84="Y",(AP84+AS84)*0.2,AS84)</f>
        <v/>
      </c>
    </row>
    <row r="85">
      <c r="A85" s="18">
        <f>DATA!A85</f>
        <v/>
      </c>
      <c r="B85">
        <f>DATA!B85</f>
        <v/>
      </c>
      <c r="C85" s="19">
        <f>O84</f>
        <v/>
      </c>
      <c r="D85" s="19">
        <f>P84</f>
        <v/>
      </c>
      <c r="E85" s="19">
        <f>C85+D85</f>
        <v/>
      </c>
      <c r="F85" s="20">
        <f>DATA!C85</f>
        <v/>
      </c>
      <c r="G85" s="20">
        <f>DATA!F85</f>
        <v/>
      </c>
      <c r="H85" s="19">
        <f>C85*(1+F85)</f>
        <v/>
      </c>
      <c r="I85" s="19">
        <f>D85*(1+G85)</f>
        <v/>
      </c>
      <c r="J85" s="19">
        <f>IF(AND(CONFIG!$B$11="Annual",MONTH(A85)=7),(H85+I85)*CONFIG!$B$6/12,J84)</f>
        <v/>
      </c>
      <c r="K85" s="19">
        <f>MAX(0,I85-J85)</f>
        <v/>
      </c>
      <c r="L85">
        <f>IF(OR(MONTH(A85)=3,MONTH(A85)=6,MONTH(A85)=9,MONTH(A85)=12),"Y","N")</f>
        <v/>
      </c>
      <c r="M85" s="21">
        <f>IF((H85+K85)=0,0,K85/(H85+K85))</f>
        <v/>
      </c>
      <c r="N85">
        <f>IF(AND(L85="Y",OR(M85&lt;CONFIG!$B$8,M85&gt;CONFIG!$B$9)),"Y","N")</f>
        <v/>
      </c>
      <c r="O85" s="19">
        <f>IF(N85="Y",(H85+K85)*0.8,H85)</f>
        <v/>
      </c>
      <c r="P85" s="19">
        <f>IF(N85="Y",(H85+K85)*0.2,K85)</f>
        <v/>
      </c>
      <c r="R85" s="18">
        <f>DATA!A85</f>
        <v/>
      </c>
      <c r="S85">
        <f>DATA!B85</f>
        <v/>
      </c>
      <c r="T85" s="19">
        <f>AF84</f>
        <v/>
      </c>
      <c r="U85" s="19">
        <f>AG84</f>
        <v/>
      </c>
      <c r="V85" s="19">
        <f>T85+U85</f>
        <v/>
      </c>
      <c r="W85" s="20">
        <f>DATA!D85</f>
        <v/>
      </c>
      <c r="X85" s="20">
        <f>DATA!F85</f>
        <v/>
      </c>
      <c r="Y85" s="19">
        <f>T85*(1+W85)</f>
        <v/>
      </c>
      <c r="Z85" s="19">
        <f>U85*(1+X85)</f>
        <v/>
      </c>
      <c r="AA85" s="19">
        <f>IF(AND(CONFIG!$B$11="Annual",MONTH(R85)=7),(Y85+Z85)*CONFIG!$B$6/12,AA84)</f>
        <v/>
      </c>
      <c r="AB85" s="19">
        <f>MAX(0,Z85-AA85)</f>
        <v/>
      </c>
      <c r="AC85">
        <f>IF(OR(MONTH(R85)=3,MONTH(R85)=6,MONTH(R85)=9,MONTH(R85)=12),"Y","N")</f>
        <v/>
      </c>
      <c r="AD85" s="21">
        <f>IF((Y85+AB85)=0,0,AB85/(Y85+AB85))</f>
        <v/>
      </c>
      <c r="AE85">
        <f>IF(AND(AC85="Y",OR(AD85&lt;CONFIG!$B$8,AD85&gt;CONFIG!$B$9)),"Y","N")</f>
        <v/>
      </c>
      <c r="AF85" s="19">
        <f>IF(AE85="Y",(Y85+AB85)*0.8,Y85)</f>
        <v/>
      </c>
      <c r="AG85" s="19">
        <f>IF(AE85="Y",(Y85+AB85)*0.2,AB85)</f>
        <v/>
      </c>
      <c r="AI85" s="18">
        <f>DATA!A85</f>
        <v/>
      </c>
      <c r="AJ85">
        <f>DATA!B85</f>
        <v/>
      </c>
      <c r="AK85" s="19">
        <f>AW84</f>
        <v/>
      </c>
      <c r="AL85" s="19">
        <f>AX84</f>
        <v/>
      </c>
      <c r="AM85" s="19">
        <f>AK85+AL85</f>
        <v/>
      </c>
      <c r="AN85" s="20">
        <f>DATA!E85</f>
        <v/>
      </c>
      <c r="AO85" s="20">
        <f>DATA!F85</f>
        <v/>
      </c>
      <c r="AP85" s="19">
        <f>AK85*(1+AN85)</f>
        <v/>
      </c>
      <c r="AQ85" s="19">
        <f>AL85*(1+AO85)</f>
        <v/>
      </c>
      <c r="AR85" s="19">
        <f>IF(AND(CONFIG!$B$11="Annual",MONTH(AI85)=7),(AP85+AQ85)*CONFIG!$B$6/12,AR84)</f>
        <v/>
      </c>
      <c r="AS85" s="19">
        <f>MAX(0,AQ85-AR85)</f>
        <v/>
      </c>
      <c r="AT85">
        <f>IF(OR(MONTH(AI85)=3,MONTH(AI85)=6,MONTH(AI85)=9,MONTH(AI85)=12),"Y","N")</f>
        <v/>
      </c>
      <c r="AU85" s="21">
        <f>IF((AP85+AS85)=0,0,AS85/(AP85+AS85))</f>
        <v/>
      </c>
      <c r="AV85">
        <f>IF(AND(AT85="Y",OR(AU85&lt;CONFIG!$B$8,AU85&gt;CONFIG!$B$9)),"Y","N")</f>
        <v/>
      </c>
      <c r="AW85" s="19">
        <f>IF(AV85="Y",(AP85+AS85)*0.8,AP85)</f>
        <v/>
      </c>
      <c r="AX85" s="19">
        <f>IF(AV85="Y",(AP85+AS85)*0.2,AS85)</f>
        <v/>
      </c>
    </row>
    <row r="86">
      <c r="A86" s="18">
        <f>DATA!A86</f>
        <v/>
      </c>
      <c r="B86">
        <f>DATA!B86</f>
        <v/>
      </c>
      <c r="C86" s="19">
        <f>O85</f>
        <v/>
      </c>
      <c r="D86" s="19">
        <f>P85</f>
        <v/>
      </c>
      <c r="E86" s="19">
        <f>C86+D86</f>
        <v/>
      </c>
      <c r="F86" s="20">
        <f>DATA!C86</f>
        <v/>
      </c>
      <c r="G86" s="20">
        <f>DATA!F86</f>
        <v/>
      </c>
      <c r="H86" s="19">
        <f>C86*(1+F86)</f>
        <v/>
      </c>
      <c r="I86" s="19">
        <f>D86*(1+G86)</f>
        <v/>
      </c>
      <c r="J86" s="19">
        <f>IF(AND(CONFIG!$B$11="Annual",MONTH(A86)=7),(H86+I86)*CONFIG!$B$6/12,J85)</f>
        <v/>
      </c>
      <c r="K86" s="19">
        <f>MAX(0,I86-J86)</f>
        <v/>
      </c>
      <c r="L86">
        <f>IF(OR(MONTH(A86)=3,MONTH(A86)=6,MONTH(A86)=9,MONTH(A86)=12),"Y","N")</f>
        <v/>
      </c>
      <c r="M86" s="21">
        <f>IF((H86+K86)=0,0,K86/(H86+K86))</f>
        <v/>
      </c>
      <c r="N86">
        <f>IF(AND(L86="Y",OR(M86&lt;CONFIG!$B$8,M86&gt;CONFIG!$B$9)),"Y","N")</f>
        <v/>
      </c>
      <c r="O86" s="19">
        <f>IF(N86="Y",(H86+K86)*0.8,H86)</f>
        <v/>
      </c>
      <c r="P86" s="19">
        <f>IF(N86="Y",(H86+K86)*0.2,K86)</f>
        <v/>
      </c>
      <c r="R86" s="18">
        <f>DATA!A86</f>
        <v/>
      </c>
      <c r="S86">
        <f>DATA!B86</f>
        <v/>
      </c>
      <c r="T86" s="19">
        <f>AF85</f>
        <v/>
      </c>
      <c r="U86" s="19">
        <f>AG85</f>
        <v/>
      </c>
      <c r="V86" s="19">
        <f>T86+U86</f>
        <v/>
      </c>
      <c r="W86" s="20">
        <f>DATA!D86</f>
        <v/>
      </c>
      <c r="X86" s="20">
        <f>DATA!F86</f>
        <v/>
      </c>
      <c r="Y86" s="19">
        <f>T86*(1+W86)</f>
        <v/>
      </c>
      <c r="Z86" s="19">
        <f>U86*(1+X86)</f>
        <v/>
      </c>
      <c r="AA86" s="19">
        <f>IF(AND(CONFIG!$B$11="Annual",MONTH(R86)=7),(Y86+Z86)*CONFIG!$B$6/12,AA85)</f>
        <v/>
      </c>
      <c r="AB86" s="19">
        <f>MAX(0,Z86-AA86)</f>
        <v/>
      </c>
      <c r="AC86">
        <f>IF(OR(MONTH(R86)=3,MONTH(R86)=6,MONTH(R86)=9,MONTH(R86)=12),"Y","N")</f>
        <v/>
      </c>
      <c r="AD86" s="21">
        <f>IF((Y86+AB86)=0,0,AB86/(Y86+AB86))</f>
        <v/>
      </c>
      <c r="AE86">
        <f>IF(AND(AC86="Y",OR(AD86&lt;CONFIG!$B$8,AD86&gt;CONFIG!$B$9)),"Y","N")</f>
        <v/>
      </c>
      <c r="AF86" s="19">
        <f>IF(AE86="Y",(Y86+AB86)*0.8,Y86)</f>
        <v/>
      </c>
      <c r="AG86" s="19">
        <f>IF(AE86="Y",(Y86+AB86)*0.2,AB86)</f>
        <v/>
      </c>
      <c r="AI86" s="18">
        <f>DATA!A86</f>
        <v/>
      </c>
      <c r="AJ86">
        <f>DATA!B86</f>
        <v/>
      </c>
      <c r="AK86" s="19">
        <f>AW85</f>
        <v/>
      </c>
      <c r="AL86" s="19">
        <f>AX85</f>
        <v/>
      </c>
      <c r="AM86" s="19">
        <f>AK86+AL86</f>
        <v/>
      </c>
      <c r="AN86" s="20">
        <f>DATA!E86</f>
        <v/>
      </c>
      <c r="AO86" s="20">
        <f>DATA!F86</f>
        <v/>
      </c>
      <c r="AP86" s="19">
        <f>AK86*(1+AN86)</f>
        <v/>
      </c>
      <c r="AQ86" s="19">
        <f>AL86*(1+AO86)</f>
        <v/>
      </c>
      <c r="AR86" s="19">
        <f>IF(AND(CONFIG!$B$11="Annual",MONTH(AI86)=7),(AP86+AQ86)*CONFIG!$B$6/12,AR85)</f>
        <v/>
      </c>
      <c r="AS86" s="19">
        <f>MAX(0,AQ86-AR86)</f>
        <v/>
      </c>
      <c r="AT86">
        <f>IF(OR(MONTH(AI86)=3,MONTH(AI86)=6,MONTH(AI86)=9,MONTH(AI86)=12),"Y","N")</f>
        <v/>
      </c>
      <c r="AU86" s="21">
        <f>IF((AP86+AS86)=0,0,AS86/(AP86+AS86))</f>
        <v/>
      </c>
      <c r="AV86">
        <f>IF(AND(AT86="Y",OR(AU86&lt;CONFIG!$B$8,AU86&gt;CONFIG!$B$9)),"Y","N")</f>
        <v/>
      </c>
      <c r="AW86" s="19">
        <f>IF(AV86="Y",(AP86+AS86)*0.8,AP86)</f>
        <v/>
      </c>
      <c r="AX86" s="19">
        <f>IF(AV86="Y",(AP86+AS86)*0.2,AS86)</f>
        <v/>
      </c>
    </row>
    <row r="87">
      <c r="A87" s="18">
        <f>DATA!A87</f>
        <v/>
      </c>
      <c r="B87">
        <f>DATA!B87</f>
        <v/>
      </c>
      <c r="C87" s="19">
        <f>O86</f>
        <v/>
      </c>
      <c r="D87" s="19">
        <f>P86</f>
        <v/>
      </c>
      <c r="E87" s="19">
        <f>C87+D87</f>
        <v/>
      </c>
      <c r="F87" s="20">
        <f>DATA!C87</f>
        <v/>
      </c>
      <c r="G87" s="20">
        <f>DATA!F87</f>
        <v/>
      </c>
      <c r="H87" s="19">
        <f>C87*(1+F87)</f>
        <v/>
      </c>
      <c r="I87" s="19">
        <f>D87*(1+G87)</f>
        <v/>
      </c>
      <c r="J87" s="19">
        <f>IF(AND(CONFIG!$B$11="Annual",MONTH(A87)=7),(H87+I87)*CONFIG!$B$6/12,J86)</f>
        <v/>
      </c>
      <c r="K87" s="19">
        <f>MAX(0,I87-J87)</f>
        <v/>
      </c>
      <c r="L87">
        <f>IF(OR(MONTH(A87)=3,MONTH(A87)=6,MONTH(A87)=9,MONTH(A87)=12),"Y","N")</f>
        <v/>
      </c>
      <c r="M87" s="21">
        <f>IF((H87+K87)=0,0,K87/(H87+K87))</f>
        <v/>
      </c>
      <c r="N87">
        <f>IF(AND(L87="Y",OR(M87&lt;CONFIG!$B$8,M87&gt;CONFIG!$B$9)),"Y","N")</f>
        <v/>
      </c>
      <c r="O87" s="19">
        <f>IF(N87="Y",(H87+K87)*0.8,H87)</f>
        <v/>
      </c>
      <c r="P87" s="19">
        <f>IF(N87="Y",(H87+K87)*0.2,K87)</f>
        <v/>
      </c>
      <c r="R87" s="18">
        <f>DATA!A87</f>
        <v/>
      </c>
      <c r="S87">
        <f>DATA!B87</f>
        <v/>
      </c>
      <c r="T87" s="19">
        <f>AF86</f>
        <v/>
      </c>
      <c r="U87" s="19">
        <f>AG86</f>
        <v/>
      </c>
      <c r="V87" s="19">
        <f>T87+U87</f>
        <v/>
      </c>
      <c r="W87" s="20">
        <f>DATA!D87</f>
        <v/>
      </c>
      <c r="X87" s="20">
        <f>DATA!F87</f>
        <v/>
      </c>
      <c r="Y87" s="19">
        <f>T87*(1+W87)</f>
        <v/>
      </c>
      <c r="Z87" s="19">
        <f>U87*(1+X87)</f>
        <v/>
      </c>
      <c r="AA87" s="19">
        <f>IF(AND(CONFIG!$B$11="Annual",MONTH(R87)=7),(Y87+Z87)*CONFIG!$B$6/12,AA86)</f>
        <v/>
      </c>
      <c r="AB87" s="19">
        <f>MAX(0,Z87-AA87)</f>
        <v/>
      </c>
      <c r="AC87">
        <f>IF(OR(MONTH(R87)=3,MONTH(R87)=6,MONTH(R87)=9,MONTH(R87)=12),"Y","N")</f>
        <v/>
      </c>
      <c r="AD87" s="21">
        <f>IF((Y87+AB87)=0,0,AB87/(Y87+AB87))</f>
        <v/>
      </c>
      <c r="AE87">
        <f>IF(AND(AC87="Y",OR(AD87&lt;CONFIG!$B$8,AD87&gt;CONFIG!$B$9)),"Y","N")</f>
        <v/>
      </c>
      <c r="AF87" s="19">
        <f>IF(AE87="Y",(Y87+AB87)*0.8,Y87)</f>
        <v/>
      </c>
      <c r="AG87" s="19">
        <f>IF(AE87="Y",(Y87+AB87)*0.2,AB87)</f>
        <v/>
      </c>
      <c r="AI87" s="18">
        <f>DATA!A87</f>
        <v/>
      </c>
      <c r="AJ87">
        <f>DATA!B87</f>
        <v/>
      </c>
      <c r="AK87" s="19">
        <f>AW86</f>
        <v/>
      </c>
      <c r="AL87" s="19">
        <f>AX86</f>
        <v/>
      </c>
      <c r="AM87" s="19">
        <f>AK87+AL87</f>
        <v/>
      </c>
      <c r="AN87" s="20">
        <f>DATA!E87</f>
        <v/>
      </c>
      <c r="AO87" s="20">
        <f>DATA!F87</f>
        <v/>
      </c>
      <c r="AP87" s="19">
        <f>AK87*(1+AN87)</f>
        <v/>
      </c>
      <c r="AQ87" s="19">
        <f>AL87*(1+AO87)</f>
        <v/>
      </c>
      <c r="AR87" s="19">
        <f>IF(AND(CONFIG!$B$11="Annual",MONTH(AI87)=7),(AP87+AQ87)*CONFIG!$B$6/12,AR86)</f>
        <v/>
      </c>
      <c r="AS87" s="19">
        <f>MAX(0,AQ87-AR87)</f>
        <v/>
      </c>
      <c r="AT87">
        <f>IF(OR(MONTH(AI87)=3,MONTH(AI87)=6,MONTH(AI87)=9,MONTH(AI87)=12),"Y","N")</f>
        <v/>
      </c>
      <c r="AU87" s="21">
        <f>IF((AP87+AS87)=0,0,AS87/(AP87+AS87))</f>
        <v/>
      </c>
      <c r="AV87">
        <f>IF(AND(AT87="Y",OR(AU87&lt;CONFIG!$B$8,AU87&gt;CONFIG!$B$9)),"Y","N")</f>
        <v/>
      </c>
      <c r="AW87" s="19">
        <f>IF(AV87="Y",(AP87+AS87)*0.8,AP87)</f>
        <v/>
      </c>
      <c r="AX87" s="19">
        <f>IF(AV87="Y",(AP87+AS87)*0.2,AS87)</f>
        <v/>
      </c>
    </row>
    <row r="88">
      <c r="A88" s="18">
        <f>DATA!A88</f>
        <v/>
      </c>
      <c r="B88">
        <f>DATA!B88</f>
        <v/>
      </c>
      <c r="C88" s="19">
        <f>O87</f>
        <v/>
      </c>
      <c r="D88" s="19">
        <f>P87</f>
        <v/>
      </c>
      <c r="E88" s="19">
        <f>C88+D88</f>
        <v/>
      </c>
      <c r="F88" s="20">
        <f>DATA!C88</f>
        <v/>
      </c>
      <c r="G88" s="20">
        <f>DATA!F88</f>
        <v/>
      </c>
      <c r="H88" s="19">
        <f>C88*(1+F88)</f>
        <v/>
      </c>
      <c r="I88" s="19">
        <f>D88*(1+G88)</f>
        <v/>
      </c>
      <c r="J88" s="19">
        <f>IF(AND(CONFIG!$B$11="Annual",MONTH(A88)=7),(H88+I88)*CONFIG!$B$6/12,J87)</f>
        <v/>
      </c>
      <c r="K88" s="19">
        <f>MAX(0,I88-J88)</f>
        <v/>
      </c>
      <c r="L88">
        <f>IF(OR(MONTH(A88)=3,MONTH(A88)=6,MONTH(A88)=9,MONTH(A88)=12),"Y","N")</f>
        <v/>
      </c>
      <c r="M88" s="21">
        <f>IF((H88+K88)=0,0,K88/(H88+K88))</f>
        <v/>
      </c>
      <c r="N88">
        <f>IF(AND(L88="Y",OR(M88&lt;CONFIG!$B$8,M88&gt;CONFIG!$B$9)),"Y","N")</f>
        <v/>
      </c>
      <c r="O88" s="19">
        <f>IF(N88="Y",(H88+K88)*0.8,H88)</f>
        <v/>
      </c>
      <c r="P88" s="19">
        <f>IF(N88="Y",(H88+K88)*0.2,K88)</f>
        <v/>
      </c>
      <c r="R88" s="18">
        <f>DATA!A88</f>
        <v/>
      </c>
      <c r="S88">
        <f>DATA!B88</f>
        <v/>
      </c>
      <c r="T88" s="19">
        <f>AF87</f>
        <v/>
      </c>
      <c r="U88" s="19">
        <f>AG87</f>
        <v/>
      </c>
      <c r="V88" s="19">
        <f>T88+U88</f>
        <v/>
      </c>
      <c r="W88" s="20">
        <f>DATA!D88</f>
        <v/>
      </c>
      <c r="X88" s="20">
        <f>DATA!F88</f>
        <v/>
      </c>
      <c r="Y88" s="19">
        <f>T88*(1+W88)</f>
        <v/>
      </c>
      <c r="Z88" s="19">
        <f>U88*(1+X88)</f>
        <v/>
      </c>
      <c r="AA88" s="19">
        <f>IF(AND(CONFIG!$B$11="Annual",MONTH(R88)=7),(Y88+Z88)*CONFIG!$B$6/12,AA87)</f>
        <v/>
      </c>
      <c r="AB88" s="19">
        <f>MAX(0,Z88-AA88)</f>
        <v/>
      </c>
      <c r="AC88">
        <f>IF(OR(MONTH(R88)=3,MONTH(R88)=6,MONTH(R88)=9,MONTH(R88)=12),"Y","N")</f>
        <v/>
      </c>
      <c r="AD88" s="21">
        <f>IF((Y88+AB88)=0,0,AB88/(Y88+AB88))</f>
        <v/>
      </c>
      <c r="AE88">
        <f>IF(AND(AC88="Y",OR(AD88&lt;CONFIG!$B$8,AD88&gt;CONFIG!$B$9)),"Y","N")</f>
        <v/>
      </c>
      <c r="AF88" s="19">
        <f>IF(AE88="Y",(Y88+AB88)*0.8,Y88)</f>
        <v/>
      </c>
      <c r="AG88" s="19">
        <f>IF(AE88="Y",(Y88+AB88)*0.2,AB88)</f>
        <v/>
      </c>
      <c r="AI88" s="18">
        <f>DATA!A88</f>
        <v/>
      </c>
      <c r="AJ88">
        <f>DATA!B88</f>
        <v/>
      </c>
      <c r="AK88" s="19">
        <f>AW87</f>
        <v/>
      </c>
      <c r="AL88" s="19">
        <f>AX87</f>
        <v/>
      </c>
      <c r="AM88" s="19">
        <f>AK88+AL88</f>
        <v/>
      </c>
      <c r="AN88" s="20">
        <f>DATA!E88</f>
        <v/>
      </c>
      <c r="AO88" s="20">
        <f>DATA!F88</f>
        <v/>
      </c>
      <c r="AP88" s="19">
        <f>AK88*(1+AN88)</f>
        <v/>
      </c>
      <c r="AQ88" s="19">
        <f>AL88*(1+AO88)</f>
        <v/>
      </c>
      <c r="AR88" s="19">
        <f>IF(AND(CONFIG!$B$11="Annual",MONTH(AI88)=7),(AP88+AQ88)*CONFIG!$B$6/12,AR87)</f>
        <v/>
      </c>
      <c r="AS88" s="19">
        <f>MAX(0,AQ88-AR88)</f>
        <v/>
      </c>
      <c r="AT88">
        <f>IF(OR(MONTH(AI88)=3,MONTH(AI88)=6,MONTH(AI88)=9,MONTH(AI88)=12),"Y","N")</f>
        <v/>
      </c>
      <c r="AU88" s="21">
        <f>IF((AP88+AS88)=0,0,AS88/(AP88+AS88))</f>
        <v/>
      </c>
      <c r="AV88">
        <f>IF(AND(AT88="Y",OR(AU88&lt;CONFIG!$B$8,AU88&gt;CONFIG!$B$9)),"Y","N")</f>
        <v/>
      </c>
      <c r="AW88" s="19">
        <f>IF(AV88="Y",(AP88+AS88)*0.8,AP88)</f>
        <v/>
      </c>
      <c r="AX88" s="19">
        <f>IF(AV88="Y",(AP88+AS88)*0.2,AS88)</f>
        <v/>
      </c>
    </row>
    <row r="89">
      <c r="A89" s="18">
        <f>DATA!A89</f>
        <v/>
      </c>
      <c r="B89">
        <f>DATA!B89</f>
        <v/>
      </c>
      <c r="C89" s="19">
        <f>O88</f>
        <v/>
      </c>
      <c r="D89" s="19">
        <f>P88</f>
        <v/>
      </c>
      <c r="E89" s="19">
        <f>C89+D89</f>
        <v/>
      </c>
      <c r="F89" s="20">
        <f>DATA!C89</f>
        <v/>
      </c>
      <c r="G89" s="20">
        <f>DATA!F89</f>
        <v/>
      </c>
      <c r="H89" s="19">
        <f>C89*(1+F89)</f>
        <v/>
      </c>
      <c r="I89" s="19">
        <f>D89*(1+G89)</f>
        <v/>
      </c>
      <c r="J89" s="19">
        <f>IF(AND(CONFIG!$B$11="Annual",MONTH(A89)=7),(H89+I89)*CONFIG!$B$6/12,J88)</f>
        <v/>
      </c>
      <c r="K89" s="19">
        <f>MAX(0,I89-J89)</f>
        <v/>
      </c>
      <c r="L89">
        <f>IF(OR(MONTH(A89)=3,MONTH(A89)=6,MONTH(A89)=9,MONTH(A89)=12),"Y","N")</f>
        <v/>
      </c>
      <c r="M89" s="21">
        <f>IF((H89+K89)=0,0,K89/(H89+K89))</f>
        <v/>
      </c>
      <c r="N89">
        <f>IF(AND(L89="Y",OR(M89&lt;CONFIG!$B$8,M89&gt;CONFIG!$B$9)),"Y","N")</f>
        <v/>
      </c>
      <c r="O89" s="19">
        <f>IF(N89="Y",(H89+K89)*0.8,H89)</f>
        <v/>
      </c>
      <c r="P89" s="19">
        <f>IF(N89="Y",(H89+K89)*0.2,K89)</f>
        <v/>
      </c>
      <c r="R89" s="18">
        <f>DATA!A89</f>
        <v/>
      </c>
      <c r="S89">
        <f>DATA!B89</f>
        <v/>
      </c>
      <c r="T89" s="19">
        <f>AF88</f>
        <v/>
      </c>
      <c r="U89" s="19">
        <f>AG88</f>
        <v/>
      </c>
      <c r="V89" s="19">
        <f>T89+U89</f>
        <v/>
      </c>
      <c r="W89" s="20">
        <f>DATA!D89</f>
        <v/>
      </c>
      <c r="X89" s="20">
        <f>DATA!F89</f>
        <v/>
      </c>
      <c r="Y89" s="19">
        <f>T89*(1+W89)</f>
        <v/>
      </c>
      <c r="Z89" s="19">
        <f>U89*(1+X89)</f>
        <v/>
      </c>
      <c r="AA89" s="19">
        <f>IF(AND(CONFIG!$B$11="Annual",MONTH(R89)=7),(Y89+Z89)*CONFIG!$B$6/12,AA88)</f>
        <v/>
      </c>
      <c r="AB89" s="19">
        <f>MAX(0,Z89-AA89)</f>
        <v/>
      </c>
      <c r="AC89">
        <f>IF(OR(MONTH(R89)=3,MONTH(R89)=6,MONTH(R89)=9,MONTH(R89)=12),"Y","N")</f>
        <v/>
      </c>
      <c r="AD89" s="21">
        <f>IF((Y89+AB89)=0,0,AB89/(Y89+AB89))</f>
        <v/>
      </c>
      <c r="AE89">
        <f>IF(AND(AC89="Y",OR(AD89&lt;CONFIG!$B$8,AD89&gt;CONFIG!$B$9)),"Y","N")</f>
        <v/>
      </c>
      <c r="AF89" s="19">
        <f>IF(AE89="Y",(Y89+AB89)*0.8,Y89)</f>
        <v/>
      </c>
      <c r="AG89" s="19">
        <f>IF(AE89="Y",(Y89+AB89)*0.2,AB89)</f>
        <v/>
      </c>
      <c r="AI89" s="18">
        <f>DATA!A89</f>
        <v/>
      </c>
      <c r="AJ89">
        <f>DATA!B89</f>
        <v/>
      </c>
      <c r="AK89" s="19">
        <f>AW88</f>
        <v/>
      </c>
      <c r="AL89" s="19">
        <f>AX88</f>
        <v/>
      </c>
      <c r="AM89" s="19">
        <f>AK89+AL89</f>
        <v/>
      </c>
      <c r="AN89" s="20">
        <f>DATA!E89</f>
        <v/>
      </c>
      <c r="AO89" s="20">
        <f>DATA!F89</f>
        <v/>
      </c>
      <c r="AP89" s="19">
        <f>AK89*(1+AN89)</f>
        <v/>
      </c>
      <c r="AQ89" s="19">
        <f>AL89*(1+AO89)</f>
        <v/>
      </c>
      <c r="AR89" s="19">
        <f>IF(AND(CONFIG!$B$11="Annual",MONTH(AI89)=7),(AP89+AQ89)*CONFIG!$B$6/12,AR88)</f>
        <v/>
      </c>
      <c r="AS89" s="19">
        <f>MAX(0,AQ89-AR89)</f>
        <v/>
      </c>
      <c r="AT89">
        <f>IF(OR(MONTH(AI89)=3,MONTH(AI89)=6,MONTH(AI89)=9,MONTH(AI89)=12),"Y","N")</f>
        <v/>
      </c>
      <c r="AU89" s="21">
        <f>IF((AP89+AS89)=0,0,AS89/(AP89+AS89))</f>
        <v/>
      </c>
      <c r="AV89">
        <f>IF(AND(AT89="Y",OR(AU89&lt;CONFIG!$B$8,AU89&gt;CONFIG!$B$9)),"Y","N")</f>
        <v/>
      </c>
      <c r="AW89" s="19">
        <f>IF(AV89="Y",(AP89+AS89)*0.8,AP89)</f>
        <v/>
      </c>
      <c r="AX89" s="19">
        <f>IF(AV89="Y",(AP89+AS89)*0.2,AS89)</f>
        <v/>
      </c>
    </row>
    <row r="90">
      <c r="A90" s="18">
        <f>DATA!A90</f>
        <v/>
      </c>
      <c r="B90">
        <f>DATA!B90</f>
        <v/>
      </c>
      <c r="C90" s="19">
        <f>O89</f>
        <v/>
      </c>
      <c r="D90" s="19">
        <f>P89</f>
        <v/>
      </c>
      <c r="E90" s="19">
        <f>C90+D90</f>
        <v/>
      </c>
      <c r="F90" s="20">
        <f>DATA!C90</f>
        <v/>
      </c>
      <c r="G90" s="20">
        <f>DATA!F90</f>
        <v/>
      </c>
      <c r="H90" s="19">
        <f>C90*(1+F90)</f>
        <v/>
      </c>
      <c r="I90" s="19">
        <f>D90*(1+G90)</f>
        <v/>
      </c>
      <c r="J90" s="19">
        <f>IF(AND(CONFIG!$B$11="Annual",MONTH(A90)=7),(H90+I90)*CONFIG!$B$6/12,J89)</f>
        <v/>
      </c>
      <c r="K90" s="19">
        <f>MAX(0,I90-J90)</f>
        <v/>
      </c>
      <c r="L90">
        <f>IF(OR(MONTH(A90)=3,MONTH(A90)=6,MONTH(A90)=9,MONTH(A90)=12),"Y","N")</f>
        <v/>
      </c>
      <c r="M90" s="21">
        <f>IF((H90+K90)=0,0,K90/(H90+K90))</f>
        <v/>
      </c>
      <c r="N90">
        <f>IF(AND(L90="Y",OR(M90&lt;CONFIG!$B$8,M90&gt;CONFIG!$B$9)),"Y","N")</f>
        <v/>
      </c>
      <c r="O90" s="19">
        <f>IF(N90="Y",(H90+K90)*0.8,H90)</f>
        <v/>
      </c>
      <c r="P90" s="19">
        <f>IF(N90="Y",(H90+K90)*0.2,K90)</f>
        <v/>
      </c>
      <c r="R90" s="18">
        <f>DATA!A90</f>
        <v/>
      </c>
      <c r="S90">
        <f>DATA!B90</f>
        <v/>
      </c>
      <c r="T90" s="19">
        <f>AF89</f>
        <v/>
      </c>
      <c r="U90" s="19">
        <f>AG89</f>
        <v/>
      </c>
      <c r="V90" s="19">
        <f>T90+U90</f>
        <v/>
      </c>
      <c r="W90" s="20">
        <f>DATA!D90</f>
        <v/>
      </c>
      <c r="X90" s="20">
        <f>DATA!F90</f>
        <v/>
      </c>
      <c r="Y90" s="19">
        <f>T90*(1+W90)</f>
        <v/>
      </c>
      <c r="Z90" s="19">
        <f>U90*(1+X90)</f>
        <v/>
      </c>
      <c r="AA90" s="19">
        <f>IF(AND(CONFIG!$B$11="Annual",MONTH(R90)=7),(Y90+Z90)*CONFIG!$B$6/12,AA89)</f>
        <v/>
      </c>
      <c r="AB90" s="19">
        <f>MAX(0,Z90-AA90)</f>
        <v/>
      </c>
      <c r="AC90">
        <f>IF(OR(MONTH(R90)=3,MONTH(R90)=6,MONTH(R90)=9,MONTH(R90)=12),"Y","N")</f>
        <v/>
      </c>
      <c r="AD90" s="21">
        <f>IF((Y90+AB90)=0,0,AB90/(Y90+AB90))</f>
        <v/>
      </c>
      <c r="AE90">
        <f>IF(AND(AC90="Y",OR(AD90&lt;CONFIG!$B$8,AD90&gt;CONFIG!$B$9)),"Y","N")</f>
        <v/>
      </c>
      <c r="AF90" s="19">
        <f>IF(AE90="Y",(Y90+AB90)*0.8,Y90)</f>
        <v/>
      </c>
      <c r="AG90" s="19">
        <f>IF(AE90="Y",(Y90+AB90)*0.2,AB90)</f>
        <v/>
      </c>
      <c r="AI90" s="18">
        <f>DATA!A90</f>
        <v/>
      </c>
      <c r="AJ90">
        <f>DATA!B90</f>
        <v/>
      </c>
      <c r="AK90" s="19">
        <f>AW89</f>
        <v/>
      </c>
      <c r="AL90" s="19">
        <f>AX89</f>
        <v/>
      </c>
      <c r="AM90" s="19">
        <f>AK90+AL90</f>
        <v/>
      </c>
      <c r="AN90" s="20">
        <f>DATA!E90</f>
        <v/>
      </c>
      <c r="AO90" s="20">
        <f>DATA!F90</f>
        <v/>
      </c>
      <c r="AP90" s="19">
        <f>AK90*(1+AN90)</f>
        <v/>
      </c>
      <c r="AQ90" s="19">
        <f>AL90*(1+AO90)</f>
        <v/>
      </c>
      <c r="AR90" s="19">
        <f>IF(AND(CONFIG!$B$11="Annual",MONTH(AI90)=7),(AP90+AQ90)*CONFIG!$B$6/12,AR89)</f>
        <v/>
      </c>
      <c r="AS90" s="19">
        <f>MAX(0,AQ90-AR90)</f>
        <v/>
      </c>
      <c r="AT90">
        <f>IF(OR(MONTH(AI90)=3,MONTH(AI90)=6,MONTH(AI90)=9,MONTH(AI90)=12),"Y","N")</f>
        <v/>
      </c>
      <c r="AU90" s="21">
        <f>IF((AP90+AS90)=0,0,AS90/(AP90+AS90))</f>
        <v/>
      </c>
      <c r="AV90">
        <f>IF(AND(AT90="Y",OR(AU90&lt;CONFIG!$B$8,AU90&gt;CONFIG!$B$9)),"Y","N")</f>
        <v/>
      </c>
      <c r="AW90" s="19">
        <f>IF(AV90="Y",(AP90+AS90)*0.8,AP90)</f>
        <v/>
      </c>
      <c r="AX90" s="19">
        <f>IF(AV90="Y",(AP90+AS90)*0.2,AS90)</f>
        <v/>
      </c>
    </row>
    <row r="91">
      <c r="A91" s="18">
        <f>DATA!A91</f>
        <v/>
      </c>
      <c r="B91">
        <f>DATA!B91</f>
        <v/>
      </c>
      <c r="C91" s="19">
        <f>O90</f>
        <v/>
      </c>
      <c r="D91" s="19">
        <f>P90</f>
        <v/>
      </c>
      <c r="E91" s="19">
        <f>C91+D91</f>
        <v/>
      </c>
      <c r="F91" s="20">
        <f>DATA!C91</f>
        <v/>
      </c>
      <c r="G91" s="20">
        <f>DATA!F91</f>
        <v/>
      </c>
      <c r="H91" s="19">
        <f>C91*(1+F91)</f>
        <v/>
      </c>
      <c r="I91" s="19">
        <f>D91*(1+G91)</f>
        <v/>
      </c>
      <c r="J91" s="19">
        <f>IF(AND(CONFIG!$B$11="Annual",MONTH(A91)=7),(H91+I91)*CONFIG!$B$6/12,J90)</f>
        <v/>
      </c>
      <c r="K91" s="19">
        <f>MAX(0,I91-J91)</f>
        <v/>
      </c>
      <c r="L91">
        <f>IF(OR(MONTH(A91)=3,MONTH(A91)=6,MONTH(A91)=9,MONTH(A91)=12),"Y","N")</f>
        <v/>
      </c>
      <c r="M91" s="21">
        <f>IF((H91+K91)=0,0,K91/(H91+K91))</f>
        <v/>
      </c>
      <c r="N91">
        <f>IF(AND(L91="Y",OR(M91&lt;CONFIG!$B$8,M91&gt;CONFIG!$B$9)),"Y","N")</f>
        <v/>
      </c>
      <c r="O91" s="19">
        <f>IF(N91="Y",(H91+K91)*0.8,H91)</f>
        <v/>
      </c>
      <c r="P91" s="19">
        <f>IF(N91="Y",(H91+K91)*0.2,K91)</f>
        <v/>
      </c>
      <c r="R91" s="18">
        <f>DATA!A91</f>
        <v/>
      </c>
      <c r="S91">
        <f>DATA!B91</f>
        <v/>
      </c>
      <c r="T91" s="19">
        <f>AF90</f>
        <v/>
      </c>
      <c r="U91" s="19">
        <f>AG90</f>
        <v/>
      </c>
      <c r="V91" s="19">
        <f>T91+U91</f>
        <v/>
      </c>
      <c r="W91" s="20">
        <f>DATA!D91</f>
        <v/>
      </c>
      <c r="X91" s="20">
        <f>DATA!F91</f>
        <v/>
      </c>
      <c r="Y91" s="19">
        <f>T91*(1+W91)</f>
        <v/>
      </c>
      <c r="Z91" s="19">
        <f>U91*(1+X91)</f>
        <v/>
      </c>
      <c r="AA91" s="19">
        <f>IF(AND(CONFIG!$B$11="Annual",MONTH(R91)=7),(Y91+Z91)*CONFIG!$B$6/12,AA90)</f>
        <v/>
      </c>
      <c r="AB91" s="19">
        <f>MAX(0,Z91-AA91)</f>
        <v/>
      </c>
      <c r="AC91">
        <f>IF(OR(MONTH(R91)=3,MONTH(R91)=6,MONTH(R91)=9,MONTH(R91)=12),"Y","N")</f>
        <v/>
      </c>
      <c r="AD91" s="21">
        <f>IF((Y91+AB91)=0,0,AB91/(Y91+AB91))</f>
        <v/>
      </c>
      <c r="AE91">
        <f>IF(AND(AC91="Y",OR(AD91&lt;CONFIG!$B$8,AD91&gt;CONFIG!$B$9)),"Y","N")</f>
        <v/>
      </c>
      <c r="AF91" s="19">
        <f>IF(AE91="Y",(Y91+AB91)*0.8,Y91)</f>
        <v/>
      </c>
      <c r="AG91" s="19">
        <f>IF(AE91="Y",(Y91+AB91)*0.2,AB91)</f>
        <v/>
      </c>
      <c r="AI91" s="18">
        <f>DATA!A91</f>
        <v/>
      </c>
      <c r="AJ91">
        <f>DATA!B91</f>
        <v/>
      </c>
      <c r="AK91" s="19">
        <f>AW90</f>
        <v/>
      </c>
      <c r="AL91" s="19">
        <f>AX90</f>
        <v/>
      </c>
      <c r="AM91" s="19">
        <f>AK91+AL91</f>
        <v/>
      </c>
      <c r="AN91" s="20">
        <f>DATA!E91</f>
        <v/>
      </c>
      <c r="AO91" s="20">
        <f>DATA!F91</f>
        <v/>
      </c>
      <c r="AP91" s="19">
        <f>AK91*(1+AN91)</f>
        <v/>
      </c>
      <c r="AQ91" s="19">
        <f>AL91*(1+AO91)</f>
        <v/>
      </c>
      <c r="AR91" s="19">
        <f>IF(AND(CONFIG!$B$11="Annual",MONTH(AI91)=7),(AP91+AQ91)*CONFIG!$B$6/12,AR90)</f>
        <v/>
      </c>
      <c r="AS91" s="19">
        <f>MAX(0,AQ91-AR91)</f>
        <v/>
      </c>
      <c r="AT91">
        <f>IF(OR(MONTH(AI91)=3,MONTH(AI91)=6,MONTH(AI91)=9,MONTH(AI91)=12),"Y","N")</f>
        <v/>
      </c>
      <c r="AU91" s="21">
        <f>IF((AP91+AS91)=0,0,AS91/(AP91+AS91))</f>
        <v/>
      </c>
      <c r="AV91">
        <f>IF(AND(AT91="Y",OR(AU91&lt;CONFIG!$B$8,AU91&gt;CONFIG!$B$9)),"Y","N")</f>
        <v/>
      </c>
      <c r="AW91" s="19">
        <f>IF(AV91="Y",(AP91+AS91)*0.8,AP91)</f>
        <v/>
      </c>
      <c r="AX91" s="19">
        <f>IF(AV91="Y",(AP91+AS91)*0.2,AS91)</f>
        <v/>
      </c>
    </row>
    <row r="92">
      <c r="A92" s="18">
        <f>DATA!A92</f>
        <v/>
      </c>
      <c r="B92">
        <f>DATA!B92</f>
        <v/>
      </c>
      <c r="C92" s="19">
        <f>O91</f>
        <v/>
      </c>
      <c r="D92" s="19">
        <f>P91</f>
        <v/>
      </c>
      <c r="E92" s="19">
        <f>C92+D92</f>
        <v/>
      </c>
      <c r="F92" s="20">
        <f>DATA!C92</f>
        <v/>
      </c>
      <c r="G92" s="20">
        <f>DATA!F92</f>
        <v/>
      </c>
      <c r="H92" s="19">
        <f>C92*(1+F92)</f>
        <v/>
      </c>
      <c r="I92" s="19">
        <f>D92*(1+G92)</f>
        <v/>
      </c>
      <c r="J92" s="19">
        <f>IF(AND(CONFIG!$B$11="Annual",MONTH(A92)=7),(H92+I92)*CONFIG!$B$6/12,J91)</f>
        <v/>
      </c>
      <c r="K92" s="19">
        <f>MAX(0,I92-J92)</f>
        <v/>
      </c>
      <c r="L92">
        <f>IF(OR(MONTH(A92)=3,MONTH(A92)=6,MONTH(A92)=9,MONTH(A92)=12),"Y","N")</f>
        <v/>
      </c>
      <c r="M92" s="21">
        <f>IF((H92+K92)=0,0,K92/(H92+K92))</f>
        <v/>
      </c>
      <c r="N92">
        <f>IF(AND(L92="Y",OR(M92&lt;CONFIG!$B$8,M92&gt;CONFIG!$B$9)),"Y","N")</f>
        <v/>
      </c>
      <c r="O92" s="19">
        <f>IF(N92="Y",(H92+K92)*0.8,H92)</f>
        <v/>
      </c>
      <c r="P92" s="19">
        <f>IF(N92="Y",(H92+K92)*0.2,K92)</f>
        <v/>
      </c>
      <c r="R92" s="18">
        <f>DATA!A92</f>
        <v/>
      </c>
      <c r="S92">
        <f>DATA!B92</f>
        <v/>
      </c>
      <c r="T92" s="19">
        <f>AF91</f>
        <v/>
      </c>
      <c r="U92" s="19">
        <f>AG91</f>
        <v/>
      </c>
      <c r="V92" s="19">
        <f>T92+U92</f>
        <v/>
      </c>
      <c r="W92" s="20">
        <f>DATA!D92</f>
        <v/>
      </c>
      <c r="X92" s="20">
        <f>DATA!F92</f>
        <v/>
      </c>
      <c r="Y92" s="19">
        <f>T92*(1+W92)</f>
        <v/>
      </c>
      <c r="Z92" s="19">
        <f>U92*(1+X92)</f>
        <v/>
      </c>
      <c r="AA92" s="19">
        <f>IF(AND(CONFIG!$B$11="Annual",MONTH(R92)=7),(Y92+Z92)*CONFIG!$B$6/12,AA91)</f>
        <v/>
      </c>
      <c r="AB92" s="19">
        <f>MAX(0,Z92-AA92)</f>
        <v/>
      </c>
      <c r="AC92">
        <f>IF(OR(MONTH(R92)=3,MONTH(R92)=6,MONTH(R92)=9,MONTH(R92)=12),"Y","N")</f>
        <v/>
      </c>
      <c r="AD92" s="21">
        <f>IF((Y92+AB92)=0,0,AB92/(Y92+AB92))</f>
        <v/>
      </c>
      <c r="AE92">
        <f>IF(AND(AC92="Y",OR(AD92&lt;CONFIG!$B$8,AD92&gt;CONFIG!$B$9)),"Y","N")</f>
        <v/>
      </c>
      <c r="AF92" s="19">
        <f>IF(AE92="Y",(Y92+AB92)*0.8,Y92)</f>
        <v/>
      </c>
      <c r="AG92" s="19">
        <f>IF(AE92="Y",(Y92+AB92)*0.2,AB92)</f>
        <v/>
      </c>
      <c r="AI92" s="18">
        <f>DATA!A92</f>
        <v/>
      </c>
      <c r="AJ92">
        <f>DATA!B92</f>
        <v/>
      </c>
      <c r="AK92" s="19">
        <f>AW91</f>
        <v/>
      </c>
      <c r="AL92" s="19">
        <f>AX91</f>
        <v/>
      </c>
      <c r="AM92" s="19">
        <f>AK92+AL92</f>
        <v/>
      </c>
      <c r="AN92" s="20">
        <f>DATA!E92</f>
        <v/>
      </c>
      <c r="AO92" s="20">
        <f>DATA!F92</f>
        <v/>
      </c>
      <c r="AP92" s="19">
        <f>AK92*(1+AN92)</f>
        <v/>
      </c>
      <c r="AQ92" s="19">
        <f>AL92*(1+AO92)</f>
        <v/>
      </c>
      <c r="AR92" s="19">
        <f>IF(AND(CONFIG!$B$11="Annual",MONTH(AI92)=7),(AP92+AQ92)*CONFIG!$B$6/12,AR91)</f>
        <v/>
      </c>
      <c r="AS92" s="19">
        <f>MAX(0,AQ92-AR92)</f>
        <v/>
      </c>
      <c r="AT92">
        <f>IF(OR(MONTH(AI92)=3,MONTH(AI92)=6,MONTH(AI92)=9,MONTH(AI92)=12),"Y","N")</f>
        <v/>
      </c>
      <c r="AU92" s="21">
        <f>IF((AP92+AS92)=0,0,AS92/(AP92+AS92))</f>
        <v/>
      </c>
      <c r="AV92">
        <f>IF(AND(AT92="Y",OR(AU92&lt;CONFIG!$B$8,AU92&gt;CONFIG!$B$9)),"Y","N")</f>
        <v/>
      </c>
      <c r="AW92" s="19">
        <f>IF(AV92="Y",(AP92+AS92)*0.8,AP92)</f>
        <v/>
      </c>
      <c r="AX92" s="19">
        <f>IF(AV92="Y",(AP92+AS92)*0.2,AS92)</f>
        <v/>
      </c>
    </row>
    <row r="93">
      <c r="A93" s="18">
        <f>DATA!A93</f>
        <v/>
      </c>
      <c r="B93">
        <f>DATA!B93</f>
        <v/>
      </c>
      <c r="C93" s="19">
        <f>O92</f>
        <v/>
      </c>
      <c r="D93" s="19">
        <f>P92</f>
        <v/>
      </c>
      <c r="E93" s="19">
        <f>C93+D93</f>
        <v/>
      </c>
      <c r="F93" s="20">
        <f>DATA!C93</f>
        <v/>
      </c>
      <c r="G93" s="20">
        <f>DATA!F93</f>
        <v/>
      </c>
      <c r="H93" s="19">
        <f>C93*(1+F93)</f>
        <v/>
      </c>
      <c r="I93" s="19">
        <f>D93*(1+G93)</f>
        <v/>
      </c>
      <c r="J93" s="19">
        <f>IF(AND(CONFIG!$B$11="Annual",MONTH(A93)=7),(H93+I93)*CONFIG!$B$6/12,J92)</f>
        <v/>
      </c>
      <c r="K93" s="19">
        <f>MAX(0,I93-J93)</f>
        <v/>
      </c>
      <c r="L93">
        <f>IF(OR(MONTH(A93)=3,MONTH(A93)=6,MONTH(A93)=9,MONTH(A93)=12),"Y","N")</f>
        <v/>
      </c>
      <c r="M93" s="21">
        <f>IF((H93+K93)=0,0,K93/(H93+K93))</f>
        <v/>
      </c>
      <c r="N93">
        <f>IF(AND(L93="Y",OR(M93&lt;CONFIG!$B$8,M93&gt;CONFIG!$B$9)),"Y","N")</f>
        <v/>
      </c>
      <c r="O93" s="19">
        <f>IF(N93="Y",(H93+K93)*0.8,H93)</f>
        <v/>
      </c>
      <c r="P93" s="19">
        <f>IF(N93="Y",(H93+K93)*0.2,K93)</f>
        <v/>
      </c>
      <c r="R93" s="18">
        <f>DATA!A93</f>
        <v/>
      </c>
      <c r="S93">
        <f>DATA!B93</f>
        <v/>
      </c>
      <c r="T93" s="19">
        <f>AF92</f>
        <v/>
      </c>
      <c r="U93" s="19">
        <f>AG92</f>
        <v/>
      </c>
      <c r="V93" s="19">
        <f>T93+U93</f>
        <v/>
      </c>
      <c r="W93" s="20">
        <f>DATA!D93</f>
        <v/>
      </c>
      <c r="X93" s="20">
        <f>DATA!F93</f>
        <v/>
      </c>
      <c r="Y93" s="19">
        <f>T93*(1+W93)</f>
        <v/>
      </c>
      <c r="Z93" s="19">
        <f>U93*(1+X93)</f>
        <v/>
      </c>
      <c r="AA93" s="19">
        <f>IF(AND(CONFIG!$B$11="Annual",MONTH(R93)=7),(Y93+Z93)*CONFIG!$B$6/12,AA92)</f>
        <v/>
      </c>
      <c r="AB93" s="19">
        <f>MAX(0,Z93-AA93)</f>
        <v/>
      </c>
      <c r="AC93">
        <f>IF(OR(MONTH(R93)=3,MONTH(R93)=6,MONTH(R93)=9,MONTH(R93)=12),"Y","N")</f>
        <v/>
      </c>
      <c r="AD93" s="21">
        <f>IF((Y93+AB93)=0,0,AB93/(Y93+AB93))</f>
        <v/>
      </c>
      <c r="AE93">
        <f>IF(AND(AC93="Y",OR(AD93&lt;CONFIG!$B$8,AD93&gt;CONFIG!$B$9)),"Y","N")</f>
        <v/>
      </c>
      <c r="AF93" s="19">
        <f>IF(AE93="Y",(Y93+AB93)*0.8,Y93)</f>
        <v/>
      </c>
      <c r="AG93" s="19">
        <f>IF(AE93="Y",(Y93+AB93)*0.2,AB93)</f>
        <v/>
      </c>
      <c r="AI93" s="18">
        <f>DATA!A93</f>
        <v/>
      </c>
      <c r="AJ93">
        <f>DATA!B93</f>
        <v/>
      </c>
      <c r="AK93" s="19">
        <f>AW92</f>
        <v/>
      </c>
      <c r="AL93" s="19">
        <f>AX92</f>
        <v/>
      </c>
      <c r="AM93" s="19">
        <f>AK93+AL93</f>
        <v/>
      </c>
      <c r="AN93" s="20">
        <f>DATA!E93</f>
        <v/>
      </c>
      <c r="AO93" s="20">
        <f>DATA!F93</f>
        <v/>
      </c>
      <c r="AP93" s="19">
        <f>AK93*(1+AN93)</f>
        <v/>
      </c>
      <c r="AQ93" s="19">
        <f>AL93*(1+AO93)</f>
        <v/>
      </c>
      <c r="AR93" s="19">
        <f>IF(AND(CONFIG!$B$11="Annual",MONTH(AI93)=7),(AP93+AQ93)*CONFIG!$B$6/12,AR92)</f>
        <v/>
      </c>
      <c r="AS93" s="19">
        <f>MAX(0,AQ93-AR93)</f>
        <v/>
      </c>
      <c r="AT93">
        <f>IF(OR(MONTH(AI93)=3,MONTH(AI93)=6,MONTH(AI93)=9,MONTH(AI93)=12),"Y","N")</f>
        <v/>
      </c>
      <c r="AU93" s="21">
        <f>IF((AP93+AS93)=0,0,AS93/(AP93+AS93))</f>
        <v/>
      </c>
      <c r="AV93">
        <f>IF(AND(AT93="Y",OR(AU93&lt;CONFIG!$B$8,AU93&gt;CONFIG!$B$9)),"Y","N")</f>
        <v/>
      </c>
      <c r="AW93" s="19">
        <f>IF(AV93="Y",(AP93+AS93)*0.8,AP93)</f>
        <v/>
      </c>
      <c r="AX93" s="19">
        <f>IF(AV93="Y",(AP93+AS93)*0.2,AS93)</f>
        <v/>
      </c>
    </row>
    <row r="94">
      <c r="A94" s="18">
        <f>DATA!A94</f>
        <v/>
      </c>
      <c r="B94">
        <f>DATA!B94</f>
        <v/>
      </c>
      <c r="C94" s="19">
        <f>O93</f>
        <v/>
      </c>
      <c r="D94" s="19">
        <f>P93</f>
        <v/>
      </c>
      <c r="E94" s="19">
        <f>C94+D94</f>
        <v/>
      </c>
      <c r="F94" s="20">
        <f>DATA!C94</f>
        <v/>
      </c>
      <c r="G94" s="20">
        <f>DATA!F94</f>
        <v/>
      </c>
      <c r="H94" s="19">
        <f>C94*(1+F94)</f>
        <v/>
      </c>
      <c r="I94" s="19">
        <f>D94*(1+G94)</f>
        <v/>
      </c>
      <c r="J94" s="19">
        <f>IF(AND(CONFIG!$B$11="Annual",MONTH(A94)=7),(H94+I94)*CONFIG!$B$6/12,J93)</f>
        <v/>
      </c>
      <c r="K94" s="19">
        <f>MAX(0,I94-J94)</f>
        <v/>
      </c>
      <c r="L94">
        <f>IF(OR(MONTH(A94)=3,MONTH(A94)=6,MONTH(A94)=9,MONTH(A94)=12),"Y","N")</f>
        <v/>
      </c>
      <c r="M94" s="21">
        <f>IF((H94+K94)=0,0,K94/(H94+K94))</f>
        <v/>
      </c>
      <c r="N94">
        <f>IF(AND(L94="Y",OR(M94&lt;CONFIG!$B$8,M94&gt;CONFIG!$B$9)),"Y","N")</f>
        <v/>
      </c>
      <c r="O94" s="19">
        <f>IF(N94="Y",(H94+K94)*0.8,H94)</f>
        <v/>
      </c>
      <c r="P94" s="19">
        <f>IF(N94="Y",(H94+K94)*0.2,K94)</f>
        <v/>
      </c>
      <c r="R94" s="18">
        <f>DATA!A94</f>
        <v/>
      </c>
      <c r="S94">
        <f>DATA!B94</f>
        <v/>
      </c>
      <c r="T94" s="19">
        <f>AF93</f>
        <v/>
      </c>
      <c r="U94" s="19">
        <f>AG93</f>
        <v/>
      </c>
      <c r="V94" s="19">
        <f>T94+U94</f>
        <v/>
      </c>
      <c r="W94" s="20">
        <f>DATA!D94</f>
        <v/>
      </c>
      <c r="X94" s="20">
        <f>DATA!F94</f>
        <v/>
      </c>
      <c r="Y94" s="19">
        <f>T94*(1+W94)</f>
        <v/>
      </c>
      <c r="Z94" s="19">
        <f>U94*(1+X94)</f>
        <v/>
      </c>
      <c r="AA94" s="19">
        <f>IF(AND(CONFIG!$B$11="Annual",MONTH(R94)=7),(Y94+Z94)*CONFIG!$B$6/12,AA93)</f>
        <v/>
      </c>
      <c r="AB94" s="19">
        <f>MAX(0,Z94-AA94)</f>
        <v/>
      </c>
      <c r="AC94">
        <f>IF(OR(MONTH(R94)=3,MONTH(R94)=6,MONTH(R94)=9,MONTH(R94)=12),"Y","N")</f>
        <v/>
      </c>
      <c r="AD94" s="21">
        <f>IF((Y94+AB94)=0,0,AB94/(Y94+AB94))</f>
        <v/>
      </c>
      <c r="AE94">
        <f>IF(AND(AC94="Y",OR(AD94&lt;CONFIG!$B$8,AD94&gt;CONFIG!$B$9)),"Y","N")</f>
        <v/>
      </c>
      <c r="AF94" s="19">
        <f>IF(AE94="Y",(Y94+AB94)*0.8,Y94)</f>
        <v/>
      </c>
      <c r="AG94" s="19">
        <f>IF(AE94="Y",(Y94+AB94)*0.2,AB94)</f>
        <v/>
      </c>
      <c r="AI94" s="18">
        <f>DATA!A94</f>
        <v/>
      </c>
      <c r="AJ94">
        <f>DATA!B94</f>
        <v/>
      </c>
      <c r="AK94" s="19">
        <f>AW93</f>
        <v/>
      </c>
      <c r="AL94" s="19">
        <f>AX93</f>
        <v/>
      </c>
      <c r="AM94" s="19">
        <f>AK94+AL94</f>
        <v/>
      </c>
      <c r="AN94" s="20">
        <f>DATA!E94</f>
        <v/>
      </c>
      <c r="AO94" s="20">
        <f>DATA!F94</f>
        <v/>
      </c>
      <c r="AP94" s="19">
        <f>AK94*(1+AN94)</f>
        <v/>
      </c>
      <c r="AQ94" s="19">
        <f>AL94*(1+AO94)</f>
        <v/>
      </c>
      <c r="AR94" s="19">
        <f>IF(AND(CONFIG!$B$11="Annual",MONTH(AI94)=7),(AP94+AQ94)*CONFIG!$B$6/12,AR93)</f>
        <v/>
      </c>
      <c r="AS94" s="19">
        <f>MAX(0,AQ94-AR94)</f>
        <v/>
      </c>
      <c r="AT94">
        <f>IF(OR(MONTH(AI94)=3,MONTH(AI94)=6,MONTH(AI94)=9,MONTH(AI94)=12),"Y","N")</f>
        <v/>
      </c>
      <c r="AU94" s="21">
        <f>IF((AP94+AS94)=0,0,AS94/(AP94+AS94))</f>
        <v/>
      </c>
      <c r="AV94">
        <f>IF(AND(AT94="Y",OR(AU94&lt;CONFIG!$B$8,AU94&gt;CONFIG!$B$9)),"Y","N")</f>
        <v/>
      </c>
      <c r="AW94" s="19">
        <f>IF(AV94="Y",(AP94+AS94)*0.8,AP94)</f>
        <v/>
      </c>
      <c r="AX94" s="19">
        <f>IF(AV94="Y",(AP94+AS94)*0.2,AS94)</f>
        <v/>
      </c>
    </row>
    <row r="95">
      <c r="A95" s="18">
        <f>DATA!A95</f>
        <v/>
      </c>
      <c r="B95">
        <f>DATA!B95</f>
        <v/>
      </c>
      <c r="C95" s="19">
        <f>O94</f>
        <v/>
      </c>
      <c r="D95" s="19">
        <f>P94</f>
        <v/>
      </c>
      <c r="E95" s="19">
        <f>C95+D95</f>
        <v/>
      </c>
      <c r="F95" s="20">
        <f>DATA!C95</f>
        <v/>
      </c>
      <c r="G95" s="20">
        <f>DATA!F95</f>
        <v/>
      </c>
      <c r="H95" s="19">
        <f>C95*(1+F95)</f>
        <v/>
      </c>
      <c r="I95" s="19">
        <f>D95*(1+G95)</f>
        <v/>
      </c>
      <c r="J95" s="19">
        <f>IF(AND(CONFIG!$B$11="Annual",MONTH(A95)=7),(H95+I95)*CONFIG!$B$6/12,J94)</f>
        <v/>
      </c>
      <c r="K95" s="19">
        <f>MAX(0,I95-J95)</f>
        <v/>
      </c>
      <c r="L95">
        <f>IF(OR(MONTH(A95)=3,MONTH(A95)=6,MONTH(A95)=9,MONTH(A95)=12),"Y","N")</f>
        <v/>
      </c>
      <c r="M95" s="21">
        <f>IF((H95+K95)=0,0,K95/(H95+K95))</f>
        <v/>
      </c>
      <c r="N95">
        <f>IF(AND(L95="Y",OR(M95&lt;CONFIG!$B$8,M95&gt;CONFIG!$B$9)),"Y","N")</f>
        <v/>
      </c>
      <c r="O95" s="19">
        <f>IF(N95="Y",(H95+K95)*0.8,H95)</f>
        <v/>
      </c>
      <c r="P95" s="19">
        <f>IF(N95="Y",(H95+K95)*0.2,K95)</f>
        <v/>
      </c>
      <c r="R95" s="18">
        <f>DATA!A95</f>
        <v/>
      </c>
      <c r="S95">
        <f>DATA!B95</f>
        <v/>
      </c>
      <c r="T95" s="19">
        <f>AF94</f>
        <v/>
      </c>
      <c r="U95" s="19">
        <f>AG94</f>
        <v/>
      </c>
      <c r="V95" s="19">
        <f>T95+U95</f>
        <v/>
      </c>
      <c r="W95" s="20">
        <f>DATA!D95</f>
        <v/>
      </c>
      <c r="X95" s="20">
        <f>DATA!F95</f>
        <v/>
      </c>
      <c r="Y95" s="19">
        <f>T95*(1+W95)</f>
        <v/>
      </c>
      <c r="Z95" s="19">
        <f>U95*(1+X95)</f>
        <v/>
      </c>
      <c r="AA95" s="19">
        <f>IF(AND(CONFIG!$B$11="Annual",MONTH(R95)=7),(Y95+Z95)*CONFIG!$B$6/12,AA94)</f>
        <v/>
      </c>
      <c r="AB95" s="19">
        <f>MAX(0,Z95-AA95)</f>
        <v/>
      </c>
      <c r="AC95">
        <f>IF(OR(MONTH(R95)=3,MONTH(R95)=6,MONTH(R95)=9,MONTH(R95)=12),"Y","N")</f>
        <v/>
      </c>
      <c r="AD95" s="21">
        <f>IF((Y95+AB95)=0,0,AB95/(Y95+AB95))</f>
        <v/>
      </c>
      <c r="AE95">
        <f>IF(AND(AC95="Y",OR(AD95&lt;CONFIG!$B$8,AD95&gt;CONFIG!$B$9)),"Y","N")</f>
        <v/>
      </c>
      <c r="AF95" s="19">
        <f>IF(AE95="Y",(Y95+AB95)*0.8,Y95)</f>
        <v/>
      </c>
      <c r="AG95" s="19">
        <f>IF(AE95="Y",(Y95+AB95)*0.2,AB95)</f>
        <v/>
      </c>
      <c r="AI95" s="18">
        <f>DATA!A95</f>
        <v/>
      </c>
      <c r="AJ95">
        <f>DATA!B95</f>
        <v/>
      </c>
      <c r="AK95" s="19">
        <f>AW94</f>
        <v/>
      </c>
      <c r="AL95" s="19">
        <f>AX94</f>
        <v/>
      </c>
      <c r="AM95" s="19">
        <f>AK95+AL95</f>
        <v/>
      </c>
      <c r="AN95" s="20">
        <f>DATA!E95</f>
        <v/>
      </c>
      <c r="AO95" s="20">
        <f>DATA!F95</f>
        <v/>
      </c>
      <c r="AP95" s="19">
        <f>AK95*(1+AN95)</f>
        <v/>
      </c>
      <c r="AQ95" s="19">
        <f>AL95*(1+AO95)</f>
        <v/>
      </c>
      <c r="AR95" s="19">
        <f>IF(AND(CONFIG!$B$11="Annual",MONTH(AI95)=7),(AP95+AQ95)*CONFIG!$B$6/12,AR94)</f>
        <v/>
      </c>
      <c r="AS95" s="19">
        <f>MAX(0,AQ95-AR95)</f>
        <v/>
      </c>
      <c r="AT95">
        <f>IF(OR(MONTH(AI95)=3,MONTH(AI95)=6,MONTH(AI95)=9,MONTH(AI95)=12),"Y","N")</f>
        <v/>
      </c>
      <c r="AU95" s="21">
        <f>IF((AP95+AS95)=0,0,AS95/(AP95+AS95))</f>
        <v/>
      </c>
      <c r="AV95">
        <f>IF(AND(AT95="Y",OR(AU95&lt;CONFIG!$B$8,AU95&gt;CONFIG!$B$9)),"Y","N")</f>
        <v/>
      </c>
      <c r="AW95" s="19">
        <f>IF(AV95="Y",(AP95+AS95)*0.8,AP95)</f>
        <v/>
      </c>
      <c r="AX95" s="19">
        <f>IF(AV95="Y",(AP95+AS95)*0.2,AS95)</f>
        <v/>
      </c>
    </row>
    <row r="96">
      <c r="A96" s="18">
        <f>DATA!A96</f>
        <v/>
      </c>
      <c r="B96">
        <f>DATA!B96</f>
        <v/>
      </c>
      <c r="C96" s="19">
        <f>O95</f>
        <v/>
      </c>
      <c r="D96" s="19">
        <f>P95</f>
        <v/>
      </c>
      <c r="E96" s="19">
        <f>C96+D96</f>
        <v/>
      </c>
      <c r="F96" s="20">
        <f>DATA!C96</f>
        <v/>
      </c>
      <c r="G96" s="20">
        <f>DATA!F96</f>
        <v/>
      </c>
      <c r="H96" s="19">
        <f>C96*(1+F96)</f>
        <v/>
      </c>
      <c r="I96" s="19">
        <f>D96*(1+G96)</f>
        <v/>
      </c>
      <c r="J96" s="19">
        <f>IF(AND(CONFIG!$B$11="Annual",MONTH(A96)=7),(H96+I96)*CONFIG!$B$6/12,J95)</f>
        <v/>
      </c>
      <c r="K96" s="19">
        <f>MAX(0,I96-J96)</f>
        <v/>
      </c>
      <c r="L96">
        <f>IF(OR(MONTH(A96)=3,MONTH(A96)=6,MONTH(A96)=9,MONTH(A96)=12),"Y","N")</f>
        <v/>
      </c>
      <c r="M96" s="21">
        <f>IF((H96+K96)=0,0,K96/(H96+K96))</f>
        <v/>
      </c>
      <c r="N96">
        <f>IF(AND(L96="Y",OR(M96&lt;CONFIG!$B$8,M96&gt;CONFIG!$B$9)),"Y","N")</f>
        <v/>
      </c>
      <c r="O96" s="19">
        <f>IF(N96="Y",(H96+K96)*0.8,H96)</f>
        <v/>
      </c>
      <c r="P96" s="19">
        <f>IF(N96="Y",(H96+K96)*0.2,K96)</f>
        <v/>
      </c>
      <c r="R96" s="18">
        <f>DATA!A96</f>
        <v/>
      </c>
      <c r="S96">
        <f>DATA!B96</f>
        <v/>
      </c>
      <c r="T96" s="19">
        <f>AF95</f>
        <v/>
      </c>
      <c r="U96" s="19">
        <f>AG95</f>
        <v/>
      </c>
      <c r="V96" s="19">
        <f>T96+U96</f>
        <v/>
      </c>
      <c r="W96" s="20">
        <f>DATA!D96</f>
        <v/>
      </c>
      <c r="X96" s="20">
        <f>DATA!F96</f>
        <v/>
      </c>
      <c r="Y96" s="19">
        <f>T96*(1+W96)</f>
        <v/>
      </c>
      <c r="Z96" s="19">
        <f>U96*(1+X96)</f>
        <v/>
      </c>
      <c r="AA96" s="19">
        <f>IF(AND(CONFIG!$B$11="Annual",MONTH(R96)=7),(Y96+Z96)*CONFIG!$B$6/12,AA95)</f>
        <v/>
      </c>
      <c r="AB96" s="19">
        <f>MAX(0,Z96-AA96)</f>
        <v/>
      </c>
      <c r="AC96">
        <f>IF(OR(MONTH(R96)=3,MONTH(R96)=6,MONTH(R96)=9,MONTH(R96)=12),"Y","N")</f>
        <v/>
      </c>
      <c r="AD96" s="21">
        <f>IF((Y96+AB96)=0,0,AB96/(Y96+AB96))</f>
        <v/>
      </c>
      <c r="AE96">
        <f>IF(AND(AC96="Y",OR(AD96&lt;CONFIG!$B$8,AD96&gt;CONFIG!$B$9)),"Y","N")</f>
        <v/>
      </c>
      <c r="AF96" s="19">
        <f>IF(AE96="Y",(Y96+AB96)*0.8,Y96)</f>
        <v/>
      </c>
      <c r="AG96" s="19">
        <f>IF(AE96="Y",(Y96+AB96)*0.2,AB96)</f>
        <v/>
      </c>
      <c r="AI96" s="18">
        <f>DATA!A96</f>
        <v/>
      </c>
      <c r="AJ96">
        <f>DATA!B96</f>
        <v/>
      </c>
      <c r="AK96" s="19">
        <f>AW95</f>
        <v/>
      </c>
      <c r="AL96" s="19">
        <f>AX95</f>
        <v/>
      </c>
      <c r="AM96" s="19">
        <f>AK96+AL96</f>
        <v/>
      </c>
      <c r="AN96" s="20">
        <f>DATA!E96</f>
        <v/>
      </c>
      <c r="AO96" s="20">
        <f>DATA!F96</f>
        <v/>
      </c>
      <c r="AP96" s="19">
        <f>AK96*(1+AN96)</f>
        <v/>
      </c>
      <c r="AQ96" s="19">
        <f>AL96*(1+AO96)</f>
        <v/>
      </c>
      <c r="AR96" s="19">
        <f>IF(AND(CONFIG!$B$11="Annual",MONTH(AI96)=7),(AP96+AQ96)*CONFIG!$B$6/12,AR95)</f>
        <v/>
      </c>
      <c r="AS96" s="19">
        <f>MAX(0,AQ96-AR96)</f>
        <v/>
      </c>
      <c r="AT96">
        <f>IF(OR(MONTH(AI96)=3,MONTH(AI96)=6,MONTH(AI96)=9,MONTH(AI96)=12),"Y","N")</f>
        <v/>
      </c>
      <c r="AU96" s="21">
        <f>IF((AP96+AS96)=0,0,AS96/(AP96+AS96))</f>
        <v/>
      </c>
      <c r="AV96">
        <f>IF(AND(AT96="Y",OR(AU96&lt;CONFIG!$B$8,AU96&gt;CONFIG!$B$9)),"Y","N")</f>
        <v/>
      </c>
      <c r="AW96" s="19">
        <f>IF(AV96="Y",(AP96+AS96)*0.8,AP96)</f>
        <v/>
      </c>
      <c r="AX96" s="19">
        <f>IF(AV96="Y",(AP96+AS96)*0.2,AS96)</f>
        <v/>
      </c>
    </row>
    <row r="97">
      <c r="A97" s="18">
        <f>DATA!A97</f>
        <v/>
      </c>
      <c r="B97">
        <f>DATA!B97</f>
        <v/>
      </c>
      <c r="C97" s="19">
        <f>O96</f>
        <v/>
      </c>
      <c r="D97" s="19">
        <f>P96</f>
        <v/>
      </c>
      <c r="E97" s="19">
        <f>C97+D97</f>
        <v/>
      </c>
      <c r="F97" s="20">
        <f>DATA!C97</f>
        <v/>
      </c>
      <c r="G97" s="20">
        <f>DATA!F97</f>
        <v/>
      </c>
      <c r="H97" s="19">
        <f>C97*(1+F97)</f>
        <v/>
      </c>
      <c r="I97" s="19">
        <f>D97*(1+G97)</f>
        <v/>
      </c>
      <c r="J97" s="19">
        <f>IF(AND(CONFIG!$B$11="Annual",MONTH(A97)=7),(H97+I97)*CONFIG!$B$6/12,J96)</f>
        <v/>
      </c>
      <c r="K97" s="19">
        <f>MAX(0,I97-J97)</f>
        <v/>
      </c>
      <c r="L97">
        <f>IF(OR(MONTH(A97)=3,MONTH(A97)=6,MONTH(A97)=9,MONTH(A97)=12),"Y","N")</f>
        <v/>
      </c>
      <c r="M97" s="21">
        <f>IF((H97+K97)=0,0,K97/(H97+K97))</f>
        <v/>
      </c>
      <c r="N97">
        <f>IF(AND(L97="Y",OR(M97&lt;CONFIG!$B$8,M97&gt;CONFIG!$B$9)),"Y","N")</f>
        <v/>
      </c>
      <c r="O97" s="19">
        <f>IF(N97="Y",(H97+K97)*0.8,H97)</f>
        <v/>
      </c>
      <c r="P97" s="19">
        <f>IF(N97="Y",(H97+K97)*0.2,K97)</f>
        <v/>
      </c>
      <c r="R97" s="18">
        <f>DATA!A97</f>
        <v/>
      </c>
      <c r="S97">
        <f>DATA!B97</f>
        <v/>
      </c>
      <c r="T97" s="19">
        <f>AF96</f>
        <v/>
      </c>
      <c r="U97" s="19">
        <f>AG96</f>
        <v/>
      </c>
      <c r="V97" s="19">
        <f>T97+U97</f>
        <v/>
      </c>
      <c r="W97" s="20">
        <f>DATA!D97</f>
        <v/>
      </c>
      <c r="X97" s="20">
        <f>DATA!F97</f>
        <v/>
      </c>
      <c r="Y97" s="19">
        <f>T97*(1+W97)</f>
        <v/>
      </c>
      <c r="Z97" s="19">
        <f>U97*(1+X97)</f>
        <v/>
      </c>
      <c r="AA97" s="19">
        <f>IF(AND(CONFIG!$B$11="Annual",MONTH(R97)=7),(Y97+Z97)*CONFIG!$B$6/12,AA96)</f>
        <v/>
      </c>
      <c r="AB97" s="19">
        <f>MAX(0,Z97-AA97)</f>
        <v/>
      </c>
      <c r="AC97">
        <f>IF(OR(MONTH(R97)=3,MONTH(R97)=6,MONTH(R97)=9,MONTH(R97)=12),"Y","N")</f>
        <v/>
      </c>
      <c r="AD97" s="21">
        <f>IF((Y97+AB97)=0,0,AB97/(Y97+AB97))</f>
        <v/>
      </c>
      <c r="AE97">
        <f>IF(AND(AC97="Y",OR(AD97&lt;CONFIG!$B$8,AD97&gt;CONFIG!$B$9)),"Y","N")</f>
        <v/>
      </c>
      <c r="AF97" s="19">
        <f>IF(AE97="Y",(Y97+AB97)*0.8,Y97)</f>
        <v/>
      </c>
      <c r="AG97" s="19">
        <f>IF(AE97="Y",(Y97+AB97)*0.2,AB97)</f>
        <v/>
      </c>
      <c r="AI97" s="18">
        <f>DATA!A97</f>
        <v/>
      </c>
      <c r="AJ97">
        <f>DATA!B97</f>
        <v/>
      </c>
      <c r="AK97" s="19">
        <f>AW96</f>
        <v/>
      </c>
      <c r="AL97" s="19">
        <f>AX96</f>
        <v/>
      </c>
      <c r="AM97" s="19">
        <f>AK97+AL97</f>
        <v/>
      </c>
      <c r="AN97" s="20">
        <f>DATA!E97</f>
        <v/>
      </c>
      <c r="AO97" s="20">
        <f>DATA!F97</f>
        <v/>
      </c>
      <c r="AP97" s="19">
        <f>AK97*(1+AN97)</f>
        <v/>
      </c>
      <c r="AQ97" s="19">
        <f>AL97*(1+AO97)</f>
        <v/>
      </c>
      <c r="AR97" s="19">
        <f>IF(AND(CONFIG!$B$11="Annual",MONTH(AI97)=7),(AP97+AQ97)*CONFIG!$B$6/12,AR96)</f>
        <v/>
      </c>
      <c r="AS97" s="19">
        <f>MAX(0,AQ97-AR97)</f>
        <v/>
      </c>
      <c r="AT97">
        <f>IF(OR(MONTH(AI97)=3,MONTH(AI97)=6,MONTH(AI97)=9,MONTH(AI97)=12),"Y","N")</f>
        <v/>
      </c>
      <c r="AU97" s="21">
        <f>IF((AP97+AS97)=0,0,AS97/(AP97+AS97))</f>
        <v/>
      </c>
      <c r="AV97">
        <f>IF(AND(AT97="Y",OR(AU97&lt;CONFIG!$B$8,AU97&gt;CONFIG!$B$9)),"Y","N")</f>
        <v/>
      </c>
      <c r="AW97" s="19">
        <f>IF(AV97="Y",(AP97+AS97)*0.8,AP97)</f>
        <v/>
      </c>
      <c r="AX97" s="19">
        <f>IF(AV97="Y",(AP97+AS97)*0.2,AS97)</f>
        <v/>
      </c>
    </row>
    <row r="98">
      <c r="A98" s="18">
        <f>DATA!A98</f>
        <v/>
      </c>
      <c r="B98">
        <f>DATA!B98</f>
        <v/>
      </c>
      <c r="C98" s="19">
        <f>O97</f>
        <v/>
      </c>
      <c r="D98" s="19">
        <f>P97</f>
        <v/>
      </c>
      <c r="E98" s="19">
        <f>C98+D98</f>
        <v/>
      </c>
      <c r="F98" s="20">
        <f>DATA!C98</f>
        <v/>
      </c>
      <c r="G98" s="20">
        <f>DATA!F98</f>
        <v/>
      </c>
      <c r="H98" s="19">
        <f>C98*(1+F98)</f>
        <v/>
      </c>
      <c r="I98" s="19">
        <f>D98*(1+G98)</f>
        <v/>
      </c>
      <c r="J98" s="19">
        <f>IF(AND(CONFIG!$B$11="Annual",MONTH(A98)=7),(H98+I98)*CONFIG!$B$6/12,J97)</f>
        <v/>
      </c>
      <c r="K98" s="19">
        <f>MAX(0,I98-J98)</f>
        <v/>
      </c>
      <c r="L98">
        <f>IF(OR(MONTH(A98)=3,MONTH(A98)=6,MONTH(A98)=9,MONTH(A98)=12),"Y","N")</f>
        <v/>
      </c>
      <c r="M98" s="21">
        <f>IF((H98+K98)=0,0,K98/(H98+K98))</f>
        <v/>
      </c>
      <c r="N98">
        <f>IF(AND(L98="Y",OR(M98&lt;CONFIG!$B$8,M98&gt;CONFIG!$B$9)),"Y","N")</f>
        <v/>
      </c>
      <c r="O98" s="19">
        <f>IF(N98="Y",(H98+K98)*0.8,H98)</f>
        <v/>
      </c>
      <c r="P98" s="19">
        <f>IF(N98="Y",(H98+K98)*0.2,K98)</f>
        <v/>
      </c>
      <c r="R98" s="18">
        <f>DATA!A98</f>
        <v/>
      </c>
      <c r="S98">
        <f>DATA!B98</f>
        <v/>
      </c>
      <c r="T98" s="19">
        <f>AF97</f>
        <v/>
      </c>
      <c r="U98" s="19">
        <f>AG97</f>
        <v/>
      </c>
      <c r="V98" s="19">
        <f>T98+U98</f>
        <v/>
      </c>
      <c r="W98" s="20">
        <f>DATA!D98</f>
        <v/>
      </c>
      <c r="X98" s="20">
        <f>DATA!F98</f>
        <v/>
      </c>
      <c r="Y98" s="19">
        <f>T98*(1+W98)</f>
        <v/>
      </c>
      <c r="Z98" s="19">
        <f>U98*(1+X98)</f>
        <v/>
      </c>
      <c r="AA98" s="19">
        <f>IF(AND(CONFIG!$B$11="Annual",MONTH(R98)=7),(Y98+Z98)*CONFIG!$B$6/12,AA97)</f>
        <v/>
      </c>
      <c r="AB98" s="19">
        <f>MAX(0,Z98-AA98)</f>
        <v/>
      </c>
      <c r="AC98">
        <f>IF(OR(MONTH(R98)=3,MONTH(R98)=6,MONTH(R98)=9,MONTH(R98)=12),"Y","N")</f>
        <v/>
      </c>
      <c r="AD98" s="21">
        <f>IF((Y98+AB98)=0,0,AB98/(Y98+AB98))</f>
        <v/>
      </c>
      <c r="AE98">
        <f>IF(AND(AC98="Y",OR(AD98&lt;CONFIG!$B$8,AD98&gt;CONFIG!$B$9)),"Y","N")</f>
        <v/>
      </c>
      <c r="AF98" s="19">
        <f>IF(AE98="Y",(Y98+AB98)*0.8,Y98)</f>
        <v/>
      </c>
      <c r="AG98" s="19">
        <f>IF(AE98="Y",(Y98+AB98)*0.2,AB98)</f>
        <v/>
      </c>
      <c r="AI98" s="18">
        <f>DATA!A98</f>
        <v/>
      </c>
      <c r="AJ98">
        <f>DATA!B98</f>
        <v/>
      </c>
      <c r="AK98" s="19">
        <f>AW97</f>
        <v/>
      </c>
      <c r="AL98" s="19">
        <f>AX97</f>
        <v/>
      </c>
      <c r="AM98" s="19">
        <f>AK98+AL98</f>
        <v/>
      </c>
      <c r="AN98" s="20">
        <f>DATA!E98</f>
        <v/>
      </c>
      <c r="AO98" s="20">
        <f>DATA!F98</f>
        <v/>
      </c>
      <c r="AP98" s="19">
        <f>AK98*(1+AN98)</f>
        <v/>
      </c>
      <c r="AQ98" s="19">
        <f>AL98*(1+AO98)</f>
        <v/>
      </c>
      <c r="AR98" s="19">
        <f>IF(AND(CONFIG!$B$11="Annual",MONTH(AI98)=7),(AP98+AQ98)*CONFIG!$B$6/12,AR97)</f>
        <v/>
      </c>
      <c r="AS98" s="19">
        <f>MAX(0,AQ98-AR98)</f>
        <v/>
      </c>
      <c r="AT98">
        <f>IF(OR(MONTH(AI98)=3,MONTH(AI98)=6,MONTH(AI98)=9,MONTH(AI98)=12),"Y","N")</f>
        <v/>
      </c>
      <c r="AU98" s="21">
        <f>IF((AP98+AS98)=0,0,AS98/(AP98+AS98))</f>
        <v/>
      </c>
      <c r="AV98">
        <f>IF(AND(AT98="Y",OR(AU98&lt;CONFIG!$B$8,AU98&gt;CONFIG!$B$9)),"Y","N")</f>
        <v/>
      </c>
      <c r="AW98" s="19">
        <f>IF(AV98="Y",(AP98+AS98)*0.8,AP98)</f>
        <v/>
      </c>
      <c r="AX98" s="19">
        <f>IF(AV98="Y",(AP98+AS98)*0.2,AS98)</f>
        <v/>
      </c>
    </row>
    <row r="99">
      <c r="A99" s="18">
        <f>DATA!A99</f>
        <v/>
      </c>
      <c r="B99">
        <f>DATA!B99</f>
        <v/>
      </c>
      <c r="C99" s="19">
        <f>O98</f>
        <v/>
      </c>
      <c r="D99" s="19">
        <f>P98</f>
        <v/>
      </c>
      <c r="E99" s="19">
        <f>C99+D99</f>
        <v/>
      </c>
      <c r="F99" s="20">
        <f>DATA!C99</f>
        <v/>
      </c>
      <c r="G99" s="20">
        <f>DATA!F99</f>
        <v/>
      </c>
      <c r="H99" s="19">
        <f>C99*(1+F99)</f>
        <v/>
      </c>
      <c r="I99" s="19">
        <f>D99*(1+G99)</f>
        <v/>
      </c>
      <c r="J99" s="19">
        <f>IF(AND(CONFIG!$B$11="Annual",MONTH(A99)=7),(H99+I99)*CONFIG!$B$6/12,J98)</f>
        <v/>
      </c>
      <c r="K99" s="19">
        <f>MAX(0,I99-J99)</f>
        <v/>
      </c>
      <c r="L99">
        <f>IF(OR(MONTH(A99)=3,MONTH(A99)=6,MONTH(A99)=9,MONTH(A99)=12),"Y","N")</f>
        <v/>
      </c>
      <c r="M99" s="21">
        <f>IF((H99+K99)=0,0,K99/(H99+K99))</f>
        <v/>
      </c>
      <c r="N99">
        <f>IF(AND(L99="Y",OR(M99&lt;CONFIG!$B$8,M99&gt;CONFIG!$B$9)),"Y","N")</f>
        <v/>
      </c>
      <c r="O99" s="19">
        <f>IF(N99="Y",(H99+K99)*0.8,H99)</f>
        <v/>
      </c>
      <c r="P99" s="19">
        <f>IF(N99="Y",(H99+K99)*0.2,K99)</f>
        <v/>
      </c>
      <c r="R99" s="18">
        <f>DATA!A99</f>
        <v/>
      </c>
      <c r="S99">
        <f>DATA!B99</f>
        <v/>
      </c>
      <c r="T99" s="19">
        <f>AF98</f>
        <v/>
      </c>
      <c r="U99" s="19">
        <f>AG98</f>
        <v/>
      </c>
      <c r="V99" s="19">
        <f>T99+U99</f>
        <v/>
      </c>
      <c r="W99" s="20">
        <f>DATA!D99</f>
        <v/>
      </c>
      <c r="X99" s="20">
        <f>DATA!F99</f>
        <v/>
      </c>
      <c r="Y99" s="19">
        <f>T99*(1+W99)</f>
        <v/>
      </c>
      <c r="Z99" s="19">
        <f>U99*(1+X99)</f>
        <v/>
      </c>
      <c r="AA99" s="19">
        <f>IF(AND(CONFIG!$B$11="Annual",MONTH(R99)=7),(Y99+Z99)*CONFIG!$B$6/12,AA98)</f>
        <v/>
      </c>
      <c r="AB99" s="19">
        <f>MAX(0,Z99-AA99)</f>
        <v/>
      </c>
      <c r="AC99">
        <f>IF(OR(MONTH(R99)=3,MONTH(R99)=6,MONTH(R99)=9,MONTH(R99)=12),"Y","N")</f>
        <v/>
      </c>
      <c r="AD99" s="21">
        <f>IF((Y99+AB99)=0,0,AB99/(Y99+AB99))</f>
        <v/>
      </c>
      <c r="AE99">
        <f>IF(AND(AC99="Y",OR(AD99&lt;CONFIG!$B$8,AD99&gt;CONFIG!$B$9)),"Y","N")</f>
        <v/>
      </c>
      <c r="AF99" s="19">
        <f>IF(AE99="Y",(Y99+AB99)*0.8,Y99)</f>
        <v/>
      </c>
      <c r="AG99" s="19">
        <f>IF(AE99="Y",(Y99+AB99)*0.2,AB99)</f>
        <v/>
      </c>
      <c r="AI99" s="18">
        <f>DATA!A99</f>
        <v/>
      </c>
      <c r="AJ99">
        <f>DATA!B99</f>
        <v/>
      </c>
      <c r="AK99" s="19">
        <f>AW98</f>
        <v/>
      </c>
      <c r="AL99" s="19">
        <f>AX98</f>
        <v/>
      </c>
      <c r="AM99" s="19">
        <f>AK99+AL99</f>
        <v/>
      </c>
      <c r="AN99" s="20">
        <f>DATA!E99</f>
        <v/>
      </c>
      <c r="AO99" s="20">
        <f>DATA!F99</f>
        <v/>
      </c>
      <c r="AP99" s="19">
        <f>AK99*(1+AN99)</f>
        <v/>
      </c>
      <c r="AQ99" s="19">
        <f>AL99*(1+AO99)</f>
        <v/>
      </c>
      <c r="AR99" s="19">
        <f>IF(AND(CONFIG!$B$11="Annual",MONTH(AI99)=7),(AP99+AQ99)*CONFIG!$B$6/12,AR98)</f>
        <v/>
      </c>
      <c r="AS99" s="19">
        <f>MAX(0,AQ99-AR99)</f>
        <v/>
      </c>
      <c r="AT99">
        <f>IF(OR(MONTH(AI99)=3,MONTH(AI99)=6,MONTH(AI99)=9,MONTH(AI99)=12),"Y","N")</f>
        <v/>
      </c>
      <c r="AU99" s="21">
        <f>IF((AP99+AS99)=0,0,AS99/(AP99+AS99))</f>
        <v/>
      </c>
      <c r="AV99">
        <f>IF(AND(AT99="Y",OR(AU99&lt;CONFIG!$B$8,AU99&gt;CONFIG!$B$9)),"Y","N")</f>
        <v/>
      </c>
      <c r="AW99" s="19">
        <f>IF(AV99="Y",(AP99+AS99)*0.8,AP99)</f>
        <v/>
      </c>
      <c r="AX99" s="19">
        <f>IF(AV99="Y",(AP99+AS99)*0.2,AS99)</f>
        <v/>
      </c>
    </row>
    <row r="100">
      <c r="A100" s="18">
        <f>DATA!A100</f>
        <v/>
      </c>
      <c r="B100">
        <f>DATA!B100</f>
        <v/>
      </c>
      <c r="C100" s="19">
        <f>O99</f>
        <v/>
      </c>
      <c r="D100" s="19">
        <f>P99</f>
        <v/>
      </c>
      <c r="E100" s="19">
        <f>C100+D100</f>
        <v/>
      </c>
      <c r="F100" s="20">
        <f>DATA!C100</f>
        <v/>
      </c>
      <c r="G100" s="20">
        <f>DATA!F100</f>
        <v/>
      </c>
      <c r="H100" s="19">
        <f>C100*(1+F100)</f>
        <v/>
      </c>
      <c r="I100" s="19">
        <f>D100*(1+G100)</f>
        <v/>
      </c>
      <c r="J100" s="19">
        <f>IF(AND(CONFIG!$B$11="Annual",MONTH(A100)=7),(H100+I100)*CONFIG!$B$6/12,J99)</f>
        <v/>
      </c>
      <c r="K100" s="19">
        <f>MAX(0,I100-J100)</f>
        <v/>
      </c>
      <c r="L100">
        <f>IF(OR(MONTH(A100)=3,MONTH(A100)=6,MONTH(A100)=9,MONTH(A100)=12),"Y","N")</f>
        <v/>
      </c>
      <c r="M100" s="21">
        <f>IF((H100+K100)=0,0,K100/(H100+K100))</f>
        <v/>
      </c>
      <c r="N100">
        <f>IF(AND(L100="Y",OR(M100&lt;CONFIG!$B$8,M100&gt;CONFIG!$B$9)),"Y","N")</f>
        <v/>
      </c>
      <c r="O100" s="19">
        <f>IF(N100="Y",(H100+K100)*0.8,H100)</f>
        <v/>
      </c>
      <c r="P100" s="19">
        <f>IF(N100="Y",(H100+K100)*0.2,K100)</f>
        <v/>
      </c>
      <c r="R100" s="18">
        <f>DATA!A100</f>
        <v/>
      </c>
      <c r="S100">
        <f>DATA!B100</f>
        <v/>
      </c>
      <c r="T100" s="19">
        <f>AF99</f>
        <v/>
      </c>
      <c r="U100" s="19">
        <f>AG99</f>
        <v/>
      </c>
      <c r="V100" s="19">
        <f>T100+U100</f>
        <v/>
      </c>
      <c r="W100" s="20">
        <f>DATA!D100</f>
        <v/>
      </c>
      <c r="X100" s="20">
        <f>DATA!F100</f>
        <v/>
      </c>
      <c r="Y100" s="19">
        <f>T100*(1+W100)</f>
        <v/>
      </c>
      <c r="Z100" s="19">
        <f>U100*(1+X100)</f>
        <v/>
      </c>
      <c r="AA100" s="19">
        <f>IF(AND(CONFIG!$B$11="Annual",MONTH(R100)=7),(Y100+Z100)*CONFIG!$B$6/12,AA99)</f>
        <v/>
      </c>
      <c r="AB100" s="19">
        <f>MAX(0,Z100-AA100)</f>
        <v/>
      </c>
      <c r="AC100">
        <f>IF(OR(MONTH(R100)=3,MONTH(R100)=6,MONTH(R100)=9,MONTH(R100)=12),"Y","N")</f>
        <v/>
      </c>
      <c r="AD100" s="21">
        <f>IF((Y100+AB100)=0,0,AB100/(Y100+AB100))</f>
        <v/>
      </c>
      <c r="AE100">
        <f>IF(AND(AC100="Y",OR(AD100&lt;CONFIG!$B$8,AD100&gt;CONFIG!$B$9)),"Y","N")</f>
        <v/>
      </c>
      <c r="AF100" s="19">
        <f>IF(AE100="Y",(Y100+AB100)*0.8,Y100)</f>
        <v/>
      </c>
      <c r="AG100" s="19">
        <f>IF(AE100="Y",(Y100+AB100)*0.2,AB100)</f>
        <v/>
      </c>
      <c r="AI100" s="18">
        <f>DATA!A100</f>
        <v/>
      </c>
      <c r="AJ100">
        <f>DATA!B100</f>
        <v/>
      </c>
      <c r="AK100" s="19">
        <f>AW99</f>
        <v/>
      </c>
      <c r="AL100" s="19">
        <f>AX99</f>
        <v/>
      </c>
      <c r="AM100" s="19">
        <f>AK100+AL100</f>
        <v/>
      </c>
      <c r="AN100" s="20">
        <f>DATA!E100</f>
        <v/>
      </c>
      <c r="AO100" s="20">
        <f>DATA!F100</f>
        <v/>
      </c>
      <c r="AP100" s="19">
        <f>AK100*(1+AN100)</f>
        <v/>
      </c>
      <c r="AQ100" s="19">
        <f>AL100*(1+AO100)</f>
        <v/>
      </c>
      <c r="AR100" s="19">
        <f>IF(AND(CONFIG!$B$11="Annual",MONTH(AI100)=7),(AP100+AQ100)*CONFIG!$B$6/12,AR99)</f>
        <v/>
      </c>
      <c r="AS100" s="19">
        <f>MAX(0,AQ100-AR100)</f>
        <v/>
      </c>
      <c r="AT100">
        <f>IF(OR(MONTH(AI100)=3,MONTH(AI100)=6,MONTH(AI100)=9,MONTH(AI100)=12),"Y","N")</f>
        <v/>
      </c>
      <c r="AU100" s="21">
        <f>IF((AP100+AS100)=0,0,AS100/(AP100+AS100))</f>
        <v/>
      </c>
      <c r="AV100">
        <f>IF(AND(AT100="Y",OR(AU100&lt;CONFIG!$B$8,AU100&gt;CONFIG!$B$9)),"Y","N")</f>
        <v/>
      </c>
      <c r="AW100" s="19">
        <f>IF(AV100="Y",(AP100+AS100)*0.8,AP100)</f>
        <v/>
      </c>
      <c r="AX100" s="19">
        <f>IF(AV100="Y",(AP100+AS100)*0.2,AS100)</f>
        <v/>
      </c>
    </row>
    <row r="101">
      <c r="A101" s="18">
        <f>DATA!A101</f>
        <v/>
      </c>
      <c r="B101">
        <f>DATA!B101</f>
        <v/>
      </c>
      <c r="C101" s="19">
        <f>O100</f>
        <v/>
      </c>
      <c r="D101" s="19">
        <f>P100</f>
        <v/>
      </c>
      <c r="E101" s="19">
        <f>C101+D101</f>
        <v/>
      </c>
      <c r="F101" s="20">
        <f>DATA!C101</f>
        <v/>
      </c>
      <c r="G101" s="20">
        <f>DATA!F101</f>
        <v/>
      </c>
      <c r="H101" s="19">
        <f>C101*(1+F101)</f>
        <v/>
      </c>
      <c r="I101" s="19">
        <f>D101*(1+G101)</f>
        <v/>
      </c>
      <c r="J101" s="19">
        <f>IF(AND(CONFIG!$B$11="Annual",MONTH(A101)=7),(H101+I101)*CONFIG!$B$6/12,J100)</f>
        <v/>
      </c>
      <c r="K101" s="19">
        <f>MAX(0,I101-J101)</f>
        <v/>
      </c>
      <c r="L101">
        <f>IF(OR(MONTH(A101)=3,MONTH(A101)=6,MONTH(A101)=9,MONTH(A101)=12),"Y","N")</f>
        <v/>
      </c>
      <c r="M101" s="21">
        <f>IF((H101+K101)=0,0,K101/(H101+K101))</f>
        <v/>
      </c>
      <c r="N101">
        <f>IF(AND(L101="Y",OR(M101&lt;CONFIG!$B$8,M101&gt;CONFIG!$B$9)),"Y","N")</f>
        <v/>
      </c>
      <c r="O101" s="19">
        <f>IF(N101="Y",(H101+K101)*0.8,H101)</f>
        <v/>
      </c>
      <c r="P101" s="19">
        <f>IF(N101="Y",(H101+K101)*0.2,K101)</f>
        <v/>
      </c>
      <c r="R101" s="18">
        <f>DATA!A101</f>
        <v/>
      </c>
      <c r="S101">
        <f>DATA!B101</f>
        <v/>
      </c>
      <c r="T101" s="19">
        <f>AF100</f>
        <v/>
      </c>
      <c r="U101" s="19">
        <f>AG100</f>
        <v/>
      </c>
      <c r="V101" s="19">
        <f>T101+U101</f>
        <v/>
      </c>
      <c r="W101" s="20">
        <f>DATA!D101</f>
        <v/>
      </c>
      <c r="X101" s="20">
        <f>DATA!F101</f>
        <v/>
      </c>
      <c r="Y101" s="19">
        <f>T101*(1+W101)</f>
        <v/>
      </c>
      <c r="Z101" s="19">
        <f>U101*(1+X101)</f>
        <v/>
      </c>
      <c r="AA101" s="19">
        <f>IF(AND(CONFIG!$B$11="Annual",MONTH(R101)=7),(Y101+Z101)*CONFIG!$B$6/12,AA100)</f>
        <v/>
      </c>
      <c r="AB101" s="19">
        <f>MAX(0,Z101-AA101)</f>
        <v/>
      </c>
      <c r="AC101">
        <f>IF(OR(MONTH(R101)=3,MONTH(R101)=6,MONTH(R101)=9,MONTH(R101)=12),"Y","N")</f>
        <v/>
      </c>
      <c r="AD101" s="21">
        <f>IF((Y101+AB101)=0,0,AB101/(Y101+AB101))</f>
        <v/>
      </c>
      <c r="AE101">
        <f>IF(AND(AC101="Y",OR(AD101&lt;CONFIG!$B$8,AD101&gt;CONFIG!$B$9)),"Y","N")</f>
        <v/>
      </c>
      <c r="AF101" s="19">
        <f>IF(AE101="Y",(Y101+AB101)*0.8,Y101)</f>
        <v/>
      </c>
      <c r="AG101" s="19">
        <f>IF(AE101="Y",(Y101+AB101)*0.2,AB101)</f>
        <v/>
      </c>
      <c r="AI101" s="18">
        <f>DATA!A101</f>
        <v/>
      </c>
      <c r="AJ101">
        <f>DATA!B101</f>
        <v/>
      </c>
      <c r="AK101" s="19">
        <f>AW100</f>
        <v/>
      </c>
      <c r="AL101" s="19">
        <f>AX100</f>
        <v/>
      </c>
      <c r="AM101" s="19">
        <f>AK101+AL101</f>
        <v/>
      </c>
      <c r="AN101" s="20">
        <f>DATA!E101</f>
        <v/>
      </c>
      <c r="AO101" s="20">
        <f>DATA!F101</f>
        <v/>
      </c>
      <c r="AP101" s="19">
        <f>AK101*(1+AN101)</f>
        <v/>
      </c>
      <c r="AQ101" s="19">
        <f>AL101*(1+AO101)</f>
        <v/>
      </c>
      <c r="AR101" s="19">
        <f>IF(AND(CONFIG!$B$11="Annual",MONTH(AI101)=7),(AP101+AQ101)*CONFIG!$B$6/12,AR100)</f>
        <v/>
      </c>
      <c r="AS101" s="19">
        <f>MAX(0,AQ101-AR101)</f>
        <v/>
      </c>
      <c r="AT101">
        <f>IF(OR(MONTH(AI101)=3,MONTH(AI101)=6,MONTH(AI101)=9,MONTH(AI101)=12),"Y","N")</f>
        <v/>
      </c>
      <c r="AU101" s="21">
        <f>IF((AP101+AS101)=0,0,AS101/(AP101+AS101))</f>
        <v/>
      </c>
      <c r="AV101">
        <f>IF(AND(AT101="Y",OR(AU101&lt;CONFIG!$B$8,AU101&gt;CONFIG!$B$9)),"Y","N")</f>
        <v/>
      </c>
      <c r="AW101" s="19">
        <f>IF(AV101="Y",(AP101+AS101)*0.8,AP101)</f>
        <v/>
      </c>
      <c r="AX101" s="19">
        <f>IF(AV101="Y",(AP101+AS101)*0.2,AS101)</f>
        <v/>
      </c>
    </row>
    <row r="102">
      <c r="A102" s="18">
        <f>DATA!A102</f>
        <v/>
      </c>
      <c r="B102">
        <f>DATA!B102</f>
        <v/>
      </c>
      <c r="C102" s="19">
        <f>O101</f>
        <v/>
      </c>
      <c r="D102" s="19">
        <f>P101</f>
        <v/>
      </c>
      <c r="E102" s="19">
        <f>C102+D102</f>
        <v/>
      </c>
      <c r="F102" s="20">
        <f>DATA!C102</f>
        <v/>
      </c>
      <c r="G102" s="20">
        <f>DATA!F102</f>
        <v/>
      </c>
      <c r="H102" s="19">
        <f>C102*(1+F102)</f>
        <v/>
      </c>
      <c r="I102" s="19">
        <f>D102*(1+G102)</f>
        <v/>
      </c>
      <c r="J102" s="19">
        <f>IF(AND(CONFIG!$B$11="Annual",MONTH(A102)=7),(H102+I102)*CONFIG!$B$6/12,J101)</f>
        <v/>
      </c>
      <c r="K102" s="19">
        <f>MAX(0,I102-J102)</f>
        <v/>
      </c>
      <c r="L102">
        <f>IF(OR(MONTH(A102)=3,MONTH(A102)=6,MONTH(A102)=9,MONTH(A102)=12),"Y","N")</f>
        <v/>
      </c>
      <c r="M102" s="21">
        <f>IF((H102+K102)=0,0,K102/(H102+K102))</f>
        <v/>
      </c>
      <c r="N102">
        <f>IF(AND(L102="Y",OR(M102&lt;CONFIG!$B$8,M102&gt;CONFIG!$B$9)),"Y","N")</f>
        <v/>
      </c>
      <c r="O102" s="19">
        <f>IF(N102="Y",(H102+K102)*0.8,H102)</f>
        <v/>
      </c>
      <c r="P102" s="19">
        <f>IF(N102="Y",(H102+K102)*0.2,K102)</f>
        <v/>
      </c>
      <c r="R102" s="18">
        <f>DATA!A102</f>
        <v/>
      </c>
      <c r="S102">
        <f>DATA!B102</f>
        <v/>
      </c>
      <c r="T102" s="19">
        <f>AF101</f>
        <v/>
      </c>
      <c r="U102" s="19">
        <f>AG101</f>
        <v/>
      </c>
      <c r="V102" s="19">
        <f>T102+U102</f>
        <v/>
      </c>
      <c r="W102" s="20">
        <f>DATA!D102</f>
        <v/>
      </c>
      <c r="X102" s="20">
        <f>DATA!F102</f>
        <v/>
      </c>
      <c r="Y102" s="19">
        <f>T102*(1+W102)</f>
        <v/>
      </c>
      <c r="Z102" s="19">
        <f>U102*(1+X102)</f>
        <v/>
      </c>
      <c r="AA102" s="19">
        <f>IF(AND(CONFIG!$B$11="Annual",MONTH(R102)=7),(Y102+Z102)*CONFIG!$B$6/12,AA101)</f>
        <v/>
      </c>
      <c r="AB102" s="19">
        <f>MAX(0,Z102-AA102)</f>
        <v/>
      </c>
      <c r="AC102">
        <f>IF(OR(MONTH(R102)=3,MONTH(R102)=6,MONTH(R102)=9,MONTH(R102)=12),"Y","N")</f>
        <v/>
      </c>
      <c r="AD102" s="21">
        <f>IF((Y102+AB102)=0,0,AB102/(Y102+AB102))</f>
        <v/>
      </c>
      <c r="AE102">
        <f>IF(AND(AC102="Y",OR(AD102&lt;CONFIG!$B$8,AD102&gt;CONFIG!$B$9)),"Y","N")</f>
        <v/>
      </c>
      <c r="AF102" s="19">
        <f>IF(AE102="Y",(Y102+AB102)*0.8,Y102)</f>
        <v/>
      </c>
      <c r="AG102" s="19">
        <f>IF(AE102="Y",(Y102+AB102)*0.2,AB102)</f>
        <v/>
      </c>
      <c r="AI102" s="18">
        <f>DATA!A102</f>
        <v/>
      </c>
      <c r="AJ102">
        <f>DATA!B102</f>
        <v/>
      </c>
      <c r="AK102" s="19">
        <f>AW101</f>
        <v/>
      </c>
      <c r="AL102" s="19">
        <f>AX101</f>
        <v/>
      </c>
      <c r="AM102" s="19">
        <f>AK102+AL102</f>
        <v/>
      </c>
      <c r="AN102" s="20">
        <f>DATA!E102</f>
        <v/>
      </c>
      <c r="AO102" s="20">
        <f>DATA!F102</f>
        <v/>
      </c>
      <c r="AP102" s="19">
        <f>AK102*(1+AN102)</f>
        <v/>
      </c>
      <c r="AQ102" s="19">
        <f>AL102*(1+AO102)</f>
        <v/>
      </c>
      <c r="AR102" s="19">
        <f>IF(AND(CONFIG!$B$11="Annual",MONTH(AI102)=7),(AP102+AQ102)*CONFIG!$B$6/12,AR101)</f>
        <v/>
      </c>
      <c r="AS102" s="19">
        <f>MAX(0,AQ102-AR102)</f>
        <v/>
      </c>
      <c r="AT102">
        <f>IF(OR(MONTH(AI102)=3,MONTH(AI102)=6,MONTH(AI102)=9,MONTH(AI102)=12),"Y","N")</f>
        <v/>
      </c>
      <c r="AU102" s="21">
        <f>IF((AP102+AS102)=0,0,AS102/(AP102+AS102))</f>
        <v/>
      </c>
      <c r="AV102">
        <f>IF(AND(AT102="Y",OR(AU102&lt;CONFIG!$B$8,AU102&gt;CONFIG!$B$9)),"Y","N")</f>
        <v/>
      </c>
      <c r="AW102" s="19">
        <f>IF(AV102="Y",(AP102+AS102)*0.8,AP102)</f>
        <v/>
      </c>
      <c r="AX102" s="19">
        <f>IF(AV102="Y",(AP102+AS102)*0.2,AS102)</f>
        <v/>
      </c>
    </row>
    <row r="103">
      <c r="A103" s="18">
        <f>DATA!A103</f>
        <v/>
      </c>
      <c r="B103">
        <f>DATA!B103</f>
        <v/>
      </c>
      <c r="C103" s="19">
        <f>O102</f>
        <v/>
      </c>
      <c r="D103" s="19">
        <f>P102</f>
        <v/>
      </c>
      <c r="E103" s="19">
        <f>C103+D103</f>
        <v/>
      </c>
      <c r="F103" s="20">
        <f>DATA!C103</f>
        <v/>
      </c>
      <c r="G103" s="20">
        <f>DATA!F103</f>
        <v/>
      </c>
      <c r="H103" s="19">
        <f>C103*(1+F103)</f>
        <v/>
      </c>
      <c r="I103" s="19">
        <f>D103*(1+G103)</f>
        <v/>
      </c>
      <c r="J103" s="19">
        <f>IF(AND(CONFIG!$B$11="Annual",MONTH(A103)=7),(H103+I103)*CONFIG!$B$6/12,J102)</f>
        <v/>
      </c>
      <c r="K103" s="19">
        <f>MAX(0,I103-J103)</f>
        <v/>
      </c>
      <c r="L103">
        <f>IF(OR(MONTH(A103)=3,MONTH(A103)=6,MONTH(A103)=9,MONTH(A103)=12),"Y","N")</f>
        <v/>
      </c>
      <c r="M103" s="21">
        <f>IF((H103+K103)=0,0,K103/(H103+K103))</f>
        <v/>
      </c>
      <c r="N103">
        <f>IF(AND(L103="Y",OR(M103&lt;CONFIG!$B$8,M103&gt;CONFIG!$B$9)),"Y","N")</f>
        <v/>
      </c>
      <c r="O103" s="19">
        <f>IF(N103="Y",(H103+K103)*0.8,H103)</f>
        <v/>
      </c>
      <c r="P103" s="19">
        <f>IF(N103="Y",(H103+K103)*0.2,K103)</f>
        <v/>
      </c>
      <c r="R103" s="18">
        <f>DATA!A103</f>
        <v/>
      </c>
      <c r="S103">
        <f>DATA!B103</f>
        <v/>
      </c>
      <c r="T103" s="19">
        <f>AF102</f>
        <v/>
      </c>
      <c r="U103" s="19">
        <f>AG102</f>
        <v/>
      </c>
      <c r="V103" s="19">
        <f>T103+U103</f>
        <v/>
      </c>
      <c r="W103" s="20">
        <f>DATA!D103</f>
        <v/>
      </c>
      <c r="X103" s="20">
        <f>DATA!F103</f>
        <v/>
      </c>
      <c r="Y103" s="19">
        <f>T103*(1+W103)</f>
        <v/>
      </c>
      <c r="Z103" s="19">
        <f>U103*(1+X103)</f>
        <v/>
      </c>
      <c r="AA103" s="19">
        <f>IF(AND(CONFIG!$B$11="Annual",MONTH(R103)=7),(Y103+Z103)*CONFIG!$B$6/12,AA102)</f>
        <v/>
      </c>
      <c r="AB103" s="19">
        <f>MAX(0,Z103-AA103)</f>
        <v/>
      </c>
      <c r="AC103">
        <f>IF(OR(MONTH(R103)=3,MONTH(R103)=6,MONTH(R103)=9,MONTH(R103)=12),"Y","N")</f>
        <v/>
      </c>
      <c r="AD103" s="21">
        <f>IF((Y103+AB103)=0,0,AB103/(Y103+AB103))</f>
        <v/>
      </c>
      <c r="AE103">
        <f>IF(AND(AC103="Y",OR(AD103&lt;CONFIG!$B$8,AD103&gt;CONFIG!$B$9)),"Y","N")</f>
        <v/>
      </c>
      <c r="AF103" s="19">
        <f>IF(AE103="Y",(Y103+AB103)*0.8,Y103)</f>
        <v/>
      </c>
      <c r="AG103" s="19">
        <f>IF(AE103="Y",(Y103+AB103)*0.2,AB103)</f>
        <v/>
      </c>
      <c r="AI103" s="18">
        <f>DATA!A103</f>
        <v/>
      </c>
      <c r="AJ103">
        <f>DATA!B103</f>
        <v/>
      </c>
      <c r="AK103" s="19">
        <f>AW102</f>
        <v/>
      </c>
      <c r="AL103" s="19">
        <f>AX102</f>
        <v/>
      </c>
      <c r="AM103" s="19">
        <f>AK103+AL103</f>
        <v/>
      </c>
      <c r="AN103" s="20">
        <f>DATA!E103</f>
        <v/>
      </c>
      <c r="AO103" s="20">
        <f>DATA!F103</f>
        <v/>
      </c>
      <c r="AP103" s="19">
        <f>AK103*(1+AN103)</f>
        <v/>
      </c>
      <c r="AQ103" s="19">
        <f>AL103*(1+AO103)</f>
        <v/>
      </c>
      <c r="AR103" s="19">
        <f>IF(AND(CONFIG!$B$11="Annual",MONTH(AI103)=7),(AP103+AQ103)*CONFIG!$B$6/12,AR102)</f>
        <v/>
      </c>
      <c r="AS103" s="19">
        <f>MAX(0,AQ103-AR103)</f>
        <v/>
      </c>
      <c r="AT103">
        <f>IF(OR(MONTH(AI103)=3,MONTH(AI103)=6,MONTH(AI103)=9,MONTH(AI103)=12),"Y","N")</f>
        <v/>
      </c>
      <c r="AU103" s="21">
        <f>IF((AP103+AS103)=0,0,AS103/(AP103+AS103))</f>
        <v/>
      </c>
      <c r="AV103">
        <f>IF(AND(AT103="Y",OR(AU103&lt;CONFIG!$B$8,AU103&gt;CONFIG!$B$9)),"Y","N")</f>
        <v/>
      </c>
      <c r="AW103" s="19">
        <f>IF(AV103="Y",(AP103+AS103)*0.8,AP103)</f>
        <v/>
      </c>
      <c r="AX103" s="19">
        <f>IF(AV103="Y",(AP103+AS103)*0.2,AS103)</f>
        <v/>
      </c>
    </row>
    <row r="104">
      <c r="A104" s="18">
        <f>DATA!A104</f>
        <v/>
      </c>
      <c r="B104">
        <f>DATA!B104</f>
        <v/>
      </c>
      <c r="C104" s="19">
        <f>O103</f>
        <v/>
      </c>
      <c r="D104" s="19">
        <f>P103</f>
        <v/>
      </c>
      <c r="E104" s="19">
        <f>C104+D104</f>
        <v/>
      </c>
      <c r="F104" s="20">
        <f>DATA!C104</f>
        <v/>
      </c>
      <c r="G104" s="20">
        <f>DATA!F104</f>
        <v/>
      </c>
      <c r="H104" s="19">
        <f>C104*(1+F104)</f>
        <v/>
      </c>
      <c r="I104" s="19">
        <f>D104*(1+G104)</f>
        <v/>
      </c>
      <c r="J104" s="19">
        <f>IF(AND(CONFIG!$B$11="Annual",MONTH(A104)=7),(H104+I104)*CONFIG!$B$6/12,J103)</f>
        <v/>
      </c>
      <c r="K104" s="19">
        <f>MAX(0,I104-J104)</f>
        <v/>
      </c>
      <c r="L104">
        <f>IF(OR(MONTH(A104)=3,MONTH(A104)=6,MONTH(A104)=9,MONTH(A104)=12),"Y","N")</f>
        <v/>
      </c>
      <c r="M104" s="21">
        <f>IF((H104+K104)=0,0,K104/(H104+K104))</f>
        <v/>
      </c>
      <c r="N104">
        <f>IF(AND(L104="Y",OR(M104&lt;CONFIG!$B$8,M104&gt;CONFIG!$B$9)),"Y","N")</f>
        <v/>
      </c>
      <c r="O104" s="19">
        <f>IF(N104="Y",(H104+K104)*0.8,H104)</f>
        <v/>
      </c>
      <c r="P104" s="19">
        <f>IF(N104="Y",(H104+K104)*0.2,K104)</f>
        <v/>
      </c>
      <c r="R104" s="18">
        <f>DATA!A104</f>
        <v/>
      </c>
      <c r="S104">
        <f>DATA!B104</f>
        <v/>
      </c>
      <c r="T104" s="19">
        <f>AF103</f>
        <v/>
      </c>
      <c r="U104" s="19">
        <f>AG103</f>
        <v/>
      </c>
      <c r="V104" s="19">
        <f>T104+U104</f>
        <v/>
      </c>
      <c r="W104" s="20">
        <f>DATA!D104</f>
        <v/>
      </c>
      <c r="X104" s="20">
        <f>DATA!F104</f>
        <v/>
      </c>
      <c r="Y104" s="19">
        <f>T104*(1+W104)</f>
        <v/>
      </c>
      <c r="Z104" s="19">
        <f>U104*(1+X104)</f>
        <v/>
      </c>
      <c r="AA104" s="19">
        <f>IF(AND(CONFIG!$B$11="Annual",MONTH(R104)=7),(Y104+Z104)*CONFIG!$B$6/12,AA103)</f>
        <v/>
      </c>
      <c r="AB104" s="19">
        <f>MAX(0,Z104-AA104)</f>
        <v/>
      </c>
      <c r="AC104">
        <f>IF(OR(MONTH(R104)=3,MONTH(R104)=6,MONTH(R104)=9,MONTH(R104)=12),"Y","N")</f>
        <v/>
      </c>
      <c r="AD104" s="21">
        <f>IF((Y104+AB104)=0,0,AB104/(Y104+AB104))</f>
        <v/>
      </c>
      <c r="AE104">
        <f>IF(AND(AC104="Y",OR(AD104&lt;CONFIG!$B$8,AD104&gt;CONFIG!$B$9)),"Y","N")</f>
        <v/>
      </c>
      <c r="AF104" s="19">
        <f>IF(AE104="Y",(Y104+AB104)*0.8,Y104)</f>
        <v/>
      </c>
      <c r="AG104" s="19">
        <f>IF(AE104="Y",(Y104+AB104)*0.2,AB104)</f>
        <v/>
      </c>
      <c r="AI104" s="18">
        <f>DATA!A104</f>
        <v/>
      </c>
      <c r="AJ104">
        <f>DATA!B104</f>
        <v/>
      </c>
      <c r="AK104" s="19">
        <f>AW103</f>
        <v/>
      </c>
      <c r="AL104" s="19">
        <f>AX103</f>
        <v/>
      </c>
      <c r="AM104" s="19">
        <f>AK104+AL104</f>
        <v/>
      </c>
      <c r="AN104" s="20">
        <f>DATA!E104</f>
        <v/>
      </c>
      <c r="AO104" s="20">
        <f>DATA!F104</f>
        <v/>
      </c>
      <c r="AP104" s="19">
        <f>AK104*(1+AN104)</f>
        <v/>
      </c>
      <c r="AQ104" s="19">
        <f>AL104*(1+AO104)</f>
        <v/>
      </c>
      <c r="AR104" s="19">
        <f>IF(AND(CONFIG!$B$11="Annual",MONTH(AI104)=7),(AP104+AQ104)*CONFIG!$B$6/12,AR103)</f>
        <v/>
      </c>
      <c r="AS104" s="19">
        <f>MAX(0,AQ104-AR104)</f>
        <v/>
      </c>
      <c r="AT104">
        <f>IF(OR(MONTH(AI104)=3,MONTH(AI104)=6,MONTH(AI104)=9,MONTH(AI104)=12),"Y","N")</f>
        <v/>
      </c>
      <c r="AU104" s="21">
        <f>IF((AP104+AS104)=0,0,AS104/(AP104+AS104))</f>
        <v/>
      </c>
      <c r="AV104">
        <f>IF(AND(AT104="Y",OR(AU104&lt;CONFIG!$B$8,AU104&gt;CONFIG!$B$9)),"Y","N")</f>
        <v/>
      </c>
      <c r="AW104" s="19">
        <f>IF(AV104="Y",(AP104+AS104)*0.8,AP104)</f>
        <v/>
      </c>
      <c r="AX104" s="19">
        <f>IF(AV104="Y",(AP104+AS104)*0.2,AS104)</f>
        <v/>
      </c>
    </row>
    <row r="105">
      <c r="A105" s="18">
        <f>DATA!A105</f>
        <v/>
      </c>
      <c r="B105">
        <f>DATA!B105</f>
        <v/>
      </c>
      <c r="C105" s="19">
        <f>O104</f>
        <v/>
      </c>
      <c r="D105" s="19">
        <f>P104</f>
        <v/>
      </c>
      <c r="E105" s="19">
        <f>C105+D105</f>
        <v/>
      </c>
      <c r="F105" s="20">
        <f>DATA!C105</f>
        <v/>
      </c>
      <c r="G105" s="20">
        <f>DATA!F105</f>
        <v/>
      </c>
      <c r="H105" s="19">
        <f>C105*(1+F105)</f>
        <v/>
      </c>
      <c r="I105" s="19">
        <f>D105*(1+G105)</f>
        <v/>
      </c>
      <c r="J105" s="19">
        <f>IF(AND(CONFIG!$B$11="Annual",MONTH(A105)=7),(H105+I105)*CONFIG!$B$6/12,J104)</f>
        <v/>
      </c>
      <c r="K105" s="19">
        <f>MAX(0,I105-J105)</f>
        <v/>
      </c>
      <c r="L105">
        <f>IF(OR(MONTH(A105)=3,MONTH(A105)=6,MONTH(A105)=9,MONTH(A105)=12),"Y","N")</f>
        <v/>
      </c>
      <c r="M105" s="21">
        <f>IF((H105+K105)=0,0,K105/(H105+K105))</f>
        <v/>
      </c>
      <c r="N105">
        <f>IF(AND(L105="Y",OR(M105&lt;CONFIG!$B$8,M105&gt;CONFIG!$B$9)),"Y","N")</f>
        <v/>
      </c>
      <c r="O105" s="19">
        <f>IF(N105="Y",(H105+K105)*0.8,H105)</f>
        <v/>
      </c>
      <c r="P105" s="19">
        <f>IF(N105="Y",(H105+K105)*0.2,K105)</f>
        <v/>
      </c>
      <c r="R105" s="18">
        <f>DATA!A105</f>
        <v/>
      </c>
      <c r="S105">
        <f>DATA!B105</f>
        <v/>
      </c>
      <c r="T105" s="19">
        <f>AF104</f>
        <v/>
      </c>
      <c r="U105" s="19">
        <f>AG104</f>
        <v/>
      </c>
      <c r="V105" s="19">
        <f>T105+U105</f>
        <v/>
      </c>
      <c r="W105" s="20">
        <f>DATA!D105</f>
        <v/>
      </c>
      <c r="X105" s="20">
        <f>DATA!F105</f>
        <v/>
      </c>
      <c r="Y105" s="19">
        <f>T105*(1+W105)</f>
        <v/>
      </c>
      <c r="Z105" s="19">
        <f>U105*(1+X105)</f>
        <v/>
      </c>
      <c r="AA105" s="19">
        <f>IF(AND(CONFIG!$B$11="Annual",MONTH(R105)=7),(Y105+Z105)*CONFIG!$B$6/12,AA104)</f>
        <v/>
      </c>
      <c r="AB105" s="19">
        <f>MAX(0,Z105-AA105)</f>
        <v/>
      </c>
      <c r="AC105">
        <f>IF(OR(MONTH(R105)=3,MONTH(R105)=6,MONTH(R105)=9,MONTH(R105)=12),"Y","N")</f>
        <v/>
      </c>
      <c r="AD105" s="21">
        <f>IF((Y105+AB105)=0,0,AB105/(Y105+AB105))</f>
        <v/>
      </c>
      <c r="AE105">
        <f>IF(AND(AC105="Y",OR(AD105&lt;CONFIG!$B$8,AD105&gt;CONFIG!$B$9)),"Y","N")</f>
        <v/>
      </c>
      <c r="AF105" s="19">
        <f>IF(AE105="Y",(Y105+AB105)*0.8,Y105)</f>
        <v/>
      </c>
      <c r="AG105" s="19">
        <f>IF(AE105="Y",(Y105+AB105)*0.2,AB105)</f>
        <v/>
      </c>
      <c r="AI105" s="18">
        <f>DATA!A105</f>
        <v/>
      </c>
      <c r="AJ105">
        <f>DATA!B105</f>
        <v/>
      </c>
      <c r="AK105" s="19">
        <f>AW104</f>
        <v/>
      </c>
      <c r="AL105" s="19">
        <f>AX104</f>
        <v/>
      </c>
      <c r="AM105" s="19">
        <f>AK105+AL105</f>
        <v/>
      </c>
      <c r="AN105" s="20">
        <f>DATA!E105</f>
        <v/>
      </c>
      <c r="AO105" s="20">
        <f>DATA!F105</f>
        <v/>
      </c>
      <c r="AP105" s="19">
        <f>AK105*(1+AN105)</f>
        <v/>
      </c>
      <c r="AQ105" s="19">
        <f>AL105*(1+AO105)</f>
        <v/>
      </c>
      <c r="AR105" s="19">
        <f>IF(AND(CONFIG!$B$11="Annual",MONTH(AI105)=7),(AP105+AQ105)*CONFIG!$B$6/12,AR104)</f>
        <v/>
      </c>
      <c r="AS105" s="19">
        <f>MAX(0,AQ105-AR105)</f>
        <v/>
      </c>
      <c r="AT105">
        <f>IF(OR(MONTH(AI105)=3,MONTH(AI105)=6,MONTH(AI105)=9,MONTH(AI105)=12),"Y","N")</f>
        <v/>
      </c>
      <c r="AU105" s="21">
        <f>IF((AP105+AS105)=0,0,AS105/(AP105+AS105))</f>
        <v/>
      </c>
      <c r="AV105">
        <f>IF(AND(AT105="Y",OR(AU105&lt;CONFIG!$B$8,AU105&gt;CONFIG!$B$9)),"Y","N")</f>
        <v/>
      </c>
      <c r="AW105" s="19">
        <f>IF(AV105="Y",(AP105+AS105)*0.8,AP105)</f>
        <v/>
      </c>
      <c r="AX105" s="19">
        <f>IF(AV105="Y",(AP105+AS105)*0.2,AS105)</f>
        <v/>
      </c>
    </row>
    <row r="106">
      <c r="A106" s="18">
        <f>DATA!A106</f>
        <v/>
      </c>
      <c r="B106">
        <f>DATA!B106</f>
        <v/>
      </c>
      <c r="C106" s="19">
        <f>O105</f>
        <v/>
      </c>
      <c r="D106" s="19">
        <f>P105</f>
        <v/>
      </c>
      <c r="E106" s="19">
        <f>C106+D106</f>
        <v/>
      </c>
      <c r="F106" s="20">
        <f>DATA!C106</f>
        <v/>
      </c>
      <c r="G106" s="20">
        <f>DATA!F106</f>
        <v/>
      </c>
      <c r="H106" s="19">
        <f>C106*(1+F106)</f>
        <v/>
      </c>
      <c r="I106" s="19">
        <f>D106*(1+G106)</f>
        <v/>
      </c>
      <c r="J106" s="19">
        <f>IF(AND(CONFIG!$B$11="Annual",MONTH(A106)=7),(H106+I106)*CONFIG!$B$6/12,J105)</f>
        <v/>
      </c>
      <c r="K106" s="19">
        <f>MAX(0,I106-J106)</f>
        <v/>
      </c>
      <c r="L106">
        <f>IF(OR(MONTH(A106)=3,MONTH(A106)=6,MONTH(A106)=9,MONTH(A106)=12),"Y","N")</f>
        <v/>
      </c>
      <c r="M106" s="21">
        <f>IF((H106+K106)=0,0,K106/(H106+K106))</f>
        <v/>
      </c>
      <c r="N106">
        <f>IF(AND(L106="Y",OR(M106&lt;CONFIG!$B$8,M106&gt;CONFIG!$B$9)),"Y","N")</f>
        <v/>
      </c>
      <c r="O106" s="19">
        <f>IF(N106="Y",(H106+K106)*0.8,H106)</f>
        <v/>
      </c>
      <c r="P106" s="19">
        <f>IF(N106="Y",(H106+K106)*0.2,K106)</f>
        <v/>
      </c>
      <c r="R106" s="18">
        <f>DATA!A106</f>
        <v/>
      </c>
      <c r="S106">
        <f>DATA!B106</f>
        <v/>
      </c>
      <c r="T106" s="19">
        <f>AF105</f>
        <v/>
      </c>
      <c r="U106" s="19">
        <f>AG105</f>
        <v/>
      </c>
      <c r="V106" s="19">
        <f>T106+U106</f>
        <v/>
      </c>
      <c r="W106" s="20">
        <f>DATA!D106</f>
        <v/>
      </c>
      <c r="X106" s="20">
        <f>DATA!F106</f>
        <v/>
      </c>
      <c r="Y106" s="19">
        <f>T106*(1+W106)</f>
        <v/>
      </c>
      <c r="Z106" s="19">
        <f>U106*(1+X106)</f>
        <v/>
      </c>
      <c r="AA106" s="19">
        <f>IF(AND(CONFIG!$B$11="Annual",MONTH(R106)=7),(Y106+Z106)*CONFIG!$B$6/12,AA105)</f>
        <v/>
      </c>
      <c r="AB106" s="19">
        <f>MAX(0,Z106-AA106)</f>
        <v/>
      </c>
      <c r="AC106">
        <f>IF(OR(MONTH(R106)=3,MONTH(R106)=6,MONTH(R106)=9,MONTH(R106)=12),"Y","N")</f>
        <v/>
      </c>
      <c r="AD106" s="21">
        <f>IF((Y106+AB106)=0,0,AB106/(Y106+AB106))</f>
        <v/>
      </c>
      <c r="AE106">
        <f>IF(AND(AC106="Y",OR(AD106&lt;CONFIG!$B$8,AD106&gt;CONFIG!$B$9)),"Y","N")</f>
        <v/>
      </c>
      <c r="AF106" s="19">
        <f>IF(AE106="Y",(Y106+AB106)*0.8,Y106)</f>
        <v/>
      </c>
      <c r="AG106" s="19">
        <f>IF(AE106="Y",(Y106+AB106)*0.2,AB106)</f>
        <v/>
      </c>
      <c r="AI106" s="18">
        <f>DATA!A106</f>
        <v/>
      </c>
      <c r="AJ106">
        <f>DATA!B106</f>
        <v/>
      </c>
      <c r="AK106" s="19">
        <f>AW105</f>
        <v/>
      </c>
      <c r="AL106" s="19">
        <f>AX105</f>
        <v/>
      </c>
      <c r="AM106" s="19">
        <f>AK106+AL106</f>
        <v/>
      </c>
      <c r="AN106" s="20">
        <f>DATA!E106</f>
        <v/>
      </c>
      <c r="AO106" s="20">
        <f>DATA!F106</f>
        <v/>
      </c>
      <c r="AP106" s="19">
        <f>AK106*(1+AN106)</f>
        <v/>
      </c>
      <c r="AQ106" s="19">
        <f>AL106*(1+AO106)</f>
        <v/>
      </c>
      <c r="AR106" s="19">
        <f>IF(AND(CONFIG!$B$11="Annual",MONTH(AI106)=7),(AP106+AQ106)*CONFIG!$B$6/12,AR105)</f>
        <v/>
      </c>
      <c r="AS106" s="19">
        <f>MAX(0,AQ106-AR106)</f>
        <v/>
      </c>
      <c r="AT106">
        <f>IF(OR(MONTH(AI106)=3,MONTH(AI106)=6,MONTH(AI106)=9,MONTH(AI106)=12),"Y","N")</f>
        <v/>
      </c>
      <c r="AU106" s="21">
        <f>IF((AP106+AS106)=0,0,AS106/(AP106+AS106))</f>
        <v/>
      </c>
      <c r="AV106">
        <f>IF(AND(AT106="Y",OR(AU106&lt;CONFIG!$B$8,AU106&gt;CONFIG!$B$9)),"Y","N")</f>
        <v/>
      </c>
      <c r="AW106" s="19">
        <f>IF(AV106="Y",(AP106+AS106)*0.8,AP106)</f>
        <v/>
      </c>
      <c r="AX106" s="19">
        <f>IF(AV106="Y",(AP106+AS106)*0.2,AS106)</f>
        <v/>
      </c>
    </row>
    <row r="107">
      <c r="A107" s="18">
        <f>DATA!A107</f>
        <v/>
      </c>
      <c r="B107">
        <f>DATA!B107</f>
        <v/>
      </c>
      <c r="C107" s="19">
        <f>O106</f>
        <v/>
      </c>
      <c r="D107" s="19">
        <f>P106</f>
        <v/>
      </c>
      <c r="E107" s="19">
        <f>C107+D107</f>
        <v/>
      </c>
      <c r="F107" s="20">
        <f>DATA!C107</f>
        <v/>
      </c>
      <c r="G107" s="20">
        <f>DATA!F107</f>
        <v/>
      </c>
      <c r="H107" s="19">
        <f>C107*(1+F107)</f>
        <v/>
      </c>
      <c r="I107" s="19">
        <f>D107*(1+G107)</f>
        <v/>
      </c>
      <c r="J107" s="19">
        <f>IF(AND(CONFIG!$B$11="Annual",MONTH(A107)=7),(H107+I107)*CONFIG!$B$6/12,J106)</f>
        <v/>
      </c>
      <c r="K107" s="19">
        <f>MAX(0,I107-J107)</f>
        <v/>
      </c>
      <c r="L107">
        <f>IF(OR(MONTH(A107)=3,MONTH(A107)=6,MONTH(A107)=9,MONTH(A107)=12),"Y","N")</f>
        <v/>
      </c>
      <c r="M107" s="21">
        <f>IF((H107+K107)=0,0,K107/(H107+K107))</f>
        <v/>
      </c>
      <c r="N107">
        <f>IF(AND(L107="Y",OR(M107&lt;CONFIG!$B$8,M107&gt;CONFIG!$B$9)),"Y","N")</f>
        <v/>
      </c>
      <c r="O107" s="19">
        <f>IF(N107="Y",(H107+K107)*0.8,H107)</f>
        <v/>
      </c>
      <c r="P107" s="19">
        <f>IF(N107="Y",(H107+K107)*0.2,K107)</f>
        <v/>
      </c>
      <c r="R107" s="18">
        <f>DATA!A107</f>
        <v/>
      </c>
      <c r="S107">
        <f>DATA!B107</f>
        <v/>
      </c>
      <c r="T107" s="19">
        <f>AF106</f>
        <v/>
      </c>
      <c r="U107" s="19">
        <f>AG106</f>
        <v/>
      </c>
      <c r="V107" s="19">
        <f>T107+U107</f>
        <v/>
      </c>
      <c r="W107" s="20">
        <f>DATA!D107</f>
        <v/>
      </c>
      <c r="X107" s="20">
        <f>DATA!F107</f>
        <v/>
      </c>
      <c r="Y107" s="19">
        <f>T107*(1+W107)</f>
        <v/>
      </c>
      <c r="Z107" s="19">
        <f>U107*(1+X107)</f>
        <v/>
      </c>
      <c r="AA107" s="19">
        <f>IF(AND(CONFIG!$B$11="Annual",MONTH(R107)=7),(Y107+Z107)*CONFIG!$B$6/12,AA106)</f>
        <v/>
      </c>
      <c r="AB107" s="19">
        <f>MAX(0,Z107-AA107)</f>
        <v/>
      </c>
      <c r="AC107">
        <f>IF(OR(MONTH(R107)=3,MONTH(R107)=6,MONTH(R107)=9,MONTH(R107)=12),"Y","N")</f>
        <v/>
      </c>
      <c r="AD107" s="21">
        <f>IF((Y107+AB107)=0,0,AB107/(Y107+AB107))</f>
        <v/>
      </c>
      <c r="AE107">
        <f>IF(AND(AC107="Y",OR(AD107&lt;CONFIG!$B$8,AD107&gt;CONFIG!$B$9)),"Y","N")</f>
        <v/>
      </c>
      <c r="AF107" s="19">
        <f>IF(AE107="Y",(Y107+AB107)*0.8,Y107)</f>
        <v/>
      </c>
      <c r="AG107" s="19">
        <f>IF(AE107="Y",(Y107+AB107)*0.2,AB107)</f>
        <v/>
      </c>
      <c r="AI107" s="18">
        <f>DATA!A107</f>
        <v/>
      </c>
      <c r="AJ107">
        <f>DATA!B107</f>
        <v/>
      </c>
      <c r="AK107" s="19">
        <f>AW106</f>
        <v/>
      </c>
      <c r="AL107" s="19">
        <f>AX106</f>
        <v/>
      </c>
      <c r="AM107" s="19">
        <f>AK107+AL107</f>
        <v/>
      </c>
      <c r="AN107" s="20">
        <f>DATA!E107</f>
        <v/>
      </c>
      <c r="AO107" s="20">
        <f>DATA!F107</f>
        <v/>
      </c>
      <c r="AP107" s="19">
        <f>AK107*(1+AN107)</f>
        <v/>
      </c>
      <c r="AQ107" s="19">
        <f>AL107*(1+AO107)</f>
        <v/>
      </c>
      <c r="AR107" s="19">
        <f>IF(AND(CONFIG!$B$11="Annual",MONTH(AI107)=7),(AP107+AQ107)*CONFIG!$B$6/12,AR106)</f>
        <v/>
      </c>
      <c r="AS107" s="19">
        <f>MAX(0,AQ107-AR107)</f>
        <v/>
      </c>
      <c r="AT107">
        <f>IF(OR(MONTH(AI107)=3,MONTH(AI107)=6,MONTH(AI107)=9,MONTH(AI107)=12),"Y","N")</f>
        <v/>
      </c>
      <c r="AU107" s="21">
        <f>IF((AP107+AS107)=0,0,AS107/(AP107+AS107))</f>
        <v/>
      </c>
      <c r="AV107">
        <f>IF(AND(AT107="Y",OR(AU107&lt;CONFIG!$B$8,AU107&gt;CONFIG!$B$9)),"Y","N")</f>
        <v/>
      </c>
      <c r="AW107" s="19">
        <f>IF(AV107="Y",(AP107+AS107)*0.8,AP107)</f>
        <v/>
      </c>
      <c r="AX107" s="19">
        <f>IF(AV107="Y",(AP107+AS107)*0.2,AS107)</f>
        <v/>
      </c>
    </row>
    <row r="108">
      <c r="A108" s="18">
        <f>DATA!A108</f>
        <v/>
      </c>
      <c r="B108">
        <f>DATA!B108</f>
        <v/>
      </c>
      <c r="C108" s="19">
        <f>O107</f>
        <v/>
      </c>
      <c r="D108" s="19">
        <f>P107</f>
        <v/>
      </c>
      <c r="E108" s="19">
        <f>C108+D108</f>
        <v/>
      </c>
      <c r="F108" s="20">
        <f>DATA!C108</f>
        <v/>
      </c>
      <c r="G108" s="20">
        <f>DATA!F108</f>
        <v/>
      </c>
      <c r="H108" s="19">
        <f>C108*(1+F108)</f>
        <v/>
      </c>
      <c r="I108" s="19">
        <f>D108*(1+G108)</f>
        <v/>
      </c>
      <c r="J108" s="19">
        <f>IF(AND(CONFIG!$B$11="Annual",MONTH(A108)=7),(H108+I108)*CONFIG!$B$6/12,J107)</f>
        <v/>
      </c>
      <c r="K108" s="19">
        <f>MAX(0,I108-J108)</f>
        <v/>
      </c>
      <c r="L108">
        <f>IF(OR(MONTH(A108)=3,MONTH(A108)=6,MONTH(A108)=9,MONTH(A108)=12),"Y","N")</f>
        <v/>
      </c>
      <c r="M108" s="21">
        <f>IF((H108+K108)=0,0,K108/(H108+K108))</f>
        <v/>
      </c>
      <c r="N108">
        <f>IF(AND(L108="Y",OR(M108&lt;CONFIG!$B$8,M108&gt;CONFIG!$B$9)),"Y","N")</f>
        <v/>
      </c>
      <c r="O108" s="19">
        <f>IF(N108="Y",(H108+K108)*0.8,H108)</f>
        <v/>
      </c>
      <c r="P108" s="19">
        <f>IF(N108="Y",(H108+K108)*0.2,K108)</f>
        <v/>
      </c>
      <c r="R108" s="18">
        <f>DATA!A108</f>
        <v/>
      </c>
      <c r="S108">
        <f>DATA!B108</f>
        <v/>
      </c>
      <c r="T108" s="19">
        <f>AF107</f>
        <v/>
      </c>
      <c r="U108" s="19">
        <f>AG107</f>
        <v/>
      </c>
      <c r="V108" s="19">
        <f>T108+U108</f>
        <v/>
      </c>
      <c r="W108" s="20">
        <f>DATA!D108</f>
        <v/>
      </c>
      <c r="X108" s="20">
        <f>DATA!F108</f>
        <v/>
      </c>
      <c r="Y108" s="19">
        <f>T108*(1+W108)</f>
        <v/>
      </c>
      <c r="Z108" s="19">
        <f>U108*(1+X108)</f>
        <v/>
      </c>
      <c r="AA108" s="19">
        <f>IF(AND(CONFIG!$B$11="Annual",MONTH(R108)=7),(Y108+Z108)*CONFIG!$B$6/12,AA107)</f>
        <v/>
      </c>
      <c r="AB108" s="19">
        <f>MAX(0,Z108-AA108)</f>
        <v/>
      </c>
      <c r="AC108">
        <f>IF(OR(MONTH(R108)=3,MONTH(R108)=6,MONTH(R108)=9,MONTH(R108)=12),"Y","N")</f>
        <v/>
      </c>
      <c r="AD108" s="21">
        <f>IF((Y108+AB108)=0,0,AB108/(Y108+AB108))</f>
        <v/>
      </c>
      <c r="AE108">
        <f>IF(AND(AC108="Y",OR(AD108&lt;CONFIG!$B$8,AD108&gt;CONFIG!$B$9)),"Y","N")</f>
        <v/>
      </c>
      <c r="AF108" s="19">
        <f>IF(AE108="Y",(Y108+AB108)*0.8,Y108)</f>
        <v/>
      </c>
      <c r="AG108" s="19">
        <f>IF(AE108="Y",(Y108+AB108)*0.2,AB108)</f>
        <v/>
      </c>
      <c r="AI108" s="18">
        <f>DATA!A108</f>
        <v/>
      </c>
      <c r="AJ108">
        <f>DATA!B108</f>
        <v/>
      </c>
      <c r="AK108" s="19">
        <f>AW107</f>
        <v/>
      </c>
      <c r="AL108" s="19">
        <f>AX107</f>
        <v/>
      </c>
      <c r="AM108" s="19">
        <f>AK108+AL108</f>
        <v/>
      </c>
      <c r="AN108" s="20">
        <f>DATA!E108</f>
        <v/>
      </c>
      <c r="AO108" s="20">
        <f>DATA!F108</f>
        <v/>
      </c>
      <c r="AP108" s="19">
        <f>AK108*(1+AN108)</f>
        <v/>
      </c>
      <c r="AQ108" s="19">
        <f>AL108*(1+AO108)</f>
        <v/>
      </c>
      <c r="AR108" s="19">
        <f>IF(AND(CONFIG!$B$11="Annual",MONTH(AI108)=7),(AP108+AQ108)*CONFIG!$B$6/12,AR107)</f>
        <v/>
      </c>
      <c r="AS108" s="19">
        <f>MAX(0,AQ108-AR108)</f>
        <v/>
      </c>
      <c r="AT108">
        <f>IF(OR(MONTH(AI108)=3,MONTH(AI108)=6,MONTH(AI108)=9,MONTH(AI108)=12),"Y","N")</f>
        <v/>
      </c>
      <c r="AU108" s="21">
        <f>IF((AP108+AS108)=0,0,AS108/(AP108+AS108))</f>
        <v/>
      </c>
      <c r="AV108">
        <f>IF(AND(AT108="Y",OR(AU108&lt;CONFIG!$B$8,AU108&gt;CONFIG!$B$9)),"Y","N")</f>
        <v/>
      </c>
      <c r="AW108" s="19">
        <f>IF(AV108="Y",(AP108+AS108)*0.8,AP108)</f>
        <v/>
      </c>
      <c r="AX108" s="19">
        <f>IF(AV108="Y",(AP108+AS108)*0.2,AS108)</f>
        <v/>
      </c>
    </row>
    <row r="109">
      <c r="A109" s="18">
        <f>DATA!A109</f>
        <v/>
      </c>
      <c r="B109">
        <f>DATA!B109</f>
        <v/>
      </c>
      <c r="C109" s="19">
        <f>O108</f>
        <v/>
      </c>
      <c r="D109" s="19">
        <f>P108</f>
        <v/>
      </c>
      <c r="E109" s="19">
        <f>C109+D109</f>
        <v/>
      </c>
      <c r="F109" s="20">
        <f>DATA!C109</f>
        <v/>
      </c>
      <c r="G109" s="20">
        <f>DATA!F109</f>
        <v/>
      </c>
      <c r="H109" s="19">
        <f>C109*(1+F109)</f>
        <v/>
      </c>
      <c r="I109" s="19">
        <f>D109*(1+G109)</f>
        <v/>
      </c>
      <c r="J109" s="19">
        <f>IF(AND(CONFIG!$B$11="Annual",MONTH(A109)=7),(H109+I109)*CONFIG!$B$6/12,J108)</f>
        <v/>
      </c>
      <c r="K109" s="19">
        <f>MAX(0,I109-J109)</f>
        <v/>
      </c>
      <c r="L109">
        <f>IF(OR(MONTH(A109)=3,MONTH(A109)=6,MONTH(A109)=9,MONTH(A109)=12),"Y","N")</f>
        <v/>
      </c>
      <c r="M109" s="21">
        <f>IF((H109+K109)=0,0,K109/(H109+K109))</f>
        <v/>
      </c>
      <c r="N109">
        <f>IF(AND(L109="Y",OR(M109&lt;CONFIG!$B$8,M109&gt;CONFIG!$B$9)),"Y","N")</f>
        <v/>
      </c>
      <c r="O109" s="19">
        <f>IF(N109="Y",(H109+K109)*0.8,H109)</f>
        <v/>
      </c>
      <c r="P109" s="19">
        <f>IF(N109="Y",(H109+K109)*0.2,K109)</f>
        <v/>
      </c>
      <c r="R109" s="18">
        <f>DATA!A109</f>
        <v/>
      </c>
      <c r="S109">
        <f>DATA!B109</f>
        <v/>
      </c>
      <c r="T109" s="19">
        <f>AF108</f>
        <v/>
      </c>
      <c r="U109" s="19">
        <f>AG108</f>
        <v/>
      </c>
      <c r="V109" s="19">
        <f>T109+U109</f>
        <v/>
      </c>
      <c r="W109" s="20">
        <f>DATA!D109</f>
        <v/>
      </c>
      <c r="X109" s="20">
        <f>DATA!F109</f>
        <v/>
      </c>
      <c r="Y109" s="19">
        <f>T109*(1+W109)</f>
        <v/>
      </c>
      <c r="Z109" s="19">
        <f>U109*(1+X109)</f>
        <v/>
      </c>
      <c r="AA109" s="19">
        <f>IF(AND(CONFIG!$B$11="Annual",MONTH(R109)=7),(Y109+Z109)*CONFIG!$B$6/12,AA108)</f>
        <v/>
      </c>
      <c r="AB109" s="19">
        <f>MAX(0,Z109-AA109)</f>
        <v/>
      </c>
      <c r="AC109">
        <f>IF(OR(MONTH(R109)=3,MONTH(R109)=6,MONTH(R109)=9,MONTH(R109)=12),"Y","N")</f>
        <v/>
      </c>
      <c r="AD109" s="21">
        <f>IF((Y109+AB109)=0,0,AB109/(Y109+AB109))</f>
        <v/>
      </c>
      <c r="AE109">
        <f>IF(AND(AC109="Y",OR(AD109&lt;CONFIG!$B$8,AD109&gt;CONFIG!$B$9)),"Y","N")</f>
        <v/>
      </c>
      <c r="AF109" s="19">
        <f>IF(AE109="Y",(Y109+AB109)*0.8,Y109)</f>
        <v/>
      </c>
      <c r="AG109" s="19">
        <f>IF(AE109="Y",(Y109+AB109)*0.2,AB109)</f>
        <v/>
      </c>
      <c r="AI109" s="18">
        <f>DATA!A109</f>
        <v/>
      </c>
      <c r="AJ109">
        <f>DATA!B109</f>
        <v/>
      </c>
      <c r="AK109" s="19">
        <f>AW108</f>
        <v/>
      </c>
      <c r="AL109" s="19">
        <f>AX108</f>
        <v/>
      </c>
      <c r="AM109" s="19">
        <f>AK109+AL109</f>
        <v/>
      </c>
      <c r="AN109" s="20">
        <f>DATA!E109</f>
        <v/>
      </c>
      <c r="AO109" s="20">
        <f>DATA!F109</f>
        <v/>
      </c>
      <c r="AP109" s="19">
        <f>AK109*(1+AN109)</f>
        <v/>
      </c>
      <c r="AQ109" s="19">
        <f>AL109*(1+AO109)</f>
        <v/>
      </c>
      <c r="AR109" s="19">
        <f>IF(AND(CONFIG!$B$11="Annual",MONTH(AI109)=7),(AP109+AQ109)*CONFIG!$B$6/12,AR108)</f>
        <v/>
      </c>
      <c r="AS109" s="19">
        <f>MAX(0,AQ109-AR109)</f>
        <v/>
      </c>
      <c r="AT109">
        <f>IF(OR(MONTH(AI109)=3,MONTH(AI109)=6,MONTH(AI109)=9,MONTH(AI109)=12),"Y","N")</f>
        <v/>
      </c>
      <c r="AU109" s="21">
        <f>IF((AP109+AS109)=0,0,AS109/(AP109+AS109))</f>
        <v/>
      </c>
      <c r="AV109">
        <f>IF(AND(AT109="Y",OR(AU109&lt;CONFIG!$B$8,AU109&gt;CONFIG!$B$9)),"Y","N")</f>
        <v/>
      </c>
      <c r="AW109" s="19">
        <f>IF(AV109="Y",(AP109+AS109)*0.8,AP109)</f>
        <v/>
      </c>
      <c r="AX109" s="19">
        <f>IF(AV109="Y",(AP109+AS109)*0.2,AS109)</f>
        <v/>
      </c>
    </row>
    <row r="110">
      <c r="A110" s="18">
        <f>DATA!A110</f>
        <v/>
      </c>
      <c r="B110">
        <f>DATA!B110</f>
        <v/>
      </c>
      <c r="C110" s="19">
        <f>O109</f>
        <v/>
      </c>
      <c r="D110" s="19">
        <f>P109</f>
        <v/>
      </c>
      <c r="E110" s="19">
        <f>C110+D110</f>
        <v/>
      </c>
      <c r="F110" s="20">
        <f>DATA!C110</f>
        <v/>
      </c>
      <c r="G110" s="20">
        <f>DATA!F110</f>
        <v/>
      </c>
      <c r="H110" s="19">
        <f>C110*(1+F110)</f>
        <v/>
      </c>
      <c r="I110" s="19">
        <f>D110*(1+G110)</f>
        <v/>
      </c>
      <c r="J110" s="19">
        <f>IF(AND(CONFIG!$B$11="Annual",MONTH(A110)=7),(H110+I110)*CONFIG!$B$6/12,J109)</f>
        <v/>
      </c>
      <c r="K110" s="19">
        <f>MAX(0,I110-J110)</f>
        <v/>
      </c>
      <c r="L110">
        <f>IF(OR(MONTH(A110)=3,MONTH(A110)=6,MONTH(A110)=9,MONTH(A110)=12),"Y","N")</f>
        <v/>
      </c>
      <c r="M110" s="21">
        <f>IF((H110+K110)=0,0,K110/(H110+K110))</f>
        <v/>
      </c>
      <c r="N110">
        <f>IF(AND(L110="Y",OR(M110&lt;CONFIG!$B$8,M110&gt;CONFIG!$B$9)),"Y","N")</f>
        <v/>
      </c>
      <c r="O110" s="19">
        <f>IF(N110="Y",(H110+K110)*0.8,H110)</f>
        <v/>
      </c>
      <c r="P110" s="19">
        <f>IF(N110="Y",(H110+K110)*0.2,K110)</f>
        <v/>
      </c>
      <c r="R110" s="18">
        <f>DATA!A110</f>
        <v/>
      </c>
      <c r="S110">
        <f>DATA!B110</f>
        <v/>
      </c>
      <c r="T110" s="19">
        <f>AF109</f>
        <v/>
      </c>
      <c r="U110" s="19">
        <f>AG109</f>
        <v/>
      </c>
      <c r="V110" s="19">
        <f>T110+U110</f>
        <v/>
      </c>
      <c r="W110" s="20">
        <f>DATA!D110</f>
        <v/>
      </c>
      <c r="X110" s="20">
        <f>DATA!F110</f>
        <v/>
      </c>
      <c r="Y110" s="19">
        <f>T110*(1+W110)</f>
        <v/>
      </c>
      <c r="Z110" s="19">
        <f>U110*(1+X110)</f>
        <v/>
      </c>
      <c r="AA110" s="19">
        <f>IF(AND(CONFIG!$B$11="Annual",MONTH(R110)=7),(Y110+Z110)*CONFIG!$B$6/12,AA109)</f>
        <v/>
      </c>
      <c r="AB110" s="19">
        <f>MAX(0,Z110-AA110)</f>
        <v/>
      </c>
      <c r="AC110">
        <f>IF(OR(MONTH(R110)=3,MONTH(R110)=6,MONTH(R110)=9,MONTH(R110)=12),"Y","N")</f>
        <v/>
      </c>
      <c r="AD110" s="21">
        <f>IF((Y110+AB110)=0,0,AB110/(Y110+AB110))</f>
        <v/>
      </c>
      <c r="AE110">
        <f>IF(AND(AC110="Y",OR(AD110&lt;CONFIG!$B$8,AD110&gt;CONFIG!$B$9)),"Y","N")</f>
        <v/>
      </c>
      <c r="AF110" s="19">
        <f>IF(AE110="Y",(Y110+AB110)*0.8,Y110)</f>
        <v/>
      </c>
      <c r="AG110" s="19">
        <f>IF(AE110="Y",(Y110+AB110)*0.2,AB110)</f>
        <v/>
      </c>
      <c r="AI110" s="18">
        <f>DATA!A110</f>
        <v/>
      </c>
      <c r="AJ110">
        <f>DATA!B110</f>
        <v/>
      </c>
      <c r="AK110" s="19">
        <f>AW109</f>
        <v/>
      </c>
      <c r="AL110" s="19">
        <f>AX109</f>
        <v/>
      </c>
      <c r="AM110" s="19">
        <f>AK110+AL110</f>
        <v/>
      </c>
      <c r="AN110" s="20">
        <f>DATA!E110</f>
        <v/>
      </c>
      <c r="AO110" s="20">
        <f>DATA!F110</f>
        <v/>
      </c>
      <c r="AP110" s="19">
        <f>AK110*(1+AN110)</f>
        <v/>
      </c>
      <c r="AQ110" s="19">
        <f>AL110*(1+AO110)</f>
        <v/>
      </c>
      <c r="AR110" s="19">
        <f>IF(AND(CONFIG!$B$11="Annual",MONTH(AI110)=7),(AP110+AQ110)*CONFIG!$B$6/12,AR109)</f>
        <v/>
      </c>
      <c r="AS110" s="19">
        <f>MAX(0,AQ110-AR110)</f>
        <v/>
      </c>
      <c r="AT110">
        <f>IF(OR(MONTH(AI110)=3,MONTH(AI110)=6,MONTH(AI110)=9,MONTH(AI110)=12),"Y","N")</f>
        <v/>
      </c>
      <c r="AU110" s="21">
        <f>IF((AP110+AS110)=0,0,AS110/(AP110+AS110))</f>
        <v/>
      </c>
      <c r="AV110">
        <f>IF(AND(AT110="Y",OR(AU110&lt;CONFIG!$B$8,AU110&gt;CONFIG!$B$9)),"Y","N")</f>
        <v/>
      </c>
      <c r="AW110" s="19">
        <f>IF(AV110="Y",(AP110+AS110)*0.8,AP110)</f>
        <v/>
      </c>
      <c r="AX110" s="19">
        <f>IF(AV110="Y",(AP110+AS110)*0.2,AS110)</f>
        <v/>
      </c>
    </row>
    <row r="111">
      <c r="A111" s="18">
        <f>DATA!A111</f>
        <v/>
      </c>
      <c r="B111">
        <f>DATA!B111</f>
        <v/>
      </c>
      <c r="C111" s="19">
        <f>O110</f>
        <v/>
      </c>
      <c r="D111" s="19">
        <f>P110</f>
        <v/>
      </c>
      <c r="E111" s="19">
        <f>C111+D111</f>
        <v/>
      </c>
      <c r="F111" s="20">
        <f>DATA!C111</f>
        <v/>
      </c>
      <c r="G111" s="20">
        <f>DATA!F111</f>
        <v/>
      </c>
      <c r="H111" s="19">
        <f>C111*(1+F111)</f>
        <v/>
      </c>
      <c r="I111" s="19">
        <f>D111*(1+G111)</f>
        <v/>
      </c>
      <c r="J111" s="19">
        <f>IF(AND(CONFIG!$B$11="Annual",MONTH(A111)=7),(H111+I111)*CONFIG!$B$6/12,J110)</f>
        <v/>
      </c>
      <c r="K111" s="19">
        <f>MAX(0,I111-J111)</f>
        <v/>
      </c>
      <c r="L111">
        <f>IF(OR(MONTH(A111)=3,MONTH(A111)=6,MONTH(A111)=9,MONTH(A111)=12),"Y","N")</f>
        <v/>
      </c>
      <c r="M111" s="21">
        <f>IF((H111+K111)=0,0,K111/(H111+K111))</f>
        <v/>
      </c>
      <c r="N111">
        <f>IF(AND(L111="Y",OR(M111&lt;CONFIG!$B$8,M111&gt;CONFIG!$B$9)),"Y","N")</f>
        <v/>
      </c>
      <c r="O111" s="19">
        <f>IF(N111="Y",(H111+K111)*0.8,H111)</f>
        <v/>
      </c>
      <c r="P111" s="19">
        <f>IF(N111="Y",(H111+K111)*0.2,K111)</f>
        <v/>
      </c>
      <c r="R111" s="18">
        <f>DATA!A111</f>
        <v/>
      </c>
      <c r="S111">
        <f>DATA!B111</f>
        <v/>
      </c>
      <c r="T111" s="19">
        <f>AF110</f>
        <v/>
      </c>
      <c r="U111" s="19">
        <f>AG110</f>
        <v/>
      </c>
      <c r="V111" s="19">
        <f>T111+U111</f>
        <v/>
      </c>
      <c r="W111" s="20">
        <f>DATA!D111</f>
        <v/>
      </c>
      <c r="X111" s="20">
        <f>DATA!F111</f>
        <v/>
      </c>
      <c r="Y111" s="19">
        <f>T111*(1+W111)</f>
        <v/>
      </c>
      <c r="Z111" s="19">
        <f>U111*(1+X111)</f>
        <v/>
      </c>
      <c r="AA111" s="19">
        <f>IF(AND(CONFIG!$B$11="Annual",MONTH(R111)=7),(Y111+Z111)*CONFIG!$B$6/12,AA110)</f>
        <v/>
      </c>
      <c r="AB111" s="19">
        <f>MAX(0,Z111-AA111)</f>
        <v/>
      </c>
      <c r="AC111">
        <f>IF(OR(MONTH(R111)=3,MONTH(R111)=6,MONTH(R111)=9,MONTH(R111)=12),"Y","N")</f>
        <v/>
      </c>
      <c r="AD111" s="21">
        <f>IF((Y111+AB111)=0,0,AB111/(Y111+AB111))</f>
        <v/>
      </c>
      <c r="AE111">
        <f>IF(AND(AC111="Y",OR(AD111&lt;CONFIG!$B$8,AD111&gt;CONFIG!$B$9)),"Y","N")</f>
        <v/>
      </c>
      <c r="AF111" s="19">
        <f>IF(AE111="Y",(Y111+AB111)*0.8,Y111)</f>
        <v/>
      </c>
      <c r="AG111" s="19">
        <f>IF(AE111="Y",(Y111+AB111)*0.2,AB111)</f>
        <v/>
      </c>
      <c r="AI111" s="18">
        <f>DATA!A111</f>
        <v/>
      </c>
      <c r="AJ111">
        <f>DATA!B111</f>
        <v/>
      </c>
      <c r="AK111" s="19">
        <f>AW110</f>
        <v/>
      </c>
      <c r="AL111" s="19">
        <f>AX110</f>
        <v/>
      </c>
      <c r="AM111" s="19">
        <f>AK111+AL111</f>
        <v/>
      </c>
      <c r="AN111" s="20">
        <f>DATA!E111</f>
        <v/>
      </c>
      <c r="AO111" s="20">
        <f>DATA!F111</f>
        <v/>
      </c>
      <c r="AP111" s="19">
        <f>AK111*(1+AN111)</f>
        <v/>
      </c>
      <c r="AQ111" s="19">
        <f>AL111*(1+AO111)</f>
        <v/>
      </c>
      <c r="AR111" s="19">
        <f>IF(AND(CONFIG!$B$11="Annual",MONTH(AI111)=7),(AP111+AQ111)*CONFIG!$B$6/12,AR110)</f>
        <v/>
      </c>
      <c r="AS111" s="19">
        <f>MAX(0,AQ111-AR111)</f>
        <v/>
      </c>
      <c r="AT111">
        <f>IF(OR(MONTH(AI111)=3,MONTH(AI111)=6,MONTH(AI111)=9,MONTH(AI111)=12),"Y","N")</f>
        <v/>
      </c>
      <c r="AU111" s="21">
        <f>IF((AP111+AS111)=0,0,AS111/(AP111+AS111))</f>
        <v/>
      </c>
      <c r="AV111">
        <f>IF(AND(AT111="Y",OR(AU111&lt;CONFIG!$B$8,AU111&gt;CONFIG!$B$9)),"Y","N")</f>
        <v/>
      </c>
      <c r="AW111" s="19">
        <f>IF(AV111="Y",(AP111+AS111)*0.8,AP111)</f>
        <v/>
      </c>
      <c r="AX111" s="19">
        <f>IF(AV111="Y",(AP111+AS111)*0.2,AS111)</f>
        <v/>
      </c>
    </row>
    <row r="112">
      <c r="A112" s="18">
        <f>DATA!A112</f>
        <v/>
      </c>
      <c r="B112">
        <f>DATA!B112</f>
        <v/>
      </c>
      <c r="C112" s="19">
        <f>O111</f>
        <v/>
      </c>
      <c r="D112" s="19">
        <f>P111</f>
        <v/>
      </c>
      <c r="E112" s="19">
        <f>C112+D112</f>
        <v/>
      </c>
      <c r="F112" s="20">
        <f>DATA!C112</f>
        <v/>
      </c>
      <c r="G112" s="20">
        <f>DATA!F112</f>
        <v/>
      </c>
      <c r="H112" s="19">
        <f>C112*(1+F112)</f>
        <v/>
      </c>
      <c r="I112" s="19">
        <f>D112*(1+G112)</f>
        <v/>
      </c>
      <c r="J112" s="19">
        <f>IF(AND(CONFIG!$B$11="Annual",MONTH(A112)=7),(H112+I112)*CONFIG!$B$6/12,J111)</f>
        <v/>
      </c>
      <c r="K112" s="19">
        <f>MAX(0,I112-J112)</f>
        <v/>
      </c>
      <c r="L112">
        <f>IF(OR(MONTH(A112)=3,MONTH(A112)=6,MONTH(A112)=9,MONTH(A112)=12),"Y","N")</f>
        <v/>
      </c>
      <c r="M112" s="21">
        <f>IF((H112+K112)=0,0,K112/(H112+K112))</f>
        <v/>
      </c>
      <c r="N112">
        <f>IF(AND(L112="Y",OR(M112&lt;CONFIG!$B$8,M112&gt;CONFIG!$B$9)),"Y","N")</f>
        <v/>
      </c>
      <c r="O112" s="19">
        <f>IF(N112="Y",(H112+K112)*0.8,H112)</f>
        <v/>
      </c>
      <c r="P112" s="19">
        <f>IF(N112="Y",(H112+K112)*0.2,K112)</f>
        <v/>
      </c>
      <c r="R112" s="18">
        <f>DATA!A112</f>
        <v/>
      </c>
      <c r="S112">
        <f>DATA!B112</f>
        <v/>
      </c>
      <c r="T112" s="19">
        <f>AF111</f>
        <v/>
      </c>
      <c r="U112" s="19">
        <f>AG111</f>
        <v/>
      </c>
      <c r="V112" s="19">
        <f>T112+U112</f>
        <v/>
      </c>
      <c r="W112" s="20">
        <f>DATA!D112</f>
        <v/>
      </c>
      <c r="X112" s="20">
        <f>DATA!F112</f>
        <v/>
      </c>
      <c r="Y112" s="19">
        <f>T112*(1+W112)</f>
        <v/>
      </c>
      <c r="Z112" s="19">
        <f>U112*(1+X112)</f>
        <v/>
      </c>
      <c r="AA112" s="19">
        <f>IF(AND(CONFIG!$B$11="Annual",MONTH(R112)=7),(Y112+Z112)*CONFIG!$B$6/12,AA111)</f>
        <v/>
      </c>
      <c r="AB112" s="19">
        <f>MAX(0,Z112-AA112)</f>
        <v/>
      </c>
      <c r="AC112">
        <f>IF(OR(MONTH(R112)=3,MONTH(R112)=6,MONTH(R112)=9,MONTH(R112)=12),"Y","N")</f>
        <v/>
      </c>
      <c r="AD112" s="21">
        <f>IF((Y112+AB112)=0,0,AB112/(Y112+AB112))</f>
        <v/>
      </c>
      <c r="AE112">
        <f>IF(AND(AC112="Y",OR(AD112&lt;CONFIG!$B$8,AD112&gt;CONFIG!$B$9)),"Y","N")</f>
        <v/>
      </c>
      <c r="AF112" s="19">
        <f>IF(AE112="Y",(Y112+AB112)*0.8,Y112)</f>
        <v/>
      </c>
      <c r="AG112" s="19">
        <f>IF(AE112="Y",(Y112+AB112)*0.2,AB112)</f>
        <v/>
      </c>
      <c r="AI112" s="18">
        <f>DATA!A112</f>
        <v/>
      </c>
      <c r="AJ112">
        <f>DATA!B112</f>
        <v/>
      </c>
      <c r="AK112" s="19">
        <f>AW111</f>
        <v/>
      </c>
      <c r="AL112" s="19">
        <f>AX111</f>
        <v/>
      </c>
      <c r="AM112" s="19">
        <f>AK112+AL112</f>
        <v/>
      </c>
      <c r="AN112" s="20">
        <f>DATA!E112</f>
        <v/>
      </c>
      <c r="AO112" s="20">
        <f>DATA!F112</f>
        <v/>
      </c>
      <c r="AP112" s="19">
        <f>AK112*(1+AN112)</f>
        <v/>
      </c>
      <c r="AQ112" s="19">
        <f>AL112*(1+AO112)</f>
        <v/>
      </c>
      <c r="AR112" s="19">
        <f>IF(AND(CONFIG!$B$11="Annual",MONTH(AI112)=7),(AP112+AQ112)*CONFIG!$B$6/12,AR111)</f>
        <v/>
      </c>
      <c r="AS112" s="19">
        <f>MAX(0,AQ112-AR112)</f>
        <v/>
      </c>
      <c r="AT112">
        <f>IF(OR(MONTH(AI112)=3,MONTH(AI112)=6,MONTH(AI112)=9,MONTH(AI112)=12),"Y","N")</f>
        <v/>
      </c>
      <c r="AU112" s="21">
        <f>IF((AP112+AS112)=0,0,AS112/(AP112+AS112))</f>
        <v/>
      </c>
      <c r="AV112">
        <f>IF(AND(AT112="Y",OR(AU112&lt;CONFIG!$B$8,AU112&gt;CONFIG!$B$9)),"Y","N")</f>
        <v/>
      </c>
      <c r="AW112" s="19">
        <f>IF(AV112="Y",(AP112+AS112)*0.8,AP112)</f>
        <v/>
      </c>
      <c r="AX112" s="19">
        <f>IF(AV112="Y",(AP112+AS112)*0.2,AS112)</f>
        <v/>
      </c>
    </row>
    <row r="113">
      <c r="A113" s="18">
        <f>DATA!A113</f>
        <v/>
      </c>
      <c r="B113">
        <f>DATA!B113</f>
        <v/>
      </c>
      <c r="C113" s="19">
        <f>O112</f>
        <v/>
      </c>
      <c r="D113" s="19">
        <f>P112</f>
        <v/>
      </c>
      <c r="E113" s="19">
        <f>C113+D113</f>
        <v/>
      </c>
      <c r="F113" s="20">
        <f>DATA!C113</f>
        <v/>
      </c>
      <c r="G113" s="20">
        <f>DATA!F113</f>
        <v/>
      </c>
      <c r="H113" s="19">
        <f>C113*(1+F113)</f>
        <v/>
      </c>
      <c r="I113" s="19">
        <f>D113*(1+G113)</f>
        <v/>
      </c>
      <c r="J113" s="19">
        <f>IF(AND(CONFIG!$B$11="Annual",MONTH(A113)=7),(H113+I113)*CONFIG!$B$6/12,J112)</f>
        <v/>
      </c>
      <c r="K113" s="19">
        <f>MAX(0,I113-J113)</f>
        <v/>
      </c>
      <c r="L113">
        <f>IF(OR(MONTH(A113)=3,MONTH(A113)=6,MONTH(A113)=9,MONTH(A113)=12),"Y","N")</f>
        <v/>
      </c>
      <c r="M113" s="21">
        <f>IF((H113+K113)=0,0,K113/(H113+K113))</f>
        <v/>
      </c>
      <c r="N113">
        <f>IF(AND(L113="Y",OR(M113&lt;CONFIG!$B$8,M113&gt;CONFIG!$B$9)),"Y","N")</f>
        <v/>
      </c>
      <c r="O113" s="19">
        <f>IF(N113="Y",(H113+K113)*0.8,H113)</f>
        <v/>
      </c>
      <c r="P113" s="19">
        <f>IF(N113="Y",(H113+K113)*0.2,K113)</f>
        <v/>
      </c>
      <c r="R113" s="18">
        <f>DATA!A113</f>
        <v/>
      </c>
      <c r="S113">
        <f>DATA!B113</f>
        <v/>
      </c>
      <c r="T113" s="19">
        <f>AF112</f>
        <v/>
      </c>
      <c r="U113" s="19">
        <f>AG112</f>
        <v/>
      </c>
      <c r="V113" s="19">
        <f>T113+U113</f>
        <v/>
      </c>
      <c r="W113" s="20">
        <f>DATA!D113</f>
        <v/>
      </c>
      <c r="X113" s="20">
        <f>DATA!F113</f>
        <v/>
      </c>
      <c r="Y113" s="19">
        <f>T113*(1+W113)</f>
        <v/>
      </c>
      <c r="Z113" s="19">
        <f>U113*(1+X113)</f>
        <v/>
      </c>
      <c r="AA113" s="19">
        <f>IF(AND(CONFIG!$B$11="Annual",MONTH(R113)=7),(Y113+Z113)*CONFIG!$B$6/12,AA112)</f>
        <v/>
      </c>
      <c r="AB113" s="19">
        <f>MAX(0,Z113-AA113)</f>
        <v/>
      </c>
      <c r="AC113">
        <f>IF(OR(MONTH(R113)=3,MONTH(R113)=6,MONTH(R113)=9,MONTH(R113)=12),"Y","N")</f>
        <v/>
      </c>
      <c r="AD113" s="21">
        <f>IF((Y113+AB113)=0,0,AB113/(Y113+AB113))</f>
        <v/>
      </c>
      <c r="AE113">
        <f>IF(AND(AC113="Y",OR(AD113&lt;CONFIG!$B$8,AD113&gt;CONFIG!$B$9)),"Y","N")</f>
        <v/>
      </c>
      <c r="AF113" s="19">
        <f>IF(AE113="Y",(Y113+AB113)*0.8,Y113)</f>
        <v/>
      </c>
      <c r="AG113" s="19">
        <f>IF(AE113="Y",(Y113+AB113)*0.2,AB113)</f>
        <v/>
      </c>
      <c r="AI113" s="18">
        <f>DATA!A113</f>
        <v/>
      </c>
      <c r="AJ113">
        <f>DATA!B113</f>
        <v/>
      </c>
      <c r="AK113" s="19">
        <f>AW112</f>
        <v/>
      </c>
      <c r="AL113" s="19">
        <f>AX112</f>
        <v/>
      </c>
      <c r="AM113" s="19">
        <f>AK113+AL113</f>
        <v/>
      </c>
      <c r="AN113" s="20">
        <f>DATA!E113</f>
        <v/>
      </c>
      <c r="AO113" s="20">
        <f>DATA!F113</f>
        <v/>
      </c>
      <c r="AP113" s="19">
        <f>AK113*(1+AN113)</f>
        <v/>
      </c>
      <c r="AQ113" s="19">
        <f>AL113*(1+AO113)</f>
        <v/>
      </c>
      <c r="AR113" s="19">
        <f>IF(AND(CONFIG!$B$11="Annual",MONTH(AI113)=7),(AP113+AQ113)*CONFIG!$B$6/12,AR112)</f>
        <v/>
      </c>
      <c r="AS113" s="19">
        <f>MAX(0,AQ113-AR113)</f>
        <v/>
      </c>
      <c r="AT113">
        <f>IF(OR(MONTH(AI113)=3,MONTH(AI113)=6,MONTH(AI113)=9,MONTH(AI113)=12),"Y","N")</f>
        <v/>
      </c>
      <c r="AU113" s="21">
        <f>IF((AP113+AS113)=0,0,AS113/(AP113+AS113))</f>
        <v/>
      </c>
      <c r="AV113">
        <f>IF(AND(AT113="Y",OR(AU113&lt;CONFIG!$B$8,AU113&gt;CONFIG!$B$9)),"Y","N")</f>
        <v/>
      </c>
      <c r="AW113" s="19">
        <f>IF(AV113="Y",(AP113+AS113)*0.8,AP113)</f>
        <v/>
      </c>
      <c r="AX113" s="19">
        <f>IF(AV113="Y",(AP113+AS113)*0.2,AS113)</f>
        <v/>
      </c>
    </row>
    <row r="114">
      <c r="A114" s="18">
        <f>DATA!A114</f>
        <v/>
      </c>
      <c r="B114">
        <f>DATA!B114</f>
        <v/>
      </c>
      <c r="C114" s="19">
        <f>O113</f>
        <v/>
      </c>
      <c r="D114" s="19">
        <f>P113</f>
        <v/>
      </c>
      <c r="E114" s="19">
        <f>C114+D114</f>
        <v/>
      </c>
      <c r="F114" s="20">
        <f>DATA!C114</f>
        <v/>
      </c>
      <c r="G114" s="20">
        <f>DATA!F114</f>
        <v/>
      </c>
      <c r="H114" s="19">
        <f>C114*(1+F114)</f>
        <v/>
      </c>
      <c r="I114" s="19">
        <f>D114*(1+G114)</f>
        <v/>
      </c>
      <c r="J114" s="19">
        <f>IF(AND(CONFIG!$B$11="Annual",MONTH(A114)=7),(H114+I114)*CONFIG!$B$6/12,J113)</f>
        <v/>
      </c>
      <c r="K114" s="19">
        <f>MAX(0,I114-J114)</f>
        <v/>
      </c>
      <c r="L114">
        <f>IF(OR(MONTH(A114)=3,MONTH(A114)=6,MONTH(A114)=9,MONTH(A114)=12),"Y","N")</f>
        <v/>
      </c>
      <c r="M114" s="21">
        <f>IF((H114+K114)=0,0,K114/(H114+K114))</f>
        <v/>
      </c>
      <c r="N114">
        <f>IF(AND(L114="Y",OR(M114&lt;CONFIG!$B$8,M114&gt;CONFIG!$B$9)),"Y","N")</f>
        <v/>
      </c>
      <c r="O114" s="19">
        <f>IF(N114="Y",(H114+K114)*0.8,H114)</f>
        <v/>
      </c>
      <c r="P114" s="19">
        <f>IF(N114="Y",(H114+K114)*0.2,K114)</f>
        <v/>
      </c>
      <c r="R114" s="18">
        <f>DATA!A114</f>
        <v/>
      </c>
      <c r="S114">
        <f>DATA!B114</f>
        <v/>
      </c>
      <c r="T114" s="19">
        <f>AF113</f>
        <v/>
      </c>
      <c r="U114" s="19">
        <f>AG113</f>
        <v/>
      </c>
      <c r="V114" s="19">
        <f>T114+U114</f>
        <v/>
      </c>
      <c r="W114" s="20">
        <f>DATA!D114</f>
        <v/>
      </c>
      <c r="X114" s="20">
        <f>DATA!F114</f>
        <v/>
      </c>
      <c r="Y114" s="19">
        <f>T114*(1+W114)</f>
        <v/>
      </c>
      <c r="Z114" s="19">
        <f>U114*(1+X114)</f>
        <v/>
      </c>
      <c r="AA114" s="19">
        <f>IF(AND(CONFIG!$B$11="Annual",MONTH(R114)=7),(Y114+Z114)*CONFIG!$B$6/12,AA113)</f>
        <v/>
      </c>
      <c r="AB114" s="19">
        <f>MAX(0,Z114-AA114)</f>
        <v/>
      </c>
      <c r="AC114">
        <f>IF(OR(MONTH(R114)=3,MONTH(R114)=6,MONTH(R114)=9,MONTH(R114)=12),"Y","N")</f>
        <v/>
      </c>
      <c r="AD114" s="21">
        <f>IF((Y114+AB114)=0,0,AB114/(Y114+AB114))</f>
        <v/>
      </c>
      <c r="AE114">
        <f>IF(AND(AC114="Y",OR(AD114&lt;CONFIG!$B$8,AD114&gt;CONFIG!$B$9)),"Y","N")</f>
        <v/>
      </c>
      <c r="AF114" s="19">
        <f>IF(AE114="Y",(Y114+AB114)*0.8,Y114)</f>
        <v/>
      </c>
      <c r="AG114" s="19">
        <f>IF(AE114="Y",(Y114+AB114)*0.2,AB114)</f>
        <v/>
      </c>
      <c r="AI114" s="18">
        <f>DATA!A114</f>
        <v/>
      </c>
      <c r="AJ114">
        <f>DATA!B114</f>
        <v/>
      </c>
      <c r="AK114" s="19">
        <f>AW113</f>
        <v/>
      </c>
      <c r="AL114" s="19">
        <f>AX113</f>
        <v/>
      </c>
      <c r="AM114" s="19">
        <f>AK114+AL114</f>
        <v/>
      </c>
      <c r="AN114" s="20">
        <f>DATA!E114</f>
        <v/>
      </c>
      <c r="AO114" s="20">
        <f>DATA!F114</f>
        <v/>
      </c>
      <c r="AP114" s="19">
        <f>AK114*(1+AN114)</f>
        <v/>
      </c>
      <c r="AQ114" s="19">
        <f>AL114*(1+AO114)</f>
        <v/>
      </c>
      <c r="AR114" s="19">
        <f>IF(AND(CONFIG!$B$11="Annual",MONTH(AI114)=7),(AP114+AQ114)*CONFIG!$B$6/12,AR113)</f>
        <v/>
      </c>
      <c r="AS114" s="19">
        <f>MAX(0,AQ114-AR114)</f>
        <v/>
      </c>
      <c r="AT114">
        <f>IF(OR(MONTH(AI114)=3,MONTH(AI114)=6,MONTH(AI114)=9,MONTH(AI114)=12),"Y","N")</f>
        <v/>
      </c>
      <c r="AU114" s="21">
        <f>IF((AP114+AS114)=0,0,AS114/(AP114+AS114))</f>
        <v/>
      </c>
      <c r="AV114">
        <f>IF(AND(AT114="Y",OR(AU114&lt;CONFIG!$B$8,AU114&gt;CONFIG!$B$9)),"Y","N")</f>
        <v/>
      </c>
      <c r="AW114" s="19">
        <f>IF(AV114="Y",(AP114+AS114)*0.8,AP114)</f>
        <v/>
      </c>
      <c r="AX114" s="19">
        <f>IF(AV114="Y",(AP114+AS114)*0.2,AS114)</f>
        <v/>
      </c>
    </row>
    <row r="115">
      <c r="A115" s="18">
        <f>DATA!A115</f>
        <v/>
      </c>
      <c r="B115">
        <f>DATA!B115</f>
        <v/>
      </c>
      <c r="C115" s="19">
        <f>O114</f>
        <v/>
      </c>
      <c r="D115" s="19">
        <f>P114</f>
        <v/>
      </c>
      <c r="E115" s="19">
        <f>C115+D115</f>
        <v/>
      </c>
      <c r="F115" s="20">
        <f>DATA!C115</f>
        <v/>
      </c>
      <c r="G115" s="20">
        <f>DATA!F115</f>
        <v/>
      </c>
      <c r="H115" s="19">
        <f>C115*(1+F115)</f>
        <v/>
      </c>
      <c r="I115" s="19">
        <f>D115*(1+G115)</f>
        <v/>
      </c>
      <c r="J115" s="19">
        <f>IF(AND(CONFIG!$B$11="Annual",MONTH(A115)=7),(H115+I115)*CONFIG!$B$6/12,J114)</f>
        <v/>
      </c>
      <c r="K115" s="19">
        <f>MAX(0,I115-J115)</f>
        <v/>
      </c>
      <c r="L115">
        <f>IF(OR(MONTH(A115)=3,MONTH(A115)=6,MONTH(A115)=9,MONTH(A115)=12),"Y","N")</f>
        <v/>
      </c>
      <c r="M115" s="21">
        <f>IF((H115+K115)=0,0,K115/(H115+K115))</f>
        <v/>
      </c>
      <c r="N115">
        <f>IF(AND(L115="Y",OR(M115&lt;CONFIG!$B$8,M115&gt;CONFIG!$B$9)),"Y","N")</f>
        <v/>
      </c>
      <c r="O115" s="19">
        <f>IF(N115="Y",(H115+K115)*0.8,H115)</f>
        <v/>
      </c>
      <c r="P115" s="19">
        <f>IF(N115="Y",(H115+K115)*0.2,K115)</f>
        <v/>
      </c>
      <c r="R115" s="18">
        <f>DATA!A115</f>
        <v/>
      </c>
      <c r="S115">
        <f>DATA!B115</f>
        <v/>
      </c>
      <c r="T115" s="19">
        <f>AF114</f>
        <v/>
      </c>
      <c r="U115" s="19">
        <f>AG114</f>
        <v/>
      </c>
      <c r="V115" s="19">
        <f>T115+U115</f>
        <v/>
      </c>
      <c r="W115" s="20">
        <f>DATA!D115</f>
        <v/>
      </c>
      <c r="X115" s="20">
        <f>DATA!F115</f>
        <v/>
      </c>
      <c r="Y115" s="19">
        <f>T115*(1+W115)</f>
        <v/>
      </c>
      <c r="Z115" s="19">
        <f>U115*(1+X115)</f>
        <v/>
      </c>
      <c r="AA115" s="19">
        <f>IF(AND(CONFIG!$B$11="Annual",MONTH(R115)=7),(Y115+Z115)*CONFIG!$B$6/12,AA114)</f>
        <v/>
      </c>
      <c r="AB115" s="19">
        <f>MAX(0,Z115-AA115)</f>
        <v/>
      </c>
      <c r="AC115">
        <f>IF(OR(MONTH(R115)=3,MONTH(R115)=6,MONTH(R115)=9,MONTH(R115)=12),"Y","N")</f>
        <v/>
      </c>
      <c r="AD115" s="21">
        <f>IF((Y115+AB115)=0,0,AB115/(Y115+AB115))</f>
        <v/>
      </c>
      <c r="AE115">
        <f>IF(AND(AC115="Y",OR(AD115&lt;CONFIG!$B$8,AD115&gt;CONFIG!$B$9)),"Y","N")</f>
        <v/>
      </c>
      <c r="AF115" s="19">
        <f>IF(AE115="Y",(Y115+AB115)*0.8,Y115)</f>
        <v/>
      </c>
      <c r="AG115" s="19">
        <f>IF(AE115="Y",(Y115+AB115)*0.2,AB115)</f>
        <v/>
      </c>
      <c r="AI115" s="18">
        <f>DATA!A115</f>
        <v/>
      </c>
      <c r="AJ115">
        <f>DATA!B115</f>
        <v/>
      </c>
      <c r="AK115" s="19">
        <f>AW114</f>
        <v/>
      </c>
      <c r="AL115" s="19">
        <f>AX114</f>
        <v/>
      </c>
      <c r="AM115" s="19">
        <f>AK115+AL115</f>
        <v/>
      </c>
      <c r="AN115" s="20">
        <f>DATA!E115</f>
        <v/>
      </c>
      <c r="AO115" s="20">
        <f>DATA!F115</f>
        <v/>
      </c>
      <c r="AP115" s="19">
        <f>AK115*(1+AN115)</f>
        <v/>
      </c>
      <c r="AQ115" s="19">
        <f>AL115*(1+AO115)</f>
        <v/>
      </c>
      <c r="AR115" s="19">
        <f>IF(AND(CONFIG!$B$11="Annual",MONTH(AI115)=7),(AP115+AQ115)*CONFIG!$B$6/12,AR114)</f>
        <v/>
      </c>
      <c r="AS115" s="19">
        <f>MAX(0,AQ115-AR115)</f>
        <v/>
      </c>
      <c r="AT115">
        <f>IF(OR(MONTH(AI115)=3,MONTH(AI115)=6,MONTH(AI115)=9,MONTH(AI115)=12),"Y","N")</f>
        <v/>
      </c>
      <c r="AU115" s="21">
        <f>IF((AP115+AS115)=0,0,AS115/(AP115+AS115))</f>
        <v/>
      </c>
      <c r="AV115">
        <f>IF(AND(AT115="Y",OR(AU115&lt;CONFIG!$B$8,AU115&gt;CONFIG!$B$9)),"Y","N")</f>
        <v/>
      </c>
      <c r="AW115" s="19">
        <f>IF(AV115="Y",(AP115+AS115)*0.8,AP115)</f>
        <v/>
      </c>
      <c r="AX115" s="19">
        <f>IF(AV115="Y",(AP115+AS115)*0.2,AS115)</f>
        <v/>
      </c>
    </row>
    <row r="116">
      <c r="A116" s="18">
        <f>DATA!A116</f>
        <v/>
      </c>
      <c r="B116">
        <f>DATA!B116</f>
        <v/>
      </c>
      <c r="C116" s="19">
        <f>O115</f>
        <v/>
      </c>
      <c r="D116" s="19">
        <f>P115</f>
        <v/>
      </c>
      <c r="E116" s="19">
        <f>C116+D116</f>
        <v/>
      </c>
      <c r="F116" s="20">
        <f>DATA!C116</f>
        <v/>
      </c>
      <c r="G116" s="20">
        <f>DATA!F116</f>
        <v/>
      </c>
      <c r="H116" s="19">
        <f>C116*(1+F116)</f>
        <v/>
      </c>
      <c r="I116" s="19">
        <f>D116*(1+G116)</f>
        <v/>
      </c>
      <c r="J116" s="19">
        <f>IF(AND(CONFIG!$B$11="Annual",MONTH(A116)=7),(H116+I116)*CONFIG!$B$6/12,J115)</f>
        <v/>
      </c>
      <c r="K116" s="19">
        <f>MAX(0,I116-J116)</f>
        <v/>
      </c>
      <c r="L116">
        <f>IF(OR(MONTH(A116)=3,MONTH(A116)=6,MONTH(A116)=9,MONTH(A116)=12),"Y","N")</f>
        <v/>
      </c>
      <c r="M116" s="21">
        <f>IF((H116+K116)=0,0,K116/(H116+K116))</f>
        <v/>
      </c>
      <c r="N116">
        <f>IF(AND(L116="Y",OR(M116&lt;CONFIG!$B$8,M116&gt;CONFIG!$B$9)),"Y","N")</f>
        <v/>
      </c>
      <c r="O116" s="19">
        <f>IF(N116="Y",(H116+K116)*0.8,H116)</f>
        <v/>
      </c>
      <c r="P116" s="19">
        <f>IF(N116="Y",(H116+K116)*0.2,K116)</f>
        <v/>
      </c>
      <c r="R116" s="18">
        <f>DATA!A116</f>
        <v/>
      </c>
      <c r="S116">
        <f>DATA!B116</f>
        <v/>
      </c>
      <c r="T116" s="19">
        <f>AF115</f>
        <v/>
      </c>
      <c r="U116" s="19">
        <f>AG115</f>
        <v/>
      </c>
      <c r="V116" s="19">
        <f>T116+U116</f>
        <v/>
      </c>
      <c r="W116" s="20">
        <f>DATA!D116</f>
        <v/>
      </c>
      <c r="X116" s="20">
        <f>DATA!F116</f>
        <v/>
      </c>
      <c r="Y116" s="19">
        <f>T116*(1+W116)</f>
        <v/>
      </c>
      <c r="Z116" s="19">
        <f>U116*(1+X116)</f>
        <v/>
      </c>
      <c r="AA116" s="19">
        <f>IF(AND(CONFIG!$B$11="Annual",MONTH(R116)=7),(Y116+Z116)*CONFIG!$B$6/12,AA115)</f>
        <v/>
      </c>
      <c r="AB116" s="19">
        <f>MAX(0,Z116-AA116)</f>
        <v/>
      </c>
      <c r="AC116">
        <f>IF(OR(MONTH(R116)=3,MONTH(R116)=6,MONTH(R116)=9,MONTH(R116)=12),"Y","N")</f>
        <v/>
      </c>
      <c r="AD116" s="21">
        <f>IF((Y116+AB116)=0,0,AB116/(Y116+AB116))</f>
        <v/>
      </c>
      <c r="AE116">
        <f>IF(AND(AC116="Y",OR(AD116&lt;CONFIG!$B$8,AD116&gt;CONFIG!$B$9)),"Y","N")</f>
        <v/>
      </c>
      <c r="AF116" s="19">
        <f>IF(AE116="Y",(Y116+AB116)*0.8,Y116)</f>
        <v/>
      </c>
      <c r="AG116" s="19">
        <f>IF(AE116="Y",(Y116+AB116)*0.2,AB116)</f>
        <v/>
      </c>
      <c r="AI116" s="18">
        <f>DATA!A116</f>
        <v/>
      </c>
      <c r="AJ116">
        <f>DATA!B116</f>
        <v/>
      </c>
      <c r="AK116" s="19">
        <f>AW115</f>
        <v/>
      </c>
      <c r="AL116" s="19">
        <f>AX115</f>
        <v/>
      </c>
      <c r="AM116" s="19">
        <f>AK116+AL116</f>
        <v/>
      </c>
      <c r="AN116" s="20">
        <f>DATA!E116</f>
        <v/>
      </c>
      <c r="AO116" s="20">
        <f>DATA!F116</f>
        <v/>
      </c>
      <c r="AP116" s="19">
        <f>AK116*(1+AN116)</f>
        <v/>
      </c>
      <c r="AQ116" s="19">
        <f>AL116*(1+AO116)</f>
        <v/>
      </c>
      <c r="AR116" s="19">
        <f>IF(AND(CONFIG!$B$11="Annual",MONTH(AI116)=7),(AP116+AQ116)*CONFIG!$B$6/12,AR115)</f>
        <v/>
      </c>
      <c r="AS116" s="19">
        <f>MAX(0,AQ116-AR116)</f>
        <v/>
      </c>
      <c r="AT116">
        <f>IF(OR(MONTH(AI116)=3,MONTH(AI116)=6,MONTH(AI116)=9,MONTH(AI116)=12),"Y","N")</f>
        <v/>
      </c>
      <c r="AU116" s="21">
        <f>IF((AP116+AS116)=0,0,AS116/(AP116+AS116))</f>
        <v/>
      </c>
      <c r="AV116">
        <f>IF(AND(AT116="Y",OR(AU116&lt;CONFIG!$B$8,AU116&gt;CONFIG!$B$9)),"Y","N")</f>
        <v/>
      </c>
      <c r="AW116" s="19">
        <f>IF(AV116="Y",(AP116+AS116)*0.8,AP116)</f>
        <v/>
      </c>
      <c r="AX116" s="19">
        <f>IF(AV116="Y",(AP116+AS116)*0.2,AS116)</f>
        <v/>
      </c>
    </row>
    <row r="117">
      <c r="A117" s="18">
        <f>DATA!A117</f>
        <v/>
      </c>
      <c r="B117">
        <f>DATA!B117</f>
        <v/>
      </c>
      <c r="C117" s="19">
        <f>O116</f>
        <v/>
      </c>
      <c r="D117" s="19">
        <f>P116</f>
        <v/>
      </c>
      <c r="E117" s="19">
        <f>C117+D117</f>
        <v/>
      </c>
      <c r="F117" s="20">
        <f>DATA!C117</f>
        <v/>
      </c>
      <c r="G117" s="20">
        <f>DATA!F117</f>
        <v/>
      </c>
      <c r="H117" s="19">
        <f>C117*(1+F117)</f>
        <v/>
      </c>
      <c r="I117" s="19">
        <f>D117*(1+G117)</f>
        <v/>
      </c>
      <c r="J117" s="19">
        <f>IF(AND(CONFIG!$B$11="Annual",MONTH(A117)=7),(H117+I117)*CONFIG!$B$6/12,J116)</f>
        <v/>
      </c>
      <c r="K117" s="19">
        <f>MAX(0,I117-J117)</f>
        <v/>
      </c>
      <c r="L117">
        <f>IF(OR(MONTH(A117)=3,MONTH(A117)=6,MONTH(A117)=9,MONTH(A117)=12),"Y","N")</f>
        <v/>
      </c>
      <c r="M117" s="21">
        <f>IF((H117+K117)=0,0,K117/(H117+K117))</f>
        <v/>
      </c>
      <c r="N117">
        <f>IF(AND(L117="Y",OR(M117&lt;CONFIG!$B$8,M117&gt;CONFIG!$B$9)),"Y","N")</f>
        <v/>
      </c>
      <c r="O117" s="19">
        <f>IF(N117="Y",(H117+K117)*0.8,H117)</f>
        <v/>
      </c>
      <c r="P117" s="19">
        <f>IF(N117="Y",(H117+K117)*0.2,K117)</f>
        <v/>
      </c>
      <c r="R117" s="18">
        <f>DATA!A117</f>
        <v/>
      </c>
      <c r="S117">
        <f>DATA!B117</f>
        <v/>
      </c>
      <c r="T117" s="19">
        <f>AF116</f>
        <v/>
      </c>
      <c r="U117" s="19">
        <f>AG116</f>
        <v/>
      </c>
      <c r="V117" s="19">
        <f>T117+U117</f>
        <v/>
      </c>
      <c r="W117" s="20">
        <f>DATA!D117</f>
        <v/>
      </c>
      <c r="X117" s="20">
        <f>DATA!F117</f>
        <v/>
      </c>
      <c r="Y117" s="19">
        <f>T117*(1+W117)</f>
        <v/>
      </c>
      <c r="Z117" s="19">
        <f>U117*(1+X117)</f>
        <v/>
      </c>
      <c r="AA117" s="19">
        <f>IF(AND(CONFIG!$B$11="Annual",MONTH(R117)=7),(Y117+Z117)*CONFIG!$B$6/12,AA116)</f>
        <v/>
      </c>
      <c r="AB117" s="19">
        <f>MAX(0,Z117-AA117)</f>
        <v/>
      </c>
      <c r="AC117">
        <f>IF(OR(MONTH(R117)=3,MONTH(R117)=6,MONTH(R117)=9,MONTH(R117)=12),"Y","N")</f>
        <v/>
      </c>
      <c r="AD117" s="21">
        <f>IF((Y117+AB117)=0,0,AB117/(Y117+AB117))</f>
        <v/>
      </c>
      <c r="AE117">
        <f>IF(AND(AC117="Y",OR(AD117&lt;CONFIG!$B$8,AD117&gt;CONFIG!$B$9)),"Y","N")</f>
        <v/>
      </c>
      <c r="AF117" s="19">
        <f>IF(AE117="Y",(Y117+AB117)*0.8,Y117)</f>
        <v/>
      </c>
      <c r="AG117" s="19">
        <f>IF(AE117="Y",(Y117+AB117)*0.2,AB117)</f>
        <v/>
      </c>
      <c r="AI117" s="18">
        <f>DATA!A117</f>
        <v/>
      </c>
      <c r="AJ117">
        <f>DATA!B117</f>
        <v/>
      </c>
      <c r="AK117" s="19">
        <f>AW116</f>
        <v/>
      </c>
      <c r="AL117" s="19">
        <f>AX116</f>
        <v/>
      </c>
      <c r="AM117" s="19">
        <f>AK117+AL117</f>
        <v/>
      </c>
      <c r="AN117" s="20">
        <f>DATA!E117</f>
        <v/>
      </c>
      <c r="AO117" s="20">
        <f>DATA!F117</f>
        <v/>
      </c>
      <c r="AP117" s="19">
        <f>AK117*(1+AN117)</f>
        <v/>
      </c>
      <c r="AQ117" s="19">
        <f>AL117*(1+AO117)</f>
        <v/>
      </c>
      <c r="AR117" s="19">
        <f>IF(AND(CONFIG!$B$11="Annual",MONTH(AI117)=7),(AP117+AQ117)*CONFIG!$B$6/12,AR116)</f>
        <v/>
      </c>
      <c r="AS117" s="19">
        <f>MAX(0,AQ117-AR117)</f>
        <v/>
      </c>
      <c r="AT117">
        <f>IF(OR(MONTH(AI117)=3,MONTH(AI117)=6,MONTH(AI117)=9,MONTH(AI117)=12),"Y","N")</f>
        <v/>
      </c>
      <c r="AU117" s="21">
        <f>IF((AP117+AS117)=0,0,AS117/(AP117+AS117))</f>
        <v/>
      </c>
      <c r="AV117">
        <f>IF(AND(AT117="Y",OR(AU117&lt;CONFIG!$B$8,AU117&gt;CONFIG!$B$9)),"Y","N")</f>
        <v/>
      </c>
      <c r="AW117" s="19">
        <f>IF(AV117="Y",(AP117+AS117)*0.8,AP117)</f>
        <v/>
      </c>
      <c r="AX117" s="19">
        <f>IF(AV117="Y",(AP117+AS117)*0.2,AS117)</f>
        <v/>
      </c>
    </row>
    <row r="118">
      <c r="A118" s="18">
        <f>DATA!A118</f>
        <v/>
      </c>
      <c r="B118">
        <f>DATA!B118</f>
        <v/>
      </c>
      <c r="C118" s="19">
        <f>O117</f>
        <v/>
      </c>
      <c r="D118" s="19">
        <f>P117</f>
        <v/>
      </c>
      <c r="E118" s="19">
        <f>C118+D118</f>
        <v/>
      </c>
      <c r="F118" s="20">
        <f>DATA!C118</f>
        <v/>
      </c>
      <c r="G118" s="20">
        <f>DATA!F118</f>
        <v/>
      </c>
      <c r="H118" s="19">
        <f>C118*(1+F118)</f>
        <v/>
      </c>
      <c r="I118" s="19">
        <f>D118*(1+G118)</f>
        <v/>
      </c>
      <c r="J118" s="19">
        <f>IF(AND(CONFIG!$B$11="Annual",MONTH(A118)=7),(H118+I118)*CONFIG!$B$6/12,J117)</f>
        <v/>
      </c>
      <c r="K118" s="19">
        <f>MAX(0,I118-J118)</f>
        <v/>
      </c>
      <c r="L118">
        <f>IF(OR(MONTH(A118)=3,MONTH(A118)=6,MONTH(A118)=9,MONTH(A118)=12),"Y","N")</f>
        <v/>
      </c>
      <c r="M118" s="21">
        <f>IF((H118+K118)=0,0,K118/(H118+K118))</f>
        <v/>
      </c>
      <c r="N118">
        <f>IF(AND(L118="Y",OR(M118&lt;CONFIG!$B$8,M118&gt;CONFIG!$B$9)),"Y","N")</f>
        <v/>
      </c>
      <c r="O118" s="19">
        <f>IF(N118="Y",(H118+K118)*0.8,H118)</f>
        <v/>
      </c>
      <c r="P118" s="19">
        <f>IF(N118="Y",(H118+K118)*0.2,K118)</f>
        <v/>
      </c>
      <c r="R118" s="18">
        <f>DATA!A118</f>
        <v/>
      </c>
      <c r="S118">
        <f>DATA!B118</f>
        <v/>
      </c>
      <c r="T118" s="19">
        <f>AF117</f>
        <v/>
      </c>
      <c r="U118" s="19">
        <f>AG117</f>
        <v/>
      </c>
      <c r="V118" s="19">
        <f>T118+U118</f>
        <v/>
      </c>
      <c r="W118" s="20">
        <f>DATA!D118</f>
        <v/>
      </c>
      <c r="X118" s="20">
        <f>DATA!F118</f>
        <v/>
      </c>
      <c r="Y118" s="19">
        <f>T118*(1+W118)</f>
        <v/>
      </c>
      <c r="Z118" s="19">
        <f>U118*(1+X118)</f>
        <v/>
      </c>
      <c r="AA118" s="19">
        <f>IF(AND(CONFIG!$B$11="Annual",MONTH(R118)=7),(Y118+Z118)*CONFIG!$B$6/12,AA117)</f>
        <v/>
      </c>
      <c r="AB118" s="19">
        <f>MAX(0,Z118-AA118)</f>
        <v/>
      </c>
      <c r="AC118">
        <f>IF(OR(MONTH(R118)=3,MONTH(R118)=6,MONTH(R118)=9,MONTH(R118)=12),"Y","N")</f>
        <v/>
      </c>
      <c r="AD118" s="21">
        <f>IF((Y118+AB118)=0,0,AB118/(Y118+AB118))</f>
        <v/>
      </c>
      <c r="AE118">
        <f>IF(AND(AC118="Y",OR(AD118&lt;CONFIG!$B$8,AD118&gt;CONFIG!$B$9)),"Y","N")</f>
        <v/>
      </c>
      <c r="AF118" s="19">
        <f>IF(AE118="Y",(Y118+AB118)*0.8,Y118)</f>
        <v/>
      </c>
      <c r="AG118" s="19">
        <f>IF(AE118="Y",(Y118+AB118)*0.2,AB118)</f>
        <v/>
      </c>
      <c r="AI118" s="18">
        <f>DATA!A118</f>
        <v/>
      </c>
      <c r="AJ118">
        <f>DATA!B118</f>
        <v/>
      </c>
      <c r="AK118" s="19">
        <f>AW117</f>
        <v/>
      </c>
      <c r="AL118" s="19">
        <f>AX117</f>
        <v/>
      </c>
      <c r="AM118" s="19">
        <f>AK118+AL118</f>
        <v/>
      </c>
      <c r="AN118" s="20">
        <f>DATA!E118</f>
        <v/>
      </c>
      <c r="AO118" s="20">
        <f>DATA!F118</f>
        <v/>
      </c>
      <c r="AP118" s="19">
        <f>AK118*(1+AN118)</f>
        <v/>
      </c>
      <c r="AQ118" s="19">
        <f>AL118*(1+AO118)</f>
        <v/>
      </c>
      <c r="AR118" s="19">
        <f>IF(AND(CONFIG!$B$11="Annual",MONTH(AI118)=7),(AP118+AQ118)*CONFIG!$B$6/12,AR117)</f>
        <v/>
      </c>
      <c r="AS118" s="19">
        <f>MAX(0,AQ118-AR118)</f>
        <v/>
      </c>
      <c r="AT118">
        <f>IF(OR(MONTH(AI118)=3,MONTH(AI118)=6,MONTH(AI118)=9,MONTH(AI118)=12),"Y","N")</f>
        <v/>
      </c>
      <c r="AU118" s="21">
        <f>IF((AP118+AS118)=0,0,AS118/(AP118+AS118))</f>
        <v/>
      </c>
      <c r="AV118">
        <f>IF(AND(AT118="Y",OR(AU118&lt;CONFIG!$B$8,AU118&gt;CONFIG!$B$9)),"Y","N")</f>
        <v/>
      </c>
      <c r="AW118" s="19">
        <f>IF(AV118="Y",(AP118+AS118)*0.8,AP118)</f>
        <v/>
      </c>
      <c r="AX118" s="19">
        <f>IF(AV118="Y",(AP118+AS118)*0.2,AS118)</f>
        <v/>
      </c>
    </row>
    <row r="119">
      <c r="A119" s="18">
        <f>DATA!A119</f>
        <v/>
      </c>
      <c r="B119">
        <f>DATA!B119</f>
        <v/>
      </c>
      <c r="C119" s="19">
        <f>O118</f>
        <v/>
      </c>
      <c r="D119" s="19">
        <f>P118</f>
        <v/>
      </c>
      <c r="E119" s="19">
        <f>C119+D119</f>
        <v/>
      </c>
      <c r="F119" s="20">
        <f>DATA!C119</f>
        <v/>
      </c>
      <c r="G119" s="20">
        <f>DATA!F119</f>
        <v/>
      </c>
      <c r="H119" s="19">
        <f>C119*(1+F119)</f>
        <v/>
      </c>
      <c r="I119" s="19">
        <f>D119*(1+G119)</f>
        <v/>
      </c>
      <c r="J119" s="19">
        <f>IF(AND(CONFIG!$B$11="Annual",MONTH(A119)=7),(H119+I119)*CONFIG!$B$6/12,J118)</f>
        <v/>
      </c>
      <c r="K119" s="19">
        <f>MAX(0,I119-J119)</f>
        <v/>
      </c>
      <c r="L119">
        <f>IF(OR(MONTH(A119)=3,MONTH(A119)=6,MONTH(A119)=9,MONTH(A119)=12),"Y","N")</f>
        <v/>
      </c>
      <c r="M119" s="21">
        <f>IF((H119+K119)=0,0,K119/(H119+K119))</f>
        <v/>
      </c>
      <c r="N119">
        <f>IF(AND(L119="Y",OR(M119&lt;CONFIG!$B$8,M119&gt;CONFIG!$B$9)),"Y","N")</f>
        <v/>
      </c>
      <c r="O119" s="19">
        <f>IF(N119="Y",(H119+K119)*0.8,H119)</f>
        <v/>
      </c>
      <c r="P119" s="19">
        <f>IF(N119="Y",(H119+K119)*0.2,K119)</f>
        <v/>
      </c>
      <c r="R119" s="18">
        <f>DATA!A119</f>
        <v/>
      </c>
      <c r="S119">
        <f>DATA!B119</f>
        <v/>
      </c>
      <c r="T119" s="19">
        <f>AF118</f>
        <v/>
      </c>
      <c r="U119" s="19">
        <f>AG118</f>
        <v/>
      </c>
      <c r="V119" s="19">
        <f>T119+U119</f>
        <v/>
      </c>
      <c r="W119" s="20">
        <f>DATA!D119</f>
        <v/>
      </c>
      <c r="X119" s="20">
        <f>DATA!F119</f>
        <v/>
      </c>
      <c r="Y119" s="19">
        <f>T119*(1+W119)</f>
        <v/>
      </c>
      <c r="Z119" s="19">
        <f>U119*(1+X119)</f>
        <v/>
      </c>
      <c r="AA119" s="19">
        <f>IF(AND(CONFIG!$B$11="Annual",MONTH(R119)=7),(Y119+Z119)*CONFIG!$B$6/12,AA118)</f>
        <v/>
      </c>
      <c r="AB119" s="19">
        <f>MAX(0,Z119-AA119)</f>
        <v/>
      </c>
      <c r="AC119">
        <f>IF(OR(MONTH(R119)=3,MONTH(R119)=6,MONTH(R119)=9,MONTH(R119)=12),"Y","N")</f>
        <v/>
      </c>
      <c r="AD119" s="21">
        <f>IF((Y119+AB119)=0,0,AB119/(Y119+AB119))</f>
        <v/>
      </c>
      <c r="AE119">
        <f>IF(AND(AC119="Y",OR(AD119&lt;CONFIG!$B$8,AD119&gt;CONFIG!$B$9)),"Y","N")</f>
        <v/>
      </c>
      <c r="AF119" s="19">
        <f>IF(AE119="Y",(Y119+AB119)*0.8,Y119)</f>
        <v/>
      </c>
      <c r="AG119" s="19">
        <f>IF(AE119="Y",(Y119+AB119)*0.2,AB119)</f>
        <v/>
      </c>
      <c r="AI119" s="18">
        <f>DATA!A119</f>
        <v/>
      </c>
      <c r="AJ119">
        <f>DATA!B119</f>
        <v/>
      </c>
      <c r="AK119" s="19">
        <f>AW118</f>
        <v/>
      </c>
      <c r="AL119" s="19">
        <f>AX118</f>
        <v/>
      </c>
      <c r="AM119" s="19">
        <f>AK119+AL119</f>
        <v/>
      </c>
      <c r="AN119" s="20">
        <f>DATA!E119</f>
        <v/>
      </c>
      <c r="AO119" s="20">
        <f>DATA!F119</f>
        <v/>
      </c>
      <c r="AP119" s="19">
        <f>AK119*(1+AN119)</f>
        <v/>
      </c>
      <c r="AQ119" s="19">
        <f>AL119*(1+AO119)</f>
        <v/>
      </c>
      <c r="AR119" s="19">
        <f>IF(AND(CONFIG!$B$11="Annual",MONTH(AI119)=7),(AP119+AQ119)*CONFIG!$B$6/12,AR118)</f>
        <v/>
      </c>
      <c r="AS119" s="19">
        <f>MAX(0,AQ119-AR119)</f>
        <v/>
      </c>
      <c r="AT119">
        <f>IF(OR(MONTH(AI119)=3,MONTH(AI119)=6,MONTH(AI119)=9,MONTH(AI119)=12),"Y","N")</f>
        <v/>
      </c>
      <c r="AU119" s="21">
        <f>IF((AP119+AS119)=0,0,AS119/(AP119+AS119))</f>
        <v/>
      </c>
      <c r="AV119">
        <f>IF(AND(AT119="Y",OR(AU119&lt;CONFIG!$B$8,AU119&gt;CONFIG!$B$9)),"Y","N")</f>
        <v/>
      </c>
      <c r="AW119" s="19">
        <f>IF(AV119="Y",(AP119+AS119)*0.8,AP119)</f>
        <v/>
      </c>
      <c r="AX119" s="19">
        <f>IF(AV119="Y",(AP119+AS119)*0.2,AS119)</f>
        <v/>
      </c>
    </row>
    <row r="120">
      <c r="A120" s="18">
        <f>DATA!A120</f>
        <v/>
      </c>
      <c r="B120">
        <f>DATA!B120</f>
        <v/>
      </c>
      <c r="C120" s="19">
        <f>O119</f>
        <v/>
      </c>
      <c r="D120" s="19">
        <f>P119</f>
        <v/>
      </c>
      <c r="E120" s="19">
        <f>C120+D120</f>
        <v/>
      </c>
      <c r="F120" s="20">
        <f>DATA!C120</f>
        <v/>
      </c>
      <c r="G120" s="20">
        <f>DATA!F120</f>
        <v/>
      </c>
      <c r="H120" s="19">
        <f>C120*(1+F120)</f>
        <v/>
      </c>
      <c r="I120" s="19">
        <f>D120*(1+G120)</f>
        <v/>
      </c>
      <c r="J120" s="19">
        <f>IF(AND(CONFIG!$B$11="Annual",MONTH(A120)=7),(H120+I120)*CONFIG!$B$6/12,J119)</f>
        <v/>
      </c>
      <c r="K120" s="19">
        <f>MAX(0,I120-J120)</f>
        <v/>
      </c>
      <c r="L120">
        <f>IF(OR(MONTH(A120)=3,MONTH(A120)=6,MONTH(A120)=9,MONTH(A120)=12),"Y","N")</f>
        <v/>
      </c>
      <c r="M120" s="21">
        <f>IF((H120+K120)=0,0,K120/(H120+K120))</f>
        <v/>
      </c>
      <c r="N120">
        <f>IF(AND(L120="Y",OR(M120&lt;CONFIG!$B$8,M120&gt;CONFIG!$B$9)),"Y","N")</f>
        <v/>
      </c>
      <c r="O120" s="19">
        <f>IF(N120="Y",(H120+K120)*0.8,H120)</f>
        <v/>
      </c>
      <c r="P120" s="19">
        <f>IF(N120="Y",(H120+K120)*0.2,K120)</f>
        <v/>
      </c>
      <c r="R120" s="18">
        <f>DATA!A120</f>
        <v/>
      </c>
      <c r="S120">
        <f>DATA!B120</f>
        <v/>
      </c>
      <c r="T120" s="19">
        <f>AF119</f>
        <v/>
      </c>
      <c r="U120" s="19">
        <f>AG119</f>
        <v/>
      </c>
      <c r="V120" s="19">
        <f>T120+U120</f>
        <v/>
      </c>
      <c r="W120" s="20">
        <f>DATA!D120</f>
        <v/>
      </c>
      <c r="X120" s="20">
        <f>DATA!F120</f>
        <v/>
      </c>
      <c r="Y120" s="19">
        <f>T120*(1+W120)</f>
        <v/>
      </c>
      <c r="Z120" s="19">
        <f>U120*(1+X120)</f>
        <v/>
      </c>
      <c r="AA120" s="19">
        <f>IF(AND(CONFIG!$B$11="Annual",MONTH(R120)=7),(Y120+Z120)*CONFIG!$B$6/12,AA119)</f>
        <v/>
      </c>
      <c r="AB120" s="19">
        <f>MAX(0,Z120-AA120)</f>
        <v/>
      </c>
      <c r="AC120">
        <f>IF(OR(MONTH(R120)=3,MONTH(R120)=6,MONTH(R120)=9,MONTH(R120)=12),"Y","N")</f>
        <v/>
      </c>
      <c r="AD120" s="21">
        <f>IF((Y120+AB120)=0,0,AB120/(Y120+AB120))</f>
        <v/>
      </c>
      <c r="AE120">
        <f>IF(AND(AC120="Y",OR(AD120&lt;CONFIG!$B$8,AD120&gt;CONFIG!$B$9)),"Y","N")</f>
        <v/>
      </c>
      <c r="AF120" s="19">
        <f>IF(AE120="Y",(Y120+AB120)*0.8,Y120)</f>
        <v/>
      </c>
      <c r="AG120" s="19">
        <f>IF(AE120="Y",(Y120+AB120)*0.2,AB120)</f>
        <v/>
      </c>
      <c r="AI120" s="18">
        <f>DATA!A120</f>
        <v/>
      </c>
      <c r="AJ120">
        <f>DATA!B120</f>
        <v/>
      </c>
      <c r="AK120" s="19">
        <f>AW119</f>
        <v/>
      </c>
      <c r="AL120" s="19">
        <f>AX119</f>
        <v/>
      </c>
      <c r="AM120" s="19">
        <f>AK120+AL120</f>
        <v/>
      </c>
      <c r="AN120" s="20">
        <f>DATA!E120</f>
        <v/>
      </c>
      <c r="AO120" s="20">
        <f>DATA!F120</f>
        <v/>
      </c>
      <c r="AP120" s="19">
        <f>AK120*(1+AN120)</f>
        <v/>
      </c>
      <c r="AQ120" s="19">
        <f>AL120*(1+AO120)</f>
        <v/>
      </c>
      <c r="AR120" s="19">
        <f>IF(AND(CONFIG!$B$11="Annual",MONTH(AI120)=7),(AP120+AQ120)*CONFIG!$B$6/12,AR119)</f>
        <v/>
      </c>
      <c r="AS120" s="19">
        <f>MAX(0,AQ120-AR120)</f>
        <v/>
      </c>
      <c r="AT120">
        <f>IF(OR(MONTH(AI120)=3,MONTH(AI120)=6,MONTH(AI120)=9,MONTH(AI120)=12),"Y","N")</f>
        <v/>
      </c>
      <c r="AU120" s="21">
        <f>IF((AP120+AS120)=0,0,AS120/(AP120+AS120))</f>
        <v/>
      </c>
      <c r="AV120">
        <f>IF(AND(AT120="Y",OR(AU120&lt;CONFIG!$B$8,AU120&gt;CONFIG!$B$9)),"Y","N")</f>
        <v/>
      </c>
      <c r="AW120" s="19">
        <f>IF(AV120="Y",(AP120+AS120)*0.8,AP120)</f>
        <v/>
      </c>
      <c r="AX120" s="19">
        <f>IF(AV120="Y",(AP120+AS120)*0.2,AS120)</f>
        <v/>
      </c>
    </row>
    <row r="121">
      <c r="A121" s="18">
        <f>DATA!A121</f>
        <v/>
      </c>
      <c r="B121">
        <f>DATA!B121</f>
        <v/>
      </c>
      <c r="C121" s="19">
        <f>O120</f>
        <v/>
      </c>
      <c r="D121" s="19">
        <f>P120</f>
        <v/>
      </c>
      <c r="E121" s="19">
        <f>C121+D121</f>
        <v/>
      </c>
      <c r="F121" s="20">
        <f>DATA!C121</f>
        <v/>
      </c>
      <c r="G121" s="20">
        <f>DATA!F121</f>
        <v/>
      </c>
      <c r="H121" s="19">
        <f>C121*(1+F121)</f>
        <v/>
      </c>
      <c r="I121" s="19">
        <f>D121*(1+G121)</f>
        <v/>
      </c>
      <c r="J121" s="19">
        <f>IF(AND(CONFIG!$B$11="Annual",MONTH(A121)=7),(H121+I121)*CONFIG!$B$6/12,J120)</f>
        <v/>
      </c>
      <c r="K121" s="19">
        <f>MAX(0,I121-J121)</f>
        <v/>
      </c>
      <c r="L121">
        <f>IF(OR(MONTH(A121)=3,MONTH(A121)=6,MONTH(A121)=9,MONTH(A121)=12),"Y","N")</f>
        <v/>
      </c>
      <c r="M121" s="21">
        <f>IF((H121+K121)=0,0,K121/(H121+K121))</f>
        <v/>
      </c>
      <c r="N121">
        <f>IF(AND(L121="Y",OR(M121&lt;CONFIG!$B$8,M121&gt;CONFIG!$B$9)),"Y","N")</f>
        <v/>
      </c>
      <c r="O121" s="19">
        <f>IF(N121="Y",(H121+K121)*0.8,H121)</f>
        <v/>
      </c>
      <c r="P121" s="19">
        <f>IF(N121="Y",(H121+K121)*0.2,K121)</f>
        <v/>
      </c>
      <c r="R121" s="18">
        <f>DATA!A121</f>
        <v/>
      </c>
      <c r="S121">
        <f>DATA!B121</f>
        <v/>
      </c>
      <c r="T121" s="19">
        <f>AF120</f>
        <v/>
      </c>
      <c r="U121" s="19">
        <f>AG120</f>
        <v/>
      </c>
      <c r="V121" s="19">
        <f>T121+U121</f>
        <v/>
      </c>
      <c r="W121" s="20">
        <f>DATA!D121</f>
        <v/>
      </c>
      <c r="X121" s="20">
        <f>DATA!F121</f>
        <v/>
      </c>
      <c r="Y121" s="19">
        <f>T121*(1+W121)</f>
        <v/>
      </c>
      <c r="Z121" s="19">
        <f>U121*(1+X121)</f>
        <v/>
      </c>
      <c r="AA121" s="19">
        <f>IF(AND(CONFIG!$B$11="Annual",MONTH(R121)=7),(Y121+Z121)*CONFIG!$B$6/12,AA120)</f>
        <v/>
      </c>
      <c r="AB121" s="19">
        <f>MAX(0,Z121-AA121)</f>
        <v/>
      </c>
      <c r="AC121">
        <f>IF(OR(MONTH(R121)=3,MONTH(R121)=6,MONTH(R121)=9,MONTH(R121)=12),"Y","N")</f>
        <v/>
      </c>
      <c r="AD121" s="21">
        <f>IF((Y121+AB121)=0,0,AB121/(Y121+AB121))</f>
        <v/>
      </c>
      <c r="AE121">
        <f>IF(AND(AC121="Y",OR(AD121&lt;CONFIG!$B$8,AD121&gt;CONFIG!$B$9)),"Y","N")</f>
        <v/>
      </c>
      <c r="AF121" s="19">
        <f>IF(AE121="Y",(Y121+AB121)*0.8,Y121)</f>
        <v/>
      </c>
      <c r="AG121" s="19">
        <f>IF(AE121="Y",(Y121+AB121)*0.2,AB121)</f>
        <v/>
      </c>
      <c r="AI121" s="18">
        <f>DATA!A121</f>
        <v/>
      </c>
      <c r="AJ121">
        <f>DATA!B121</f>
        <v/>
      </c>
      <c r="AK121" s="19">
        <f>AW120</f>
        <v/>
      </c>
      <c r="AL121" s="19">
        <f>AX120</f>
        <v/>
      </c>
      <c r="AM121" s="19">
        <f>AK121+AL121</f>
        <v/>
      </c>
      <c r="AN121" s="20">
        <f>DATA!E121</f>
        <v/>
      </c>
      <c r="AO121" s="20">
        <f>DATA!F121</f>
        <v/>
      </c>
      <c r="AP121" s="19">
        <f>AK121*(1+AN121)</f>
        <v/>
      </c>
      <c r="AQ121" s="19">
        <f>AL121*(1+AO121)</f>
        <v/>
      </c>
      <c r="AR121" s="19">
        <f>IF(AND(CONFIG!$B$11="Annual",MONTH(AI121)=7),(AP121+AQ121)*CONFIG!$B$6/12,AR120)</f>
        <v/>
      </c>
      <c r="AS121" s="19">
        <f>MAX(0,AQ121-AR121)</f>
        <v/>
      </c>
      <c r="AT121">
        <f>IF(OR(MONTH(AI121)=3,MONTH(AI121)=6,MONTH(AI121)=9,MONTH(AI121)=12),"Y","N")</f>
        <v/>
      </c>
      <c r="AU121" s="21">
        <f>IF((AP121+AS121)=0,0,AS121/(AP121+AS121))</f>
        <v/>
      </c>
      <c r="AV121">
        <f>IF(AND(AT121="Y",OR(AU121&lt;CONFIG!$B$8,AU121&gt;CONFIG!$B$9)),"Y","N")</f>
        <v/>
      </c>
      <c r="AW121" s="19">
        <f>IF(AV121="Y",(AP121+AS121)*0.8,AP121)</f>
        <v/>
      </c>
      <c r="AX121" s="19">
        <f>IF(AV121="Y",(AP121+AS121)*0.2,AS121)</f>
        <v/>
      </c>
    </row>
    <row r="122">
      <c r="A122" s="18">
        <f>DATA!A122</f>
        <v/>
      </c>
      <c r="B122">
        <f>DATA!B122</f>
        <v/>
      </c>
      <c r="C122" s="19">
        <f>O121</f>
        <v/>
      </c>
      <c r="D122" s="19">
        <f>P121</f>
        <v/>
      </c>
      <c r="E122" s="19">
        <f>C122+D122</f>
        <v/>
      </c>
      <c r="F122" s="20">
        <f>DATA!C122</f>
        <v/>
      </c>
      <c r="G122" s="20">
        <f>DATA!F122</f>
        <v/>
      </c>
      <c r="H122" s="19">
        <f>C122*(1+F122)</f>
        <v/>
      </c>
      <c r="I122" s="19">
        <f>D122*(1+G122)</f>
        <v/>
      </c>
      <c r="J122" s="19">
        <f>IF(AND(CONFIG!$B$11="Annual",MONTH(A122)=7),(H122+I122)*CONFIG!$B$6/12,J121)</f>
        <v/>
      </c>
      <c r="K122" s="19">
        <f>MAX(0,I122-J122)</f>
        <v/>
      </c>
      <c r="L122">
        <f>IF(OR(MONTH(A122)=3,MONTH(A122)=6,MONTH(A122)=9,MONTH(A122)=12),"Y","N")</f>
        <v/>
      </c>
      <c r="M122" s="21">
        <f>IF((H122+K122)=0,0,K122/(H122+K122))</f>
        <v/>
      </c>
      <c r="N122">
        <f>IF(AND(L122="Y",OR(M122&lt;CONFIG!$B$8,M122&gt;CONFIG!$B$9)),"Y","N")</f>
        <v/>
      </c>
      <c r="O122" s="19">
        <f>IF(N122="Y",(H122+K122)*0.8,H122)</f>
        <v/>
      </c>
      <c r="P122" s="19">
        <f>IF(N122="Y",(H122+K122)*0.2,K122)</f>
        <v/>
      </c>
      <c r="R122" s="18">
        <f>DATA!A122</f>
        <v/>
      </c>
      <c r="S122">
        <f>DATA!B122</f>
        <v/>
      </c>
      <c r="T122" s="19">
        <f>AF121</f>
        <v/>
      </c>
      <c r="U122" s="19">
        <f>AG121</f>
        <v/>
      </c>
      <c r="V122" s="19">
        <f>T122+U122</f>
        <v/>
      </c>
      <c r="W122" s="20">
        <f>DATA!D122</f>
        <v/>
      </c>
      <c r="X122" s="20">
        <f>DATA!F122</f>
        <v/>
      </c>
      <c r="Y122" s="19">
        <f>T122*(1+W122)</f>
        <v/>
      </c>
      <c r="Z122" s="19">
        <f>U122*(1+X122)</f>
        <v/>
      </c>
      <c r="AA122" s="19">
        <f>IF(AND(CONFIG!$B$11="Annual",MONTH(R122)=7),(Y122+Z122)*CONFIG!$B$6/12,AA121)</f>
        <v/>
      </c>
      <c r="AB122" s="19">
        <f>MAX(0,Z122-AA122)</f>
        <v/>
      </c>
      <c r="AC122">
        <f>IF(OR(MONTH(R122)=3,MONTH(R122)=6,MONTH(R122)=9,MONTH(R122)=12),"Y","N")</f>
        <v/>
      </c>
      <c r="AD122" s="21">
        <f>IF((Y122+AB122)=0,0,AB122/(Y122+AB122))</f>
        <v/>
      </c>
      <c r="AE122">
        <f>IF(AND(AC122="Y",OR(AD122&lt;CONFIG!$B$8,AD122&gt;CONFIG!$B$9)),"Y","N")</f>
        <v/>
      </c>
      <c r="AF122" s="19">
        <f>IF(AE122="Y",(Y122+AB122)*0.8,Y122)</f>
        <v/>
      </c>
      <c r="AG122" s="19">
        <f>IF(AE122="Y",(Y122+AB122)*0.2,AB122)</f>
        <v/>
      </c>
      <c r="AI122" s="18">
        <f>DATA!A122</f>
        <v/>
      </c>
      <c r="AJ122">
        <f>DATA!B122</f>
        <v/>
      </c>
      <c r="AK122" s="19">
        <f>AW121</f>
        <v/>
      </c>
      <c r="AL122" s="19">
        <f>AX121</f>
        <v/>
      </c>
      <c r="AM122" s="19">
        <f>AK122+AL122</f>
        <v/>
      </c>
      <c r="AN122" s="20">
        <f>DATA!E122</f>
        <v/>
      </c>
      <c r="AO122" s="20">
        <f>DATA!F122</f>
        <v/>
      </c>
      <c r="AP122" s="19">
        <f>AK122*(1+AN122)</f>
        <v/>
      </c>
      <c r="AQ122" s="19">
        <f>AL122*(1+AO122)</f>
        <v/>
      </c>
      <c r="AR122" s="19">
        <f>IF(AND(CONFIG!$B$11="Annual",MONTH(AI122)=7),(AP122+AQ122)*CONFIG!$B$6/12,AR121)</f>
        <v/>
      </c>
      <c r="AS122" s="19">
        <f>MAX(0,AQ122-AR122)</f>
        <v/>
      </c>
      <c r="AT122">
        <f>IF(OR(MONTH(AI122)=3,MONTH(AI122)=6,MONTH(AI122)=9,MONTH(AI122)=12),"Y","N")</f>
        <v/>
      </c>
      <c r="AU122" s="21">
        <f>IF((AP122+AS122)=0,0,AS122/(AP122+AS122))</f>
        <v/>
      </c>
      <c r="AV122">
        <f>IF(AND(AT122="Y",OR(AU122&lt;CONFIG!$B$8,AU122&gt;CONFIG!$B$9)),"Y","N")</f>
        <v/>
      </c>
      <c r="AW122" s="19">
        <f>IF(AV122="Y",(AP122+AS122)*0.8,AP122)</f>
        <v/>
      </c>
      <c r="AX122" s="19">
        <f>IF(AV122="Y",(AP122+AS122)*0.2,AS122)</f>
        <v/>
      </c>
    </row>
    <row r="123">
      <c r="A123" s="18">
        <f>DATA!A123</f>
        <v/>
      </c>
      <c r="B123">
        <f>DATA!B123</f>
        <v/>
      </c>
      <c r="C123" s="19">
        <f>O122</f>
        <v/>
      </c>
      <c r="D123" s="19">
        <f>P122</f>
        <v/>
      </c>
      <c r="E123" s="19">
        <f>C123+D123</f>
        <v/>
      </c>
      <c r="F123" s="20">
        <f>DATA!C123</f>
        <v/>
      </c>
      <c r="G123" s="20">
        <f>DATA!F123</f>
        <v/>
      </c>
      <c r="H123" s="19">
        <f>C123*(1+F123)</f>
        <v/>
      </c>
      <c r="I123" s="19">
        <f>D123*(1+G123)</f>
        <v/>
      </c>
      <c r="J123" s="19">
        <f>IF(AND(CONFIG!$B$11="Annual",MONTH(A123)=7),(H123+I123)*CONFIG!$B$6/12,J122)</f>
        <v/>
      </c>
      <c r="K123" s="19">
        <f>MAX(0,I123-J123)</f>
        <v/>
      </c>
      <c r="L123">
        <f>IF(OR(MONTH(A123)=3,MONTH(A123)=6,MONTH(A123)=9,MONTH(A123)=12),"Y","N")</f>
        <v/>
      </c>
      <c r="M123" s="21">
        <f>IF((H123+K123)=0,0,K123/(H123+K123))</f>
        <v/>
      </c>
      <c r="N123">
        <f>IF(AND(L123="Y",OR(M123&lt;CONFIG!$B$8,M123&gt;CONFIG!$B$9)),"Y","N")</f>
        <v/>
      </c>
      <c r="O123" s="19">
        <f>IF(N123="Y",(H123+K123)*0.8,H123)</f>
        <v/>
      </c>
      <c r="P123" s="19">
        <f>IF(N123="Y",(H123+K123)*0.2,K123)</f>
        <v/>
      </c>
      <c r="R123" s="18">
        <f>DATA!A123</f>
        <v/>
      </c>
      <c r="S123">
        <f>DATA!B123</f>
        <v/>
      </c>
      <c r="T123" s="19">
        <f>AF122</f>
        <v/>
      </c>
      <c r="U123" s="19">
        <f>AG122</f>
        <v/>
      </c>
      <c r="V123" s="19">
        <f>T123+U123</f>
        <v/>
      </c>
      <c r="W123" s="20">
        <f>DATA!D123</f>
        <v/>
      </c>
      <c r="X123" s="20">
        <f>DATA!F123</f>
        <v/>
      </c>
      <c r="Y123" s="19">
        <f>T123*(1+W123)</f>
        <v/>
      </c>
      <c r="Z123" s="19">
        <f>U123*(1+X123)</f>
        <v/>
      </c>
      <c r="AA123" s="19">
        <f>IF(AND(CONFIG!$B$11="Annual",MONTH(R123)=7),(Y123+Z123)*CONFIG!$B$6/12,AA122)</f>
        <v/>
      </c>
      <c r="AB123" s="19">
        <f>MAX(0,Z123-AA123)</f>
        <v/>
      </c>
      <c r="AC123">
        <f>IF(OR(MONTH(R123)=3,MONTH(R123)=6,MONTH(R123)=9,MONTH(R123)=12),"Y","N")</f>
        <v/>
      </c>
      <c r="AD123" s="21">
        <f>IF((Y123+AB123)=0,0,AB123/(Y123+AB123))</f>
        <v/>
      </c>
      <c r="AE123">
        <f>IF(AND(AC123="Y",OR(AD123&lt;CONFIG!$B$8,AD123&gt;CONFIG!$B$9)),"Y","N")</f>
        <v/>
      </c>
      <c r="AF123" s="19">
        <f>IF(AE123="Y",(Y123+AB123)*0.8,Y123)</f>
        <v/>
      </c>
      <c r="AG123" s="19">
        <f>IF(AE123="Y",(Y123+AB123)*0.2,AB123)</f>
        <v/>
      </c>
      <c r="AI123" s="18">
        <f>DATA!A123</f>
        <v/>
      </c>
      <c r="AJ123">
        <f>DATA!B123</f>
        <v/>
      </c>
      <c r="AK123" s="19">
        <f>AW122</f>
        <v/>
      </c>
      <c r="AL123" s="19">
        <f>AX122</f>
        <v/>
      </c>
      <c r="AM123" s="19">
        <f>AK123+AL123</f>
        <v/>
      </c>
      <c r="AN123" s="20">
        <f>DATA!E123</f>
        <v/>
      </c>
      <c r="AO123" s="20">
        <f>DATA!F123</f>
        <v/>
      </c>
      <c r="AP123" s="19">
        <f>AK123*(1+AN123)</f>
        <v/>
      </c>
      <c r="AQ123" s="19">
        <f>AL123*(1+AO123)</f>
        <v/>
      </c>
      <c r="AR123" s="19">
        <f>IF(AND(CONFIG!$B$11="Annual",MONTH(AI123)=7),(AP123+AQ123)*CONFIG!$B$6/12,AR122)</f>
        <v/>
      </c>
      <c r="AS123" s="19">
        <f>MAX(0,AQ123-AR123)</f>
        <v/>
      </c>
      <c r="AT123">
        <f>IF(OR(MONTH(AI123)=3,MONTH(AI123)=6,MONTH(AI123)=9,MONTH(AI123)=12),"Y","N")</f>
        <v/>
      </c>
      <c r="AU123" s="21">
        <f>IF((AP123+AS123)=0,0,AS123/(AP123+AS123))</f>
        <v/>
      </c>
      <c r="AV123">
        <f>IF(AND(AT123="Y",OR(AU123&lt;CONFIG!$B$8,AU123&gt;CONFIG!$B$9)),"Y","N")</f>
        <v/>
      </c>
      <c r="AW123" s="19">
        <f>IF(AV123="Y",(AP123+AS123)*0.8,AP123)</f>
        <v/>
      </c>
      <c r="AX123" s="19">
        <f>IF(AV123="Y",(AP123+AS123)*0.2,AS123)</f>
        <v/>
      </c>
    </row>
    <row r="124">
      <c r="A124" s="18">
        <f>DATA!A124</f>
        <v/>
      </c>
      <c r="B124">
        <f>DATA!B124</f>
        <v/>
      </c>
      <c r="C124" s="19">
        <f>O123</f>
        <v/>
      </c>
      <c r="D124" s="19">
        <f>P123</f>
        <v/>
      </c>
      <c r="E124" s="19">
        <f>C124+D124</f>
        <v/>
      </c>
      <c r="F124" s="20">
        <f>DATA!C124</f>
        <v/>
      </c>
      <c r="G124" s="20">
        <f>DATA!F124</f>
        <v/>
      </c>
      <c r="H124" s="19">
        <f>C124*(1+F124)</f>
        <v/>
      </c>
      <c r="I124" s="19">
        <f>D124*(1+G124)</f>
        <v/>
      </c>
      <c r="J124" s="19">
        <f>IF(AND(CONFIG!$B$11="Annual",MONTH(A124)=7),(H124+I124)*CONFIG!$B$6/12,J123)</f>
        <v/>
      </c>
      <c r="K124" s="19">
        <f>MAX(0,I124-J124)</f>
        <v/>
      </c>
      <c r="L124">
        <f>IF(OR(MONTH(A124)=3,MONTH(A124)=6,MONTH(A124)=9,MONTH(A124)=12),"Y","N")</f>
        <v/>
      </c>
      <c r="M124" s="21">
        <f>IF((H124+K124)=0,0,K124/(H124+K124))</f>
        <v/>
      </c>
      <c r="N124">
        <f>IF(AND(L124="Y",OR(M124&lt;CONFIG!$B$8,M124&gt;CONFIG!$B$9)),"Y","N")</f>
        <v/>
      </c>
      <c r="O124" s="19">
        <f>IF(N124="Y",(H124+K124)*0.8,H124)</f>
        <v/>
      </c>
      <c r="P124" s="19">
        <f>IF(N124="Y",(H124+K124)*0.2,K124)</f>
        <v/>
      </c>
      <c r="R124" s="18">
        <f>DATA!A124</f>
        <v/>
      </c>
      <c r="S124">
        <f>DATA!B124</f>
        <v/>
      </c>
      <c r="T124" s="19">
        <f>AF123</f>
        <v/>
      </c>
      <c r="U124" s="19">
        <f>AG123</f>
        <v/>
      </c>
      <c r="V124" s="19">
        <f>T124+U124</f>
        <v/>
      </c>
      <c r="W124" s="20">
        <f>DATA!D124</f>
        <v/>
      </c>
      <c r="X124" s="20">
        <f>DATA!F124</f>
        <v/>
      </c>
      <c r="Y124" s="19">
        <f>T124*(1+W124)</f>
        <v/>
      </c>
      <c r="Z124" s="19">
        <f>U124*(1+X124)</f>
        <v/>
      </c>
      <c r="AA124" s="19">
        <f>IF(AND(CONFIG!$B$11="Annual",MONTH(R124)=7),(Y124+Z124)*CONFIG!$B$6/12,AA123)</f>
        <v/>
      </c>
      <c r="AB124" s="19">
        <f>MAX(0,Z124-AA124)</f>
        <v/>
      </c>
      <c r="AC124">
        <f>IF(OR(MONTH(R124)=3,MONTH(R124)=6,MONTH(R124)=9,MONTH(R124)=12),"Y","N")</f>
        <v/>
      </c>
      <c r="AD124" s="21">
        <f>IF((Y124+AB124)=0,0,AB124/(Y124+AB124))</f>
        <v/>
      </c>
      <c r="AE124">
        <f>IF(AND(AC124="Y",OR(AD124&lt;CONFIG!$B$8,AD124&gt;CONFIG!$B$9)),"Y","N")</f>
        <v/>
      </c>
      <c r="AF124" s="19">
        <f>IF(AE124="Y",(Y124+AB124)*0.8,Y124)</f>
        <v/>
      </c>
      <c r="AG124" s="19">
        <f>IF(AE124="Y",(Y124+AB124)*0.2,AB124)</f>
        <v/>
      </c>
      <c r="AI124" s="18">
        <f>DATA!A124</f>
        <v/>
      </c>
      <c r="AJ124">
        <f>DATA!B124</f>
        <v/>
      </c>
      <c r="AK124" s="19">
        <f>AW123</f>
        <v/>
      </c>
      <c r="AL124" s="19">
        <f>AX123</f>
        <v/>
      </c>
      <c r="AM124" s="19">
        <f>AK124+AL124</f>
        <v/>
      </c>
      <c r="AN124" s="20">
        <f>DATA!E124</f>
        <v/>
      </c>
      <c r="AO124" s="20">
        <f>DATA!F124</f>
        <v/>
      </c>
      <c r="AP124" s="19">
        <f>AK124*(1+AN124)</f>
        <v/>
      </c>
      <c r="AQ124" s="19">
        <f>AL124*(1+AO124)</f>
        <v/>
      </c>
      <c r="AR124" s="19">
        <f>IF(AND(CONFIG!$B$11="Annual",MONTH(AI124)=7),(AP124+AQ124)*CONFIG!$B$6/12,AR123)</f>
        <v/>
      </c>
      <c r="AS124" s="19">
        <f>MAX(0,AQ124-AR124)</f>
        <v/>
      </c>
      <c r="AT124">
        <f>IF(OR(MONTH(AI124)=3,MONTH(AI124)=6,MONTH(AI124)=9,MONTH(AI124)=12),"Y","N")</f>
        <v/>
      </c>
      <c r="AU124" s="21">
        <f>IF((AP124+AS124)=0,0,AS124/(AP124+AS124))</f>
        <v/>
      </c>
      <c r="AV124">
        <f>IF(AND(AT124="Y",OR(AU124&lt;CONFIG!$B$8,AU124&gt;CONFIG!$B$9)),"Y","N")</f>
        <v/>
      </c>
      <c r="AW124" s="19">
        <f>IF(AV124="Y",(AP124+AS124)*0.8,AP124)</f>
        <v/>
      </c>
      <c r="AX124" s="19">
        <f>IF(AV124="Y",(AP124+AS124)*0.2,AS124)</f>
        <v/>
      </c>
    </row>
    <row r="125">
      <c r="A125" s="18">
        <f>DATA!A125</f>
        <v/>
      </c>
      <c r="B125">
        <f>DATA!B125</f>
        <v/>
      </c>
      <c r="C125" s="19">
        <f>O124</f>
        <v/>
      </c>
      <c r="D125" s="19">
        <f>P124</f>
        <v/>
      </c>
      <c r="E125" s="19">
        <f>C125+D125</f>
        <v/>
      </c>
      <c r="F125" s="20">
        <f>DATA!C125</f>
        <v/>
      </c>
      <c r="G125" s="20">
        <f>DATA!F125</f>
        <v/>
      </c>
      <c r="H125" s="19">
        <f>C125*(1+F125)</f>
        <v/>
      </c>
      <c r="I125" s="19">
        <f>D125*(1+G125)</f>
        <v/>
      </c>
      <c r="J125" s="19">
        <f>IF(AND(CONFIG!$B$11="Annual",MONTH(A125)=7),(H125+I125)*CONFIG!$B$6/12,J124)</f>
        <v/>
      </c>
      <c r="K125" s="19">
        <f>MAX(0,I125-J125)</f>
        <v/>
      </c>
      <c r="L125">
        <f>IF(OR(MONTH(A125)=3,MONTH(A125)=6,MONTH(A125)=9,MONTH(A125)=12),"Y","N")</f>
        <v/>
      </c>
      <c r="M125" s="21">
        <f>IF((H125+K125)=0,0,K125/(H125+K125))</f>
        <v/>
      </c>
      <c r="N125">
        <f>IF(AND(L125="Y",OR(M125&lt;CONFIG!$B$8,M125&gt;CONFIG!$B$9)),"Y","N")</f>
        <v/>
      </c>
      <c r="O125" s="19">
        <f>IF(N125="Y",(H125+K125)*0.8,H125)</f>
        <v/>
      </c>
      <c r="P125" s="19">
        <f>IF(N125="Y",(H125+K125)*0.2,K125)</f>
        <v/>
      </c>
      <c r="R125" s="18">
        <f>DATA!A125</f>
        <v/>
      </c>
      <c r="S125">
        <f>DATA!B125</f>
        <v/>
      </c>
      <c r="T125" s="19">
        <f>AF124</f>
        <v/>
      </c>
      <c r="U125" s="19">
        <f>AG124</f>
        <v/>
      </c>
      <c r="V125" s="19">
        <f>T125+U125</f>
        <v/>
      </c>
      <c r="W125" s="20">
        <f>DATA!D125</f>
        <v/>
      </c>
      <c r="X125" s="20">
        <f>DATA!F125</f>
        <v/>
      </c>
      <c r="Y125" s="19">
        <f>T125*(1+W125)</f>
        <v/>
      </c>
      <c r="Z125" s="19">
        <f>U125*(1+X125)</f>
        <v/>
      </c>
      <c r="AA125" s="19">
        <f>IF(AND(CONFIG!$B$11="Annual",MONTH(R125)=7),(Y125+Z125)*CONFIG!$B$6/12,AA124)</f>
        <v/>
      </c>
      <c r="AB125" s="19">
        <f>MAX(0,Z125-AA125)</f>
        <v/>
      </c>
      <c r="AC125">
        <f>IF(OR(MONTH(R125)=3,MONTH(R125)=6,MONTH(R125)=9,MONTH(R125)=12),"Y","N")</f>
        <v/>
      </c>
      <c r="AD125" s="21">
        <f>IF((Y125+AB125)=0,0,AB125/(Y125+AB125))</f>
        <v/>
      </c>
      <c r="AE125">
        <f>IF(AND(AC125="Y",OR(AD125&lt;CONFIG!$B$8,AD125&gt;CONFIG!$B$9)),"Y","N")</f>
        <v/>
      </c>
      <c r="AF125" s="19">
        <f>IF(AE125="Y",(Y125+AB125)*0.8,Y125)</f>
        <v/>
      </c>
      <c r="AG125" s="19">
        <f>IF(AE125="Y",(Y125+AB125)*0.2,AB125)</f>
        <v/>
      </c>
      <c r="AI125" s="18">
        <f>DATA!A125</f>
        <v/>
      </c>
      <c r="AJ125">
        <f>DATA!B125</f>
        <v/>
      </c>
      <c r="AK125" s="19">
        <f>AW124</f>
        <v/>
      </c>
      <c r="AL125" s="19">
        <f>AX124</f>
        <v/>
      </c>
      <c r="AM125" s="19">
        <f>AK125+AL125</f>
        <v/>
      </c>
      <c r="AN125" s="20">
        <f>DATA!E125</f>
        <v/>
      </c>
      <c r="AO125" s="20">
        <f>DATA!F125</f>
        <v/>
      </c>
      <c r="AP125" s="19">
        <f>AK125*(1+AN125)</f>
        <v/>
      </c>
      <c r="AQ125" s="19">
        <f>AL125*(1+AO125)</f>
        <v/>
      </c>
      <c r="AR125" s="19">
        <f>IF(AND(CONFIG!$B$11="Annual",MONTH(AI125)=7),(AP125+AQ125)*CONFIG!$B$6/12,AR124)</f>
        <v/>
      </c>
      <c r="AS125" s="19">
        <f>MAX(0,AQ125-AR125)</f>
        <v/>
      </c>
      <c r="AT125">
        <f>IF(OR(MONTH(AI125)=3,MONTH(AI125)=6,MONTH(AI125)=9,MONTH(AI125)=12),"Y","N")</f>
        <v/>
      </c>
      <c r="AU125" s="21">
        <f>IF((AP125+AS125)=0,0,AS125/(AP125+AS125))</f>
        <v/>
      </c>
      <c r="AV125">
        <f>IF(AND(AT125="Y",OR(AU125&lt;CONFIG!$B$8,AU125&gt;CONFIG!$B$9)),"Y","N")</f>
        <v/>
      </c>
      <c r="AW125" s="19">
        <f>IF(AV125="Y",(AP125+AS125)*0.8,AP125)</f>
        <v/>
      </c>
      <c r="AX125" s="19">
        <f>IF(AV125="Y",(AP125+AS125)*0.2,AS125)</f>
        <v/>
      </c>
    </row>
    <row r="126">
      <c r="A126" s="18">
        <f>DATA!A126</f>
        <v/>
      </c>
      <c r="B126">
        <f>DATA!B126</f>
        <v/>
      </c>
      <c r="C126" s="19">
        <f>O125</f>
        <v/>
      </c>
      <c r="D126" s="19">
        <f>P125</f>
        <v/>
      </c>
      <c r="E126" s="19">
        <f>C126+D126</f>
        <v/>
      </c>
      <c r="F126" s="20">
        <f>DATA!C126</f>
        <v/>
      </c>
      <c r="G126" s="20">
        <f>DATA!F126</f>
        <v/>
      </c>
      <c r="H126" s="19">
        <f>C126*(1+F126)</f>
        <v/>
      </c>
      <c r="I126" s="19">
        <f>D126*(1+G126)</f>
        <v/>
      </c>
      <c r="J126" s="19">
        <f>IF(AND(CONFIG!$B$11="Annual",MONTH(A126)=7),(H126+I126)*CONFIG!$B$6/12,J125)</f>
        <v/>
      </c>
      <c r="K126" s="19">
        <f>MAX(0,I126-J126)</f>
        <v/>
      </c>
      <c r="L126">
        <f>IF(OR(MONTH(A126)=3,MONTH(A126)=6,MONTH(A126)=9,MONTH(A126)=12),"Y","N")</f>
        <v/>
      </c>
      <c r="M126" s="21">
        <f>IF((H126+K126)=0,0,K126/(H126+K126))</f>
        <v/>
      </c>
      <c r="N126">
        <f>IF(AND(L126="Y",OR(M126&lt;CONFIG!$B$8,M126&gt;CONFIG!$B$9)),"Y","N")</f>
        <v/>
      </c>
      <c r="O126" s="19">
        <f>IF(N126="Y",(H126+K126)*0.8,H126)</f>
        <v/>
      </c>
      <c r="P126" s="19">
        <f>IF(N126="Y",(H126+K126)*0.2,K126)</f>
        <v/>
      </c>
      <c r="R126" s="18">
        <f>DATA!A126</f>
        <v/>
      </c>
      <c r="S126">
        <f>DATA!B126</f>
        <v/>
      </c>
      <c r="T126" s="19">
        <f>AF125</f>
        <v/>
      </c>
      <c r="U126" s="19">
        <f>AG125</f>
        <v/>
      </c>
      <c r="V126" s="19">
        <f>T126+U126</f>
        <v/>
      </c>
      <c r="W126" s="20">
        <f>DATA!D126</f>
        <v/>
      </c>
      <c r="X126" s="20">
        <f>DATA!F126</f>
        <v/>
      </c>
      <c r="Y126" s="19">
        <f>T126*(1+W126)</f>
        <v/>
      </c>
      <c r="Z126" s="19">
        <f>U126*(1+X126)</f>
        <v/>
      </c>
      <c r="AA126" s="19">
        <f>IF(AND(CONFIG!$B$11="Annual",MONTH(R126)=7),(Y126+Z126)*CONFIG!$B$6/12,AA125)</f>
        <v/>
      </c>
      <c r="AB126" s="19">
        <f>MAX(0,Z126-AA126)</f>
        <v/>
      </c>
      <c r="AC126">
        <f>IF(OR(MONTH(R126)=3,MONTH(R126)=6,MONTH(R126)=9,MONTH(R126)=12),"Y","N")</f>
        <v/>
      </c>
      <c r="AD126" s="21">
        <f>IF((Y126+AB126)=0,0,AB126/(Y126+AB126))</f>
        <v/>
      </c>
      <c r="AE126">
        <f>IF(AND(AC126="Y",OR(AD126&lt;CONFIG!$B$8,AD126&gt;CONFIG!$B$9)),"Y","N")</f>
        <v/>
      </c>
      <c r="AF126" s="19">
        <f>IF(AE126="Y",(Y126+AB126)*0.8,Y126)</f>
        <v/>
      </c>
      <c r="AG126" s="19">
        <f>IF(AE126="Y",(Y126+AB126)*0.2,AB126)</f>
        <v/>
      </c>
      <c r="AI126" s="18">
        <f>DATA!A126</f>
        <v/>
      </c>
      <c r="AJ126">
        <f>DATA!B126</f>
        <v/>
      </c>
      <c r="AK126" s="19">
        <f>AW125</f>
        <v/>
      </c>
      <c r="AL126" s="19">
        <f>AX125</f>
        <v/>
      </c>
      <c r="AM126" s="19">
        <f>AK126+AL126</f>
        <v/>
      </c>
      <c r="AN126" s="20">
        <f>DATA!E126</f>
        <v/>
      </c>
      <c r="AO126" s="20">
        <f>DATA!F126</f>
        <v/>
      </c>
      <c r="AP126" s="19">
        <f>AK126*(1+AN126)</f>
        <v/>
      </c>
      <c r="AQ126" s="19">
        <f>AL126*(1+AO126)</f>
        <v/>
      </c>
      <c r="AR126" s="19">
        <f>IF(AND(CONFIG!$B$11="Annual",MONTH(AI126)=7),(AP126+AQ126)*CONFIG!$B$6/12,AR125)</f>
        <v/>
      </c>
      <c r="AS126" s="19">
        <f>MAX(0,AQ126-AR126)</f>
        <v/>
      </c>
      <c r="AT126">
        <f>IF(OR(MONTH(AI126)=3,MONTH(AI126)=6,MONTH(AI126)=9,MONTH(AI126)=12),"Y","N")</f>
        <v/>
      </c>
      <c r="AU126" s="21">
        <f>IF((AP126+AS126)=0,0,AS126/(AP126+AS126))</f>
        <v/>
      </c>
      <c r="AV126">
        <f>IF(AND(AT126="Y",OR(AU126&lt;CONFIG!$B$8,AU126&gt;CONFIG!$B$9)),"Y","N")</f>
        <v/>
      </c>
      <c r="AW126" s="19">
        <f>IF(AV126="Y",(AP126+AS126)*0.8,AP126)</f>
        <v/>
      </c>
      <c r="AX126" s="19">
        <f>IF(AV126="Y",(AP126+AS126)*0.2,AS126)</f>
        <v/>
      </c>
    </row>
    <row r="127">
      <c r="A127" s="18">
        <f>DATA!A127</f>
        <v/>
      </c>
      <c r="B127">
        <f>DATA!B127</f>
        <v/>
      </c>
      <c r="C127" s="19">
        <f>O126</f>
        <v/>
      </c>
      <c r="D127" s="19">
        <f>P126</f>
        <v/>
      </c>
      <c r="E127" s="19">
        <f>C127+D127</f>
        <v/>
      </c>
      <c r="F127" s="20">
        <f>DATA!C127</f>
        <v/>
      </c>
      <c r="G127" s="20">
        <f>DATA!F127</f>
        <v/>
      </c>
      <c r="H127" s="19">
        <f>C127*(1+F127)</f>
        <v/>
      </c>
      <c r="I127" s="19">
        <f>D127*(1+G127)</f>
        <v/>
      </c>
      <c r="J127" s="19">
        <f>IF(AND(CONFIG!$B$11="Annual",MONTH(A127)=7),(H127+I127)*CONFIG!$B$6/12,J126)</f>
        <v/>
      </c>
      <c r="K127" s="19">
        <f>MAX(0,I127-J127)</f>
        <v/>
      </c>
      <c r="L127">
        <f>IF(OR(MONTH(A127)=3,MONTH(A127)=6,MONTH(A127)=9,MONTH(A127)=12),"Y","N")</f>
        <v/>
      </c>
      <c r="M127" s="21">
        <f>IF((H127+K127)=0,0,K127/(H127+K127))</f>
        <v/>
      </c>
      <c r="N127">
        <f>IF(AND(L127="Y",OR(M127&lt;CONFIG!$B$8,M127&gt;CONFIG!$B$9)),"Y","N")</f>
        <v/>
      </c>
      <c r="O127" s="19">
        <f>IF(N127="Y",(H127+K127)*0.8,H127)</f>
        <v/>
      </c>
      <c r="P127" s="19">
        <f>IF(N127="Y",(H127+K127)*0.2,K127)</f>
        <v/>
      </c>
      <c r="R127" s="18">
        <f>DATA!A127</f>
        <v/>
      </c>
      <c r="S127">
        <f>DATA!B127</f>
        <v/>
      </c>
      <c r="T127" s="19">
        <f>AF126</f>
        <v/>
      </c>
      <c r="U127" s="19">
        <f>AG126</f>
        <v/>
      </c>
      <c r="V127" s="19">
        <f>T127+U127</f>
        <v/>
      </c>
      <c r="W127" s="20">
        <f>DATA!D127</f>
        <v/>
      </c>
      <c r="X127" s="20">
        <f>DATA!F127</f>
        <v/>
      </c>
      <c r="Y127" s="19">
        <f>T127*(1+W127)</f>
        <v/>
      </c>
      <c r="Z127" s="19">
        <f>U127*(1+X127)</f>
        <v/>
      </c>
      <c r="AA127" s="19">
        <f>IF(AND(CONFIG!$B$11="Annual",MONTH(R127)=7),(Y127+Z127)*CONFIG!$B$6/12,AA126)</f>
        <v/>
      </c>
      <c r="AB127" s="19">
        <f>MAX(0,Z127-AA127)</f>
        <v/>
      </c>
      <c r="AC127">
        <f>IF(OR(MONTH(R127)=3,MONTH(R127)=6,MONTH(R127)=9,MONTH(R127)=12),"Y","N")</f>
        <v/>
      </c>
      <c r="AD127" s="21">
        <f>IF((Y127+AB127)=0,0,AB127/(Y127+AB127))</f>
        <v/>
      </c>
      <c r="AE127">
        <f>IF(AND(AC127="Y",OR(AD127&lt;CONFIG!$B$8,AD127&gt;CONFIG!$B$9)),"Y","N")</f>
        <v/>
      </c>
      <c r="AF127" s="19">
        <f>IF(AE127="Y",(Y127+AB127)*0.8,Y127)</f>
        <v/>
      </c>
      <c r="AG127" s="19">
        <f>IF(AE127="Y",(Y127+AB127)*0.2,AB127)</f>
        <v/>
      </c>
      <c r="AI127" s="18">
        <f>DATA!A127</f>
        <v/>
      </c>
      <c r="AJ127">
        <f>DATA!B127</f>
        <v/>
      </c>
      <c r="AK127" s="19">
        <f>AW126</f>
        <v/>
      </c>
      <c r="AL127" s="19">
        <f>AX126</f>
        <v/>
      </c>
      <c r="AM127" s="19">
        <f>AK127+AL127</f>
        <v/>
      </c>
      <c r="AN127" s="20">
        <f>DATA!E127</f>
        <v/>
      </c>
      <c r="AO127" s="20">
        <f>DATA!F127</f>
        <v/>
      </c>
      <c r="AP127" s="19">
        <f>AK127*(1+AN127)</f>
        <v/>
      </c>
      <c r="AQ127" s="19">
        <f>AL127*(1+AO127)</f>
        <v/>
      </c>
      <c r="AR127" s="19">
        <f>IF(AND(CONFIG!$B$11="Annual",MONTH(AI127)=7),(AP127+AQ127)*CONFIG!$B$6/12,AR126)</f>
        <v/>
      </c>
      <c r="AS127" s="19">
        <f>MAX(0,AQ127-AR127)</f>
        <v/>
      </c>
      <c r="AT127">
        <f>IF(OR(MONTH(AI127)=3,MONTH(AI127)=6,MONTH(AI127)=9,MONTH(AI127)=12),"Y","N")</f>
        <v/>
      </c>
      <c r="AU127" s="21">
        <f>IF((AP127+AS127)=0,0,AS127/(AP127+AS127))</f>
        <v/>
      </c>
      <c r="AV127">
        <f>IF(AND(AT127="Y",OR(AU127&lt;CONFIG!$B$8,AU127&gt;CONFIG!$B$9)),"Y","N")</f>
        <v/>
      </c>
      <c r="AW127" s="19">
        <f>IF(AV127="Y",(AP127+AS127)*0.8,AP127)</f>
        <v/>
      </c>
      <c r="AX127" s="19">
        <f>IF(AV127="Y",(AP127+AS127)*0.2,AS127)</f>
        <v/>
      </c>
    </row>
    <row r="128">
      <c r="A128" s="18">
        <f>DATA!A128</f>
        <v/>
      </c>
      <c r="B128">
        <f>DATA!B128</f>
        <v/>
      </c>
      <c r="C128" s="19">
        <f>O127</f>
        <v/>
      </c>
      <c r="D128" s="19">
        <f>P127</f>
        <v/>
      </c>
      <c r="E128" s="19">
        <f>C128+D128</f>
        <v/>
      </c>
      <c r="F128" s="20">
        <f>DATA!C128</f>
        <v/>
      </c>
      <c r="G128" s="20">
        <f>DATA!F128</f>
        <v/>
      </c>
      <c r="H128" s="19">
        <f>C128*(1+F128)</f>
        <v/>
      </c>
      <c r="I128" s="19">
        <f>D128*(1+G128)</f>
        <v/>
      </c>
      <c r="J128" s="19">
        <f>IF(AND(CONFIG!$B$11="Annual",MONTH(A128)=7),(H128+I128)*CONFIG!$B$6/12,J127)</f>
        <v/>
      </c>
      <c r="K128" s="19">
        <f>MAX(0,I128-J128)</f>
        <v/>
      </c>
      <c r="L128">
        <f>IF(OR(MONTH(A128)=3,MONTH(A128)=6,MONTH(A128)=9,MONTH(A128)=12),"Y","N")</f>
        <v/>
      </c>
      <c r="M128" s="21">
        <f>IF((H128+K128)=0,0,K128/(H128+K128))</f>
        <v/>
      </c>
      <c r="N128">
        <f>IF(AND(L128="Y",OR(M128&lt;CONFIG!$B$8,M128&gt;CONFIG!$B$9)),"Y","N")</f>
        <v/>
      </c>
      <c r="O128" s="19">
        <f>IF(N128="Y",(H128+K128)*0.8,H128)</f>
        <v/>
      </c>
      <c r="P128" s="19">
        <f>IF(N128="Y",(H128+K128)*0.2,K128)</f>
        <v/>
      </c>
      <c r="R128" s="18">
        <f>DATA!A128</f>
        <v/>
      </c>
      <c r="S128">
        <f>DATA!B128</f>
        <v/>
      </c>
      <c r="T128" s="19">
        <f>AF127</f>
        <v/>
      </c>
      <c r="U128" s="19">
        <f>AG127</f>
        <v/>
      </c>
      <c r="V128" s="19">
        <f>T128+U128</f>
        <v/>
      </c>
      <c r="W128" s="20">
        <f>DATA!D128</f>
        <v/>
      </c>
      <c r="X128" s="20">
        <f>DATA!F128</f>
        <v/>
      </c>
      <c r="Y128" s="19">
        <f>T128*(1+W128)</f>
        <v/>
      </c>
      <c r="Z128" s="19">
        <f>U128*(1+X128)</f>
        <v/>
      </c>
      <c r="AA128" s="19">
        <f>IF(AND(CONFIG!$B$11="Annual",MONTH(R128)=7),(Y128+Z128)*CONFIG!$B$6/12,AA127)</f>
        <v/>
      </c>
      <c r="AB128" s="19">
        <f>MAX(0,Z128-AA128)</f>
        <v/>
      </c>
      <c r="AC128">
        <f>IF(OR(MONTH(R128)=3,MONTH(R128)=6,MONTH(R128)=9,MONTH(R128)=12),"Y","N")</f>
        <v/>
      </c>
      <c r="AD128" s="21">
        <f>IF((Y128+AB128)=0,0,AB128/(Y128+AB128))</f>
        <v/>
      </c>
      <c r="AE128">
        <f>IF(AND(AC128="Y",OR(AD128&lt;CONFIG!$B$8,AD128&gt;CONFIG!$B$9)),"Y","N")</f>
        <v/>
      </c>
      <c r="AF128" s="19">
        <f>IF(AE128="Y",(Y128+AB128)*0.8,Y128)</f>
        <v/>
      </c>
      <c r="AG128" s="19">
        <f>IF(AE128="Y",(Y128+AB128)*0.2,AB128)</f>
        <v/>
      </c>
      <c r="AI128" s="18">
        <f>DATA!A128</f>
        <v/>
      </c>
      <c r="AJ128">
        <f>DATA!B128</f>
        <v/>
      </c>
      <c r="AK128" s="19">
        <f>AW127</f>
        <v/>
      </c>
      <c r="AL128" s="19">
        <f>AX127</f>
        <v/>
      </c>
      <c r="AM128" s="19">
        <f>AK128+AL128</f>
        <v/>
      </c>
      <c r="AN128" s="20">
        <f>DATA!E128</f>
        <v/>
      </c>
      <c r="AO128" s="20">
        <f>DATA!F128</f>
        <v/>
      </c>
      <c r="AP128" s="19">
        <f>AK128*(1+AN128)</f>
        <v/>
      </c>
      <c r="AQ128" s="19">
        <f>AL128*(1+AO128)</f>
        <v/>
      </c>
      <c r="AR128" s="19">
        <f>IF(AND(CONFIG!$B$11="Annual",MONTH(AI128)=7),(AP128+AQ128)*CONFIG!$B$6/12,AR127)</f>
        <v/>
      </c>
      <c r="AS128" s="19">
        <f>MAX(0,AQ128-AR128)</f>
        <v/>
      </c>
      <c r="AT128">
        <f>IF(OR(MONTH(AI128)=3,MONTH(AI128)=6,MONTH(AI128)=9,MONTH(AI128)=12),"Y","N")</f>
        <v/>
      </c>
      <c r="AU128" s="21">
        <f>IF((AP128+AS128)=0,0,AS128/(AP128+AS128))</f>
        <v/>
      </c>
      <c r="AV128">
        <f>IF(AND(AT128="Y",OR(AU128&lt;CONFIG!$B$8,AU128&gt;CONFIG!$B$9)),"Y","N")</f>
        <v/>
      </c>
      <c r="AW128" s="19">
        <f>IF(AV128="Y",(AP128+AS128)*0.8,AP128)</f>
        <v/>
      </c>
      <c r="AX128" s="19">
        <f>IF(AV128="Y",(AP128+AS128)*0.2,AS128)</f>
        <v/>
      </c>
    </row>
    <row r="129">
      <c r="A129" s="18">
        <f>DATA!A129</f>
        <v/>
      </c>
      <c r="B129">
        <f>DATA!B129</f>
        <v/>
      </c>
      <c r="C129" s="19">
        <f>O128</f>
        <v/>
      </c>
      <c r="D129" s="19">
        <f>P128</f>
        <v/>
      </c>
      <c r="E129" s="19">
        <f>C129+D129</f>
        <v/>
      </c>
      <c r="F129" s="20">
        <f>DATA!C129</f>
        <v/>
      </c>
      <c r="G129" s="20">
        <f>DATA!F129</f>
        <v/>
      </c>
      <c r="H129" s="19">
        <f>C129*(1+F129)</f>
        <v/>
      </c>
      <c r="I129" s="19">
        <f>D129*(1+G129)</f>
        <v/>
      </c>
      <c r="J129" s="19">
        <f>IF(AND(CONFIG!$B$11="Annual",MONTH(A129)=7),(H129+I129)*CONFIG!$B$6/12,J128)</f>
        <v/>
      </c>
      <c r="K129" s="19">
        <f>MAX(0,I129-J129)</f>
        <v/>
      </c>
      <c r="L129">
        <f>IF(OR(MONTH(A129)=3,MONTH(A129)=6,MONTH(A129)=9,MONTH(A129)=12),"Y","N")</f>
        <v/>
      </c>
      <c r="M129" s="21">
        <f>IF((H129+K129)=0,0,K129/(H129+K129))</f>
        <v/>
      </c>
      <c r="N129">
        <f>IF(AND(L129="Y",OR(M129&lt;CONFIG!$B$8,M129&gt;CONFIG!$B$9)),"Y","N")</f>
        <v/>
      </c>
      <c r="O129" s="19">
        <f>IF(N129="Y",(H129+K129)*0.8,H129)</f>
        <v/>
      </c>
      <c r="P129" s="19">
        <f>IF(N129="Y",(H129+K129)*0.2,K129)</f>
        <v/>
      </c>
      <c r="R129" s="18">
        <f>DATA!A129</f>
        <v/>
      </c>
      <c r="S129">
        <f>DATA!B129</f>
        <v/>
      </c>
      <c r="T129" s="19">
        <f>AF128</f>
        <v/>
      </c>
      <c r="U129" s="19">
        <f>AG128</f>
        <v/>
      </c>
      <c r="V129" s="19">
        <f>T129+U129</f>
        <v/>
      </c>
      <c r="W129" s="20">
        <f>DATA!D129</f>
        <v/>
      </c>
      <c r="X129" s="20">
        <f>DATA!F129</f>
        <v/>
      </c>
      <c r="Y129" s="19">
        <f>T129*(1+W129)</f>
        <v/>
      </c>
      <c r="Z129" s="19">
        <f>U129*(1+X129)</f>
        <v/>
      </c>
      <c r="AA129" s="19">
        <f>IF(AND(CONFIG!$B$11="Annual",MONTH(R129)=7),(Y129+Z129)*CONFIG!$B$6/12,AA128)</f>
        <v/>
      </c>
      <c r="AB129" s="19">
        <f>MAX(0,Z129-AA129)</f>
        <v/>
      </c>
      <c r="AC129">
        <f>IF(OR(MONTH(R129)=3,MONTH(R129)=6,MONTH(R129)=9,MONTH(R129)=12),"Y","N")</f>
        <v/>
      </c>
      <c r="AD129" s="21">
        <f>IF((Y129+AB129)=0,0,AB129/(Y129+AB129))</f>
        <v/>
      </c>
      <c r="AE129">
        <f>IF(AND(AC129="Y",OR(AD129&lt;CONFIG!$B$8,AD129&gt;CONFIG!$B$9)),"Y","N")</f>
        <v/>
      </c>
      <c r="AF129" s="19">
        <f>IF(AE129="Y",(Y129+AB129)*0.8,Y129)</f>
        <v/>
      </c>
      <c r="AG129" s="19">
        <f>IF(AE129="Y",(Y129+AB129)*0.2,AB129)</f>
        <v/>
      </c>
      <c r="AI129" s="18">
        <f>DATA!A129</f>
        <v/>
      </c>
      <c r="AJ129">
        <f>DATA!B129</f>
        <v/>
      </c>
      <c r="AK129" s="19">
        <f>AW128</f>
        <v/>
      </c>
      <c r="AL129" s="19">
        <f>AX128</f>
        <v/>
      </c>
      <c r="AM129" s="19">
        <f>AK129+AL129</f>
        <v/>
      </c>
      <c r="AN129" s="20">
        <f>DATA!E129</f>
        <v/>
      </c>
      <c r="AO129" s="20">
        <f>DATA!F129</f>
        <v/>
      </c>
      <c r="AP129" s="19">
        <f>AK129*(1+AN129)</f>
        <v/>
      </c>
      <c r="AQ129" s="19">
        <f>AL129*(1+AO129)</f>
        <v/>
      </c>
      <c r="AR129" s="19">
        <f>IF(AND(CONFIG!$B$11="Annual",MONTH(AI129)=7),(AP129+AQ129)*CONFIG!$B$6/12,AR128)</f>
        <v/>
      </c>
      <c r="AS129" s="19">
        <f>MAX(0,AQ129-AR129)</f>
        <v/>
      </c>
      <c r="AT129">
        <f>IF(OR(MONTH(AI129)=3,MONTH(AI129)=6,MONTH(AI129)=9,MONTH(AI129)=12),"Y","N")</f>
        <v/>
      </c>
      <c r="AU129" s="21">
        <f>IF((AP129+AS129)=0,0,AS129/(AP129+AS129))</f>
        <v/>
      </c>
      <c r="AV129">
        <f>IF(AND(AT129="Y",OR(AU129&lt;CONFIG!$B$8,AU129&gt;CONFIG!$B$9)),"Y","N")</f>
        <v/>
      </c>
      <c r="AW129" s="19">
        <f>IF(AV129="Y",(AP129+AS129)*0.8,AP129)</f>
        <v/>
      </c>
      <c r="AX129" s="19">
        <f>IF(AV129="Y",(AP129+AS129)*0.2,AS129)</f>
        <v/>
      </c>
    </row>
    <row r="130">
      <c r="A130" s="18">
        <f>DATA!A130</f>
        <v/>
      </c>
      <c r="B130">
        <f>DATA!B130</f>
        <v/>
      </c>
      <c r="C130" s="19">
        <f>O129</f>
        <v/>
      </c>
      <c r="D130" s="19">
        <f>P129</f>
        <v/>
      </c>
      <c r="E130" s="19">
        <f>C130+D130</f>
        <v/>
      </c>
      <c r="F130" s="20">
        <f>DATA!C130</f>
        <v/>
      </c>
      <c r="G130" s="20">
        <f>DATA!F130</f>
        <v/>
      </c>
      <c r="H130" s="19">
        <f>C130*(1+F130)</f>
        <v/>
      </c>
      <c r="I130" s="19">
        <f>D130*(1+G130)</f>
        <v/>
      </c>
      <c r="J130" s="19">
        <f>IF(AND(CONFIG!$B$11="Annual",MONTH(A130)=7),(H130+I130)*CONFIG!$B$6/12,J129)</f>
        <v/>
      </c>
      <c r="K130" s="19">
        <f>MAX(0,I130-J130)</f>
        <v/>
      </c>
      <c r="L130">
        <f>IF(OR(MONTH(A130)=3,MONTH(A130)=6,MONTH(A130)=9,MONTH(A130)=12),"Y","N")</f>
        <v/>
      </c>
      <c r="M130" s="21">
        <f>IF((H130+K130)=0,0,K130/(H130+K130))</f>
        <v/>
      </c>
      <c r="N130">
        <f>IF(AND(L130="Y",OR(M130&lt;CONFIG!$B$8,M130&gt;CONFIG!$B$9)),"Y","N")</f>
        <v/>
      </c>
      <c r="O130" s="19">
        <f>IF(N130="Y",(H130+K130)*0.8,H130)</f>
        <v/>
      </c>
      <c r="P130" s="19">
        <f>IF(N130="Y",(H130+K130)*0.2,K130)</f>
        <v/>
      </c>
      <c r="R130" s="18">
        <f>DATA!A130</f>
        <v/>
      </c>
      <c r="S130">
        <f>DATA!B130</f>
        <v/>
      </c>
      <c r="T130" s="19">
        <f>AF129</f>
        <v/>
      </c>
      <c r="U130" s="19">
        <f>AG129</f>
        <v/>
      </c>
      <c r="V130" s="19">
        <f>T130+U130</f>
        <v/>
      </c>
      <c r="W130" s="20">
        <f>DATA!D130</f>
        <v/>
      </c>
      <c r="X130" s="20">
        <f>DATA!F130</f>
        <v/>
      </c>
      <c r="Y130" s="19">
        <f>T130*(1+W130)</f>
        <v/>
      </c>
      <c r="Z130" s="19">
        <f>U130*(1+X130)</f>
        <v/>
      </c>
      <c r="AA130" s="19">
        <f>IF(AND(CONFIG!$B$11="Annual",MONTH(R130)=7),(Y130+Z130)*CONFIG!$B$6/12,AA129)</f>
        <v/>
      </c>
      <c r="AB130" s="19">
        <f>MAX(0,Z130-AA130)</f>
        <v/>
      </c>
      <c r="AC130">
        <f>IF(OR(MONTH(R130)=3,MONTH(R130)=6,MONTH(R130)=9,MONTH(R130)=12),"Y","N")</f>
        <v/>
      </c>
      <c r="AD130" s="21">
        <f>IF((Y130+AB130)=0,0,AB130/(Y130+AB130))</f>
        <v/>
      </c>
      <c r="AE130">
        <f>IF(AND(AC130="Y",OR(AD130&lt;CONFIG!$B$8,AD130&gt;CONFIG!$B$9)),"Y","N")</f>
        <v/>
      </c>
      <c r="AF130" s="19">
        <f>IF(AE130="Y",(Y130+AB130)*0.8,Y130)</f>
        <v/>
      </c>
      <c r="AG130" s="19">
        <f>IF(AE130="Y",(Y130+AB130)*0.2,AB130)</f>
        <v/>
      </c>
      <c r="AI130" s="18">
        <f>DATA!A130</f>
        <v/>
      </c>
      <c r="AJ130">
        <f>DATA!B130</f>
        <v/>
      </c>
      <c r="AK130" s="19">
        <f>AW129</f>
        <v/>
      </c>
      <c r="AL130" s="19">
        <f>AX129</f>
        <v/>
      </c>
      <c r="AM130" s="19">
        <f>AK130+AL130</f>
        <v/>
      </c>
      <c r="AN130" s="20">
        <f>DATA!E130</f>
        <v/>
      </c>
      <c r="AO130" s="20">
        <f>DATA!F130</f>
        <v/>
      </c>
      <c r="AP130" s="19">
        <f>AK130*(1+AN130)</f>
        <v/>
      </c>
      <c r="AQ130" s="19">
        <f>AL130*(1+AO130)</f>
        <v/>
      </c>
      <c r="AR130" s="19">
        <f>IF(AND(CONFIG!$B$11="Annual",MONTH(AI130)=7),(AP130+AQ130)*CONFIG!$B$6/12,AR129)</f>
        <v/>
      </c>
      <c r="AS130" s="19">
        <f>MAX(0,AQ130-AR130)</f>
        <v/>
      </c>
      <c r="AT130">
        <f>IF(OR(MONTH(AI130)=3,MONTH(AI130)=6,MONTH(AI130)=9,MONTH(AI130)=12),"Y","N")</f>
        <v/>
      </c>
      <c r="AU130" s="21">
        <f>IF((AP130+AS130)=0,0,AS130/(AP130+AS130))</f>
        <v/>
      </c>
      <c r="AV130">
        <f>IF(AND(AT130="Y",OR(AU130&lt;CONFIG!$B$8,AU130&gt;CONFIG!$B$9)),"Y","N")</f>
        <v/>
      </c>
      <c r="AW130" s="19">
        <f>IF(AV130="Y",(AP130+AS130)*0.8,AP130)</f>
        <v/>
      </c>
      <c r="AX130" s="19">
        <f>IF(AV130="Y",(AP130+AS130)*0.2,AS130)</f>
        <v/>
      </c>
    </row>
    <row r="131">
      <c r="A131" s="18">
        <f>DATA!A131</f>
        <v/>
      </c>
      <c r="B131">
        <f>DATA!B131</f>
        <v/>
      </c>
      <c r="C131" s="19">
        <f>O130</f>
        <v/>
      </c>
      <c r="D131" s="19">
        <f>P130</f>
        <v/>
      </c>
      <c r="E131" s="19">
        <f>C131+D131</f>
        <v/>
      </c>
      <c r="F131" s="20">
        <f>DATA!C131</f>
        <v/>
      </c>
      <c r="G131" s="20">
        <f>DATA!F131</f>
        <v/>
      </c>
      <c r="H131" s="19">
        <f>C131*(1+F131)</f>
        <v/>
      </c>
      <c r="I131" s="19">
        <f>D131*(1+G131)</f>
        <v/>
      </c>
      <c r="J131" s="19">
        <f>IF(AND(CONFIG!$B$11="Annual",MONTH(A131)=7),(H131+I131)*CONFIG!$B$6/12,J130)</f>
        <v/>
      </c>
      <c r="K131" s="19">
        <f>MAX(0,I131-J131)</f>
        <v/>
      </c>
      <c r="L131">
        <f>IF(OR(MONTH(A131)=3,MONTH(A131)=6,MONTH(A131)=9,MONTH(A131)=12),"Y","N")</f>
        <v/>
      </c>
      <c r="M131" s="21">
        <f>IF((H131+K131)=0,0,K131/(H131+K131))</f>
        <v/>
      </c>
      <c r="N131">
        <f>IF(AND(L131="Y",OR(M131&lt;CONFIG!$B$8,M131&gt;CONFIG!$B$9)),"Y","N")</f>
        <v/>
      </c>
      <c r="O131" s="19">
        <f>IF(N131="Y",(H131+K131)*0.8,H131)</f>
        <v/>
      </c>
      <c r="P131" s="19">
        <f>IF(N131="Y",(H131+K131)*0.2,K131)</f>
        <v/>
      </c>
      <c r="R131" s="18">
        <f>DATA!A131</f>
        <v/>
      </c>
      <c r="S131">
        <f>DATA!B131</f>
        <v/>
      </c>
      <c r="T131" s="19">
        <f>AF130</f>
        <v/>
      </c>
      <c r="U131" s="19">
        <f>AG130</f>
        <v/>
      </c>
      <c r="V131" s="19">
        <f>T131+U131</f>
        <v/>
      </c>
      <c r="W131" s="20">
        <f>DATA!D131</f>
        <v/>
      </c>
      <c r="X131" s="20">
        <f>DATA!F131</f>
        <v/>
      </c>
      <c r="Y131" s="19">
        <f>T131*(1+W131)</f>
        <v/>
      </c>
      <c r="Z131" s="19">
        <f>U131*(1+X131)</f>
        <v/>
      </c>
      <c r="AA131" s="19">
        <f>IF(AND(CONFIG!$B$11="Annual",MONTH(R131)=7),(Y131+Z131)*CONFIG!$B$6/12,AA130)</f>
        <v/>
      </c>
      <c r="AB131" s="19">
        <f>MAX(0,Z131-AA131)</f>
        <v/>
      </c>
      <c r="AC131">
        <f>IF(OR(MONTH(R131)=3,MONTH(R131)=6,MONTH(R131)=9,MONTH(R131)=12),"Y","N")</f>
        <v/>
      </c>
      <c r="AD131" s="21">
        <f>IF((Y131+AB131)=0,0,AB131/(Y131+AB131))</f>
        <v/>
      </c>
      <c r="AE131">
        <f>IF(AND(AC131="Y",OR(AD131&lt;CONFIG!$B$8,AD131&gt;CONFIG!$B$9)),"Y","N")</f>
        <v/>
      </c>
      <c r="AF131" s="19">
        <f>IF(AE131="Y",(Y131+AB131)*0.8,Y131)</f>
        <v/>
      </c>
      <c r="AG131" s="19">
        <f>IF(AE131="Y",(Y131+AB131)*0.2,AB131)</f>
        <v/>
      </c>
      <c r="AI131" s="18">
        <f>DATA!A131</f>
        <v/>
      </c>
      <c r="AJ131">
        <f>DATA!B131</f>
        <v/>
      </c>
      <c r="AK131" s="19">
        <f>AW130</f>
        <v/>
      </c>
      <c r="AL131" s="19">
        <f>AX130</f>
        <v/>
      </c>
      <c r="AM131" s="19">
        <f>AK131+AL131</f>
        <v/>
      </c>
      <c r="AN131" s="20">
        <f>DATA!E131</f>
        <v/>
      </c>
      <c r="AO131" s="20">
        <f>DATA!F131</f>
        <v/>
      </c>
      <c r="AP131" s="19">
        <f>AK131*(1+AN131)</f>
        <v/>
      </c>
      <c r="AQ131" s="19">
        <f>AL131*(1+AO131)</f>
        <v/>
      </c>
      <c r="AR131" s="19">
        <f>IF(AND(CONFIG!$B$11="Annual",MONTH(AI131)=7),(AP131+AQ131)*CONFIG!$B$6/12,AR130)</f>
        <v/>
      </c>
      <c r="AS131" s="19">
        <f>MAX(0,AQ131-AR131)</f>
        <v/>
      </c>
      <c r="AT131">
        <f>IF(OR(MONTH(AI131)=3,MONTH(AI131)=6,MONTH(AI131)=9,MONTH(AI131)=12),"Y","N")</f>
        <v/>
      </c>
      <c r="AU131" s="21">
        <f>IF((AP131+AS131)=0,0,AS131/(AP131+AS131))</f>
        <v/>
      </c>
      <c r="AV131">
        <f>IF(AND(AT131="Y",OR(AU131&lt;CONFIG!$B$8,AU131&gt;CONFIG!$B$9)),"Y","N")</f>
        <v/>
      </c>
      <c r="AW131" s="19">
        <f>IF(AV131="Y",(AP131+AS131)*0.8,AP131)</f>
        <v/>
      </c>
      <c r="AX131" s="19">
        <f>IF(AV131="Y",(AP131+AS131)*0.2,AS131)</f>
        <v/>
      </c>
    </row>
    <row r="132">
      <c r="A132" s="18">
        <f>DATA!A132</f>
        <v/>
      </c>
      <c r="B132">
        <f>DATA!B132</f>
        <v/>
      </c>
      <c r="C132" s="19">
        <f>O131</f>
        <v/>
      </c>
      <c r="D132" s="19">
        <f>P131</f>
        <v/>
      </c>
      <c r="E132" s="19">
        <f>C132+D132</f>
        <v/>
      </c>
      <c r="F132" s="20">
        <f>DATA!C132</f>
        <v/>
      </c>
      <c r="G132" s="20">
        <f>DATA!F132</f>
        <v/>
      </c>
      <c r="H132" s="19">
        <f>C132*(1+F132)</f>
        <v/>
      </c>
      <c r="I132" s="19">
        <f>D132*(1+G132)</f>
        <v/>
      </c>
      <c r="J132" s="19">
        <f>IF(AND(CONFIG!$B$11="Annual",MONTH(A132)=7),(H132+I132)*CONFIG!$B$6/12,J131)</f>
        <v/>
      </c>
      <c r="K132" s="19">
        <f>MAX(0,I132-J132)</f>
        <v/>
      </c>
      <c r="L132">
        <f>IF(OR(MONTH(A132)=3,MONTH(A132)=6,MONTH(A132)=9,MONTH(A132)=12),"Y","N")</f>
        <v/>
      </c>
      <c r="M132" s="21">
        <f>IF((H132+K132)=0,0,K132/(H132+K132))</f>
        <v/>
      </c>
      <c r="N132">
        <f>IF(AND(L132="Y",OR(M132&lt;CONFIG!$B$8,M132&gt;CONFIG!$B$9)),"Y","N")</f>
        <v/>
      </c>
      <c r="O132" s="19">
        <f>IF(N132="Y",(H132+K132)*0.8,H132)</f>
        <v/>
      </c>
      <c r="P132" s="19">
        <f>IF(N132="Y",(H132+K132)*0.2,K132)</f>
        <v/>
      </c>
      <c r="R132" s="18">
        <f>DATA!A132</f>
        <v/>
      </c>
      <c r="S132">
        <f>DATA!B132</f>
        <v/>
      </c>
      <c r="T132" s="19">
        <f>AF131</f>
        <v/>
      </c>
      <c r="U132" s="19">
        <f>AG131</f>
        <v/>
      </c>
      <c r="V132" s="19">
        <f>T132+U132</f>
        <v/>
      </c>
      <c r="W132" s="20">
        <f>DATA!D132</f>
        <v/>
      </c>
      <c r="X132" s="20">
        <f>DATA!F132</f>
        <v/>
      </c>
      <c r="Y132" s="19">
        <f>T132*(1+W132)</f>
        <v/>
      </c>
      <c r="Z132" s="19">
        <f>U132*(1+X132)</f>
        <v/>
      </c>
      <c r="AA132" s="19">
        <f>IF(AND(CONFIG!$B$11="Annual",MONTH(R132)=7),(Y132+Z132)*CONFIG!$B$6/12,AA131)</f>
        <v/>
      </c>
      <c r="AB132" s="19">
        <f>MAX(0,Z132-AA132)</f>
        <v/>
      </c>
      <c r="AC132">
        <f>IF(OR(MONTH(R132)=3,MONTH(R132)=6,MONTH(R132)=9,MONTH(R132)=12),"Y","N")</f>
        <v/>
      </c>
      <c r="AD132" s="21">
        <f>IF((Y132+AB132)=0,0,AB132/(Y132+AB132))</f>
        <v/>
      </c>
      <c r="AE132">
        <f>IF(AND(AC132="Y",OR(AD132&lt;CONFIG!$B$8,AD132&gt;CONFIG!$B$9)),"Y","N")</f>
        <v/>
      </c>
      <c r="AF132" s="19">
        <f>IF(AE132="Y",(Y132+AB132)*0.8,Y132)</f>
        <v/>
      </c>
      <c r="AG132" s="19">
        <f>IF(AE132="Y",(Y132+AB132)*0.2,AB132)</f>
        <v/>
      </c>
      <c r="AI132" s="18">
        <f>DATA!A132</f>
        <v/>
      </c>
      <c r="AJ132">
        <f>DATA!B132</f>
        <v/>
      </c>
      <c r="AK132" s="19">
        <f>AW131</f>
        <v/>
      </c>
      <c r="AL132" s="19">
        <f>AX131</f>
        <v/>
      </c>
      <c r="AM132" s="19">
        <f>AK132+AL132</f>
        <v/>
      </c>
      <c r="AN132" s="20">
        <f>DATA!E132</f>
        <v/>
      </c>
      <c r="AO132" s="20">
        <f>DATA!F132</f>
        <v/>
      </c>
      <c r="AP132" s="19">
        <f>AK132*(1+AN132)</f>
        <v/>
      </c>
      <c r="AQ132" s="19">
        <f>AL132*(1+AO132)</f>
        <v/>
      </c>
      <c r="AR132" s="19">
        <f>IF(AND(CONFIG!$B$11="Annual",MONTH(AI132)=7),(AP132+AQ132)*CONFIG!$B$6/12,AR131)</f>
        <v/>
      </c>
      <c r="AS132" s="19">
        <f>MAX(0,AQ132-AR132)</f>
        <v/>
      </c>
      <c r="AT132">
        <f>IF(OR(MONTH(AI132)=3,MONTH(AI132)=6,MONTH(AI132)=9,MONTH(AI132)=12),"Y","N")</f>
        <v/>
      </c>
      <c r="AU132" s="21">
        <f>IF((AP132+AS132)=0,0,AS132/(AP132+AS132))</f>
        <v/>
      </c>
      <c r="AV132">
        <f>IF(AND(AT132="Y",OR(AU132&lt;CONFIG!$B$8,AU132&gt;CONFIG!$B$9)),"Y","N")</f>
        <v/>
      </c>
      <c r="AW132" s="19">
        <f>IF(AV132="Y",(AP132+AS132)*0.8,AP132)</f>
        <v/>
      </c>
      <c r="AX132" s="19">
        <f>IF(AV132="Y",(AP132+AS132)*0.2,AS132)</f>
        <v/>
      </c>
    </row>
    <row r="133">
      <c r="A133" s="18">
        <f>DATA!A133</f>
        <v/>
      </c>
      <c r="B133">
        <f>DATA!B133</f>
        <v/>
      </c>
      <c r="C133" s="19">
        <f>O132</f>
        <v/>
      </c>
      <c r="D133" s="19">
        <f>P132</f>
        <v/>
      </c>
      <c r="E133" s="19">
        <f>C133+D133</f>
        <v/>
      </c>
      <c r="F133" s="20">
        <f>DATA!C133</f>
        <v/>
      </c>
      <c r="G133" s="20">
        <f>DATA!F133</f>
        <v/>
      </c>
      <c r="H133" s="19">
        <f>C133*(1+F133)</f>
        <v/>
      </c>
      <c r="I133" s="19">
        <f>D133*(1+G133)</f>
        <v/>
      </c>
      <c r="J133" s="19">
        <f>IF(AND(CONFIG!$B$11="Annual",MONTH(A133)=7),(H133+I133)*CONFIG!$B$6/12,J132)</f>
        <v/>
      </c>
      <c r="K133" s="19">
        <f>MAX(0,I133-J133)</f>
        <v/>
      </c>
      <c r="L133">
        <f>IF(OR(MONTH(A133)=3,MONTH(A133)=6,MONTH(A133)=9,MONTH(A133)=12),"Y","N")</f>
        <v/>
      </c>
      <c r="M133" s="21">
        <f>IF((H133+K133)=0,0,K133/(H133+K133))</f>
        <v/>
      </c>
      <c r="N133">
        <f>IF(AND(L133="Y",OR(M133&lt;CONFIG!$B$8,M133&gt;CONFIG!$B$9)),"Y","N")</f>
        <v/>
      </c>
      <c r="O133" s="19">
        <f>IF(N133="Y",(H133+K133)*0.8,H133)</f>
        <v/>
      </c>
      <c r="P133" s="19">
        <f>IF(N133="Y",(H133+K133)*0.2,K133)</f>
        <v/>
      </c>
      <c r="R133" s="18">
        <f>DATA!A133</f>
        <v/>
      </c>
      <c r="S133">
        <f>DATA!B133</f>
        <v/>
      </c>
      <c r="T133" s="19">
        <f>AF132</f>
        <v/>
      </c>
      <c r="U133" s="19">
        <f>AG132</f>
        <v/>
      </c>
      <c r="V133" s="19">
        <f>T133+U133</f>
        <v/>
      </c>
      <c r="W133" s="20">
        <f>DATA!D133</f>
        <v/>
      </c>
      <c r="X133" s="20">
        <f>DATA!F133</f>
        <v/>
      </c>
      <c r="Y133" s="19">
        <f>T133*(1+W133)</f>
        <v/>
      </c>
      <c r="Z133" s="19">
        <f>U133*(1+X133)</f>
        <v/>
      </c>
      <c r="AA133" s="19">
        <f>IF(AND(CONFIG!$B$11="Annual",MONTH(R133)=7),(Y133+Z133)*CONFIG!$B$6/12,AA132)</f>
        <v/>
      </c>
      <c r="AB133" s="19">
        <f>MAX(0,Z133-AA133)</f>
        <v/>
      </c>
      <c r="AC133">
        <f>IF(OR(MONTH(R133)=3,MONTH(R133)=6,MONTH(R133)=9,MONTH(R133)=12),"Y","N")</f>
        <v/>
      </c>
      <c r="AD133" s="21">
        <f>IF((Y133+AB133)=0,0,AB133/(Y133+AB133))</f>
        <v/>
      </c>
      <c r="AE133">
        <f>IF(AND(AC133="Y",OR(AD133&lt;CONFIG!$B$8,AD133&gt;CONFIG!$B$9)),"Y","N")</f>
        <v/>
      </c>
      <c r="AF133" s="19">
        <f>IF(AE133="Y",(Y133+AB133)*0.8,Y133)</f>
        <v/>
      </c>
      <c r="AG133" s="19">
        <f>IF(AE133="Y",(Y133+AB133)*0.2,AB133)</f>
        <v/>
      </c>
      <c r="AI133" s="18">
        <f>DATA!A133</f>
        <v/>
      </c>
      <c r="AJ133">
        <f>DATA!B133</f>
        <v/>
      </c>
      <c r="AK133" s="19">
        <f>AW132</f>
        <v/>
      </c>
      <c r="AL133" s="19">
        <f>AX132</f>
        <v/>
      </c>
      <c r="AM133" s="19">
        <f>AK133+AL133</f>
        <v/>
      </c>
      <c r="AN133" s="20">
        <f>DATA!E133</f>
        <v/>
      </c>
      <c r="AO133" s="20">
        <f>DATA!F133</f>
        <v/>
      </c>
      <c r="AP133" s="19">
        <f>AK133*(1+AN133)</f>
        <v/>
      </c>
      <c r="AQ133" s="19">
        <f>AL133*(1+AO133)</f>
        <v/>
      </c>
      <c r="AR133" s="19">
        <f>IF(AND(CONFIG!$B$11="Annual",MONTH(AI133)=7),(AP133+AQ133)*CONFIG!$B$6/12,AR132)</f>
        <v/>
      </c>
      <c r="AS133" s="19">
        <f>MAX(0,AQ133-AR133)</f>
        <v/>
      </c>
      <c r="AT133">
        <f>IF(OR(MONTH(AI133)=3,MONTH(AI133)=6,MONTH(AI133)=9,MONTH(AI133)=12),"Y","N")</f>
        <v/>
      </c>
      <c r="AU133" s="21">
        <f>IF((AP133+AS133)=0,0,AS133/(AP133+AS133))</f>
        <v/>
      </c>
      <c r="AV133">
        <f>IF(AND(AT133="Y",OR(AU133&lt;CONFIG!$B$8,AU133&gt;CONFIG!$B$9)),"Y","N")</f>
        <v/>
      </c>
      <c r="AW133" s="19">
        <f>IF(AV133="Y",(AP133+AS133)*0.8,AP133)</f>
        <v/>
      </c>
      <c r="AX133" s="19">
        <f>IF(AV133="Y",(AP133+AS133)*0.2,AS133)</f>
        <v/>
      </c>
    </row>
    <row r="134">
      <c r="A134" s="18">
        <f>DATA!A134</f>
        <v/>
      </c>
      <c r="B134">
        <f>DATA!B134</f>
        <v/>
      </c>
      <c r="C134" s="19">
        <f>O133</f>
        <v/>
      </c>
      <c r="D134" s="19">
        <f>P133</f>
        <v/>
      </c>
      <c r="E134" s="19">
        <f>C134+D134</f>
        <v/>
      </c>
      <c r="F134" s="20">
        <f>DATA!C134</f>
        <v/>
      </c>
      <c r="G134" s="20">
        <f>DATA!F134</f>
        <v/>
      </c>
      <c r="H134" s="19">
        <f>C134*(1+F134)</f>
        <v/>
      </c>
      <c r="I134" s="19">
        <f>D134*(1+G134)</f>
        <v/>
      </c>
      <c r="J134" s="19">
        <f>IF(AND(CONFIG!$B$11="Annual",MONTH(A134)=7),(H134+I134)*CONFIG!$B$6/12,J133)</f>
        <v/>
      </c>
      <c r="K134" s="19">
        <f>MAX(0,I134-J134)</f>
        <v/>
      </c>
      <c r="L134">
        <f>IF(OR(MONTH(A134)=3,MONTH(A134)=6,MONTH(A134)=9,MONTH(A134)=12),"Y","N")</f>
        <v/>
      </c>
      <c r="M134" s="21">
        <f>IF((H134+K134)=0,0,K134/(H134+K134))</f>
        <v/>
      </c>
      <c r="N134">
        <f>IF(AND(L134="Y",OR(M134&lt;CONFIG!$B$8,M134&gt;CONFIG!$B$9)),"Y","N")</f>
        <v/>
      </c>
      <c r="O134" s="19">
        <f>IF(N134="Y",(H134+K134)*0.8,H134)</f>
        <v/>
      </c>
      <c r="P134" s="19">
        <f>IF(N134="Y",(H134+K134)*0.2,K134)</f>
        <v/>
      </c>
      <c r="R134" s="18">
        <f>DATA!A134</f>
        <v/>
      </c>
      <c r="S134">
        <f>DATA!B134</f>
        <v/>
      </c>
      <c r="T134" s="19">
        <f>AF133</f>
        <v/>
      </c>
      <c r="U134" s="19">
        <f>AG133</f>
        <v/>
      </c>
      <c r="V134" s="19">
        <f>T134+U134</f>
        <v/>
      </c>
      <c r="W134" s="20">
        <f>DATA!D134</f>
        <v/>
      </c>
      <c r="X134" s="20">
        <f>DATA!F134</f>
        <v/>
      </c>
      <c r="Y134" s="19">
        <f>T134*(1+W134)</f>
        <v/>
      </c>
      <c r="Z134" s="19">
        <f>U134*(1+X134)</f>
        <v/>
      </c>
      <c r="AA134" s="19">
        <f>IF(AND(CONFIG!$B$11="Annual",MONTH(R134)=7),(Y134+Z134)*CONFIG!$B$6/12,AA133)</f>
        <v/>
      </c>
      <c r="AB134" s="19">
        <f>MAX(0,Z134-AA134)</f>
        <v/>
      </c>
      <c r="AC134">
        <f>IF(OR(MONTH(R134)=3,MONTH(R134)=6,MONTH(R134)=9,MONTH(R134)=12),"Y","N")</f>
        <v/>
      </c>
      <c r="AD134" s="21">
        <f>IF((Y134+AB134)=0,0,AB134/(Y134+AB134))</f>
        <v/>
      </c>
      <c r="AE134">
        <f>IF(AND(AC134="Y",OR(AD134&lt;CONFIG!$B$8,AD134&gt;CONFIG!$B$9)),"Y","N")</f>
        <v/>
      </c>
      <c r="AF134" s="19">
        <f>IF(AE134="Y",(Y134+AB134)*0.8,Y134)</f>
        <v/>
      </c>
      <c r="AG134" s="19">
        <f>IF(AE134="Y",(Y134+AB134)*0.2,AB134)</f>
        <v/>
      </c>
      <c r="AI134" s="18">
        <f>DATA!A134</f>
        <v/>
      </c>
      <c r="AJ134">
        <f>DATA!B134</f>
        <v/>
      </c>
      <c r="AK134" s="19">
        <f>AW133</f>
        <v/>
      </c>
      <c r="AL134" s="19">
        <f>AX133</f>
        <v/>
      </c>
      <c r="AM134" s="19">
        <f>AK134+AL134</f>
        <v/>
      </c>
      <c r="AN134" s="20">
        <f>DATA!E134</f>
        <v/>
      </c>
      <c r="AO134" s="20">
        <f>DATA!F134</f>
        <v/>
      </c>
      <c r="AP134" s="19">
        <f>AK134*(1+AN134)</f>
        <v/>
      </c>
      <c r="AQ134" s="19">
        <f>AL134*(1+AO134)</f>
        <v/>
      </c>
      <c r="AR134" s="19">
        <f>IF(AND(CONFIG!$B$11="Annual",MONTH(AI134)=7),(AP134+AQ134)*CONFIG!$B$6/12,AR133)</f>
        <v/>
      </c>
      <c r="AS134" s="19">
        <f>MAX(0,AQ134-AR134)</f>
        <v/>
      </c>
      <c r="AT134">
        <f>IF(OR(MONTH(AI134)=3,MONTH(AI134)=6,MONTH(AI134)=9,MONTH(AI134)=12),"Y","N")</f>
        <v/>
      </c>
      <c r="AU134" s="21">
        <f>IF((AP134+AS134)=0,0,AS134/(AP134+AS134))</f>
        <v/>
      </c>
      <c r="AV134">
        <f>IF(AND(AT134="Y",OR(AU134&lt;CONFIG!$B$8,AU134&gt;CONFIG!$B$9)),"Y","N")</f>
        <v/>
      </c>
      <c r="AW134" s="19">
        <f>IF(AV134="Y",(AP134+AS134)*0.8,AP134)</f>
        <v/>
      </c>
      <c r="AX134" s="19">
        <f>IF(AV134="Y",(AP134+AS134)*0.2,AS134)</f>
        <v/>
      </c>
    </row>
    <row r="135">
      <c r="A135" s="18">
        <f>DATA!A135</f>
        <v/>
      </c>
      <c r="B135">
        <f>DATA!B135</f>
        <v/>
      </c>
      <c r="C135" s="19">
        <f>O134</f>
        <v/>
      </c>
      <c r="D135" s="19">
        <f>P134</f>
        <v/>
      </c>
      <c r="E135" s="19">
        <f>C135+D135</f>
        <v/>
      </c>
      <c r="F135" s="20">
        <f>DATA!C135</f>
        <v/>
      </c>
      <c r="G135" s="20">
        <f>DATA!F135</f>
        <v/>
      </c>
      <c r="H135" s="19">
        <f>C135*(1+F135)</f>
        <v/>
      </c>
      <c r="I135" s="19">
        <f>D135*(1+G135)</f>
        <v/>
      </c>
      <c r="J135" s="19">
        <f>IF(AND(CONFIG!$B$11="Annual",MONTH(A135)=7),(H135+I135)*CONFIG!$B$6/12,J134)</f>
        <v/>
      </c>
      <c r="K135" s="19">
        <f>MAX(0,I135-J135)</f>
        <v/>
      </c>
      <c r="L135">
        <f>IF(OR(MONTH(A135)=3,MONTH(A135)=6,MONTH(A135)=9,MONTH(A135)=12),"Y","N")</f>
        <v/>
      </c>
      <c r="M135" s="21">
        <f>IF((H135+K135)=0,0,K135/(H135+K135))</f>
        <v/>
      </c>
      <c r="N135">
        <f>IF(AND(L135="Y",OR(M135&lt;CONFIG!$B$8,M135&gt;CONFIG!$B$9)),"Y","N")</f>
        <v/>
      </c>
      <c r="O135" s="19">
        <f>IF(N135="Y",(H135+K135)*0.8,H135)</f>
        <v/>
      </c>
      <c r="P135" s="19">
        <f>IF(N135="Y",(H135+K135)*0.2,K135)</f>
        <v/>
      </c>
      <c r="R135" s="18">
        <f>DATA!A135</f>
        <v/>
      </c>
      <c r="S135">
        <f>DATA!B135</f>
        <v/>
      </c>
      <c r="T135" s="19">
        <f>AF134</f>
        <v/>
      </c>
      <c r="U135" s="19">
        <f>AG134</f>
        <v/>
      </c>
      <c r="V135" s="19">
        <f>T135+U135</f>
        <v/>
      </c>
      <c r="W135" s="20">
        <f>DATA!D135</f>
        <v/>
      </c>
      <c r="X135" s="20">
        <f>DATA!F135</f>
        <v/>
      </c>
      <c r="Y135" s="19">
        <f>T135*(1+W135)</f>
        <v/>
      </c>
      <c r="Z135" s="19">
        <f>U135*(1+X135)</f>
        <v/>
      </c>
      <c r="AA135" s="19">
        <f>IF(AND(CONFIG!$B$11="Annual",MONTH(R135)=7),(Y135+Z135)*CONFIG!$B$6/12,AA134)</f>
        <v/>
      </c>
      <c r="AB135" s="19">
        <f>MAX(0,Z135-AA135)</f>
        <v/>
      </c>
      <c r="AC135">
        <f>IF(OR(MONTH(R135)=3,MONTH(R135)=6,MONTH(R135)=9,MONTH(R135)=12),"Y","N")</f>
        <v/>
      </c>
      <c r="AD135" s="21">
        <f>IF((Y135+AB135)=0,0,AB135/(Y135+AB135))</f>
        <v/>
      </c>
      <c r="AE135">
        <f>IF(AND(AC135="Y",OR(AD135&lt;CONFIG!$B$8,AD135&gt;CONFIG!$B$9)),"Y","N")</f>
        <v/>
      </c>
      <c r="AF135" s="19">
        <f>IF(AE135="Y",(Y135+AB135)*0.8,Y135)</f>
        <v/>
      </c>
      <c r="AG135" s="19">
        <f>IF(AE135="Y",(Y135+AB135)*0.2,AB135)</f>
        <v/>
      </c>
      <c r="AI135" s="18">
        <f>DATA!A135</f>
        <v/>
      </c>
      <c r="AJ135">
        <f>DATA!B135</f>
        <v/>
      </c>
      <c r="AK135" s="19">
        <f>AW134</f>
        <v/>
      </c>
      <c r="AL135" s="19">
        <f>AX134</f>
        <v/>
      </c>
      <c r="AM135" s="19">
        <f>AK135+AL135</f>
        <v/>
      </c>
      <c r="AN135" s="20">
        <f>DATA!E135</f>
        <v/>
      </c>
      <c r="AO135" s="20">
        <f>DATA!F135</f>
        <v/>
      </c>
      <c r="AP135" s="19">
        <f>AK135*(1+AN135)</f>
        <v/>
      </c>
      <c r="AQ135" s="19">
        <f>AL135*(1+AO135)</f>
        <v/>
      </c>
      <c r="AR135" s="19">
        <f>IF(AND(CONFIG!$B$11="Annual",MONTH(AI135)=7),(AP135+AQ135)*CONFIG!$B$6/12,AR134)</f>
        <v/>
      </c>
      <c r="AS135" s="19">
        <f>MAX(0,AQ135-AR135)</f>
        <v/>
      </c>
      <c r="AT135">
        <f>IF(OR(MONTH(AI135)=3,MONTH(AI135)=6,MONTH(AI135)=9,MONTH(AI135)=12),"Y","N")</f>
        <v/>
      </c>
      <c r="AU135" s="21">
        <f>IF((AP135+AS135)=0,0,AS135/(AP135+AS135))</f>
        <v/>
      </c>
      <c r="AV135">
        <f>IF(AND(AT135="Y",OR(AU135&lt;CONFIG!$B$8,AU135&gt;CONFIG!$B$9)),"Y","N")</f>
        <v/>
      </c>
      <c r="AW135" s="19">
        <f>IF(AV135="Y",(AP135+AS135)*0.8,AP135)</f>
        <v/>
      </c>
      <c r="AX135" s="19">
        <f>IF(AV135="Y",(AP135+AS135)*0.2,AS135)</f>
        <v/>
      </c>
    </row>
    <row r="136">
      <c r="A136" s="18">
        <f>DATA!A136</f>
        <v/>
      </c>
      <c r="B136">
        <f>DATA!B136</f>
        <v/>
      </c>
      <c r="C136" s="19">
        <f>O135</f>
        <v/>
      </c>
      <c r="D136" s="19">
        <f>P135</f>
        <v/>
      </c>
      <c r="E136" s="19">
        <f>C136+D136</f>
        <v/>
      </c>
      <c r="F136" s="20">
        <f>DATA!C136</f>
        <v/>
      </c>
      <c r="G136" s="20">
        <f>DATA!F136</f>
        <v/>
      </c>
      <c r="H136" s="19">
        <f>C136*(1+F136)</f>
        <v/>
      </c>
      <c r="I136" s="19">
        <f>D136*(1+G136)</f>
        <v/>
      </c>
      <c r="J136" s="19">
        <f>IF(AND(CONFIG!$B$11="Annual",MONTH(A136)=7),(H136+I136)*CONFIG!$B$6/12,J135)</f>
        <v/>
      </c>
      <c r="K136" s="19">
        <f>MAX(0,I136-J136)</f>
        <v/>
      </c>
      <c r="L136">
        <f>IF(OR(MONTH(A136)=3,MONTH(A136)=6,MONTH(A136)=9,MONTH(A136)=12),"Y","N")</f>
        <v/>
      </c>
      <c r="M136" s="21">
        <f>IF((H136+K136)=0,0,K136/(H136+K136))</f>
        <v/>
      </c>
      <c r="N136">
        <f>IF(AND(L136="Y",OR(M136&lt;CONFIG!$B$8,M136&gt;CONFIG!$B$9)),"Y","N")</f>
        <v/>
      </c>
      <c r="O136" s="19">
        <f>IF(N136="Y",(H136+K136)*0.8,H136)</f>
        <v/>
      </c>
      <c r="P136" s="19">
        <f>IF(N136="Y",(H136+K136)*0.2,K136)</f>
        <v/>
      </c>
      <c r="R136" s="18">
        <f>DATA!A136</f>
        <v/>
      </c>
      <c r="S136">
        <f>DATA!B136</f>
        <v/>
      </c>
      <c r="T136" s="19">
        <f>AF135</f>
        <v/>
      </c>
      <c r="U136" s="19">
        <f>AG135</f>
        <v/>
      </c>
      <c r="V136" s="19">
        <f>T136+U136</f>
        <v/>
      </c>
      <c r="W136" s="20">
        <f>DATA!D136</f>
        <v/>
      </c>
      <c r="X136" s="20">
        <f>DATA!F136</f>
        <v/>
      </c>
      <c r="Y136" s="19">
        <f>T136*(1+W136)</f>
        <v/>
      </c>
      <c r="Z136" s="19">
        <f>U136*(1+X136)</f>
        <v/>
      </c>
      <c r="AA136" s="19">
        <f>IF(AND(CONFIG!$B$11="Annual",MONTH(R136)=7),(Y136+Z136)*CONFIG!$B$6/12,AA135)</f>
        <v/>
      </c>
      <c r="AB136" s="19">
        <f>MAX(0,Z136-AA136)</f>
        <v/>
      </c>
      <c r="AC136">
        <f>IF(OR(MONTH(R136)=3,MONTH(R136)=6,MONTH(R136)=9,MONTH(R136)=12),"Y","N")</f>
        <v/>
      </c>
      <c r="AD136" s="21">
        <f>IF((Y136+AB136)=0,0,AB136/(Y136+AB136))</f>
        <v/>
      </c>
      <c r="AE136">
        <f>IF(AND(AC136="Y",OR(AD136&lt;CONFIG!$B$8,AD136&gt;CONFIG!$B$9)),"Y","N")</f>
        <v/>
      </c>
      <c r="AF136" s="19">
        <f>IF(AE136="Y",(Y136+AB136)*0.8,Y136)</f>
        <v/>
      </c>
      <c r="AG136" s="19">
        <f>IF(AE136="Y",(Y136+AB136)*0.2,AB136)</f>
        <v/>
      </c>
      <c r="AI136" s="18">
        <f>DATA!A136</f>
        <v/>
      </c>
      <c r="AJ136">
        <f>DATA!B136</f>
        <v/>
      </c>
      <c r="AK136" s="19">
        <f>AW135</f>
        <v/>
      </c>
      <c r="AL136" s="19">
        <f>AX135</f>
        <v/>
      </c>
      <c r="AM136" s="19">
        <f>AK136+AL136</f>
        <v/>
      </c>
      <c r="AN136" s="20">
        <f>DATA!E136</f>
        <v/>
      </c>
      <c r="AO136" s="20">
        <f>DATA!F136</f>
        <v/>
      </c>
      <c r="AP136" s="19">
        <f>AK136*(1+AN136)</f>
        <v/>
      </c>
      <c r="AQ136" s="19">
        <f>AL136*(1+AO136)</f>
        <v/>
      </c>
      <c r="AR136" s="19">
        <f>IF(AND(CONFIG!$B$11="Annual",MONTH(AI136)=7),(AP136+AQ136)*CONFIG!$B$6/12,AR135)</f>
        <v/>
      </c>
      <c r="AS136" s="19">
        <f>MAX(0,AQ136-AR136)</f>
        <v/>
      </c>
      <c r="AT136">
        <f>IF(OR(MONTH(AI136)=3,MONTH(AI136)=6,MONTH(AI136)=9,MONTH(AI136)=12),"Y","N")</f>
        <v/>
      </c>
      <c r="AU136" s="21">
        <f>IF((AP136+AS136)=0,0,AS136/(AP136+AS136))</f>
        <v/>
      </c>
      <c r="AV136">
        <f>IF(AND(AT136="Y",OR(AU136&lt;CONFIG!$B$8,AU136&gt;CONFIG!$B$9)),"Y","N")</f>
        <v/>
      </c>
      <c r="AW136" s="19">
        <f>IF(AV136="Y",(AP136+AS136)*0.8,AP136)</f>
        <v/>
      </c>
      <c r="AX136" s="19">
        <f>IF(AV136="Y",(AP136+AS136)*0.2,AS136)</f>
        <v/>
      </c>
    </row>
    <row r="137">
      <c r="A137" s="18">
        <f>DATA!A137</f>
        <v/>
      </c>
      <c r="B137">
        <f>DATA!B137</f>
        <v/>
      </c>
      <c r="C137" s="19">
        <f>O136</f>
        <v/>
      </c>
      <c r="D137" s="19">
        <f>P136</f>
        <v/>
      </c>
      <c r="E137" s="19">
        <f>C137+D137</f>
        <v/>
      </c>
      <c r="F137" s="20">
        <f>DATA!C137</f>
        <v/>
      </c>
      <c r="G137" s="20">
        <f>DATA!F137</f>
        <v/>
      </c>
      <c r="H137" s="19">
        <f>C137*(1+F137)</f>
        <v/>
      </c>
      <c r="I137" s="19">
        <f>D137*(1+G137)</f>
        <v/>
      </c>
      <c r="J137" s="19">
        <f>IF(AND(CONFIG!$B$11="Annual",MONTH(A137)=7),(H137+I137)*CONFIG!$B$6/12,J136)</f>
        <v/>
      </c>
      <c r="K137" s="19">
        <f>MAX(0,I137-J137)</f>
        <v/>
      </c>
      <c r="L137">
        <f>IF(OR(MONTH(A137)=3,MONTH(A137)=6,MONTH(A137)=9,MONTH(A137)=12),"Y","N")</f>
        <v/>
      </c>
      <c r="M137" s="21">
        <f>IF((H137+K137)=0,0,K137/(H137+K137))</f>
        <v/>
      </c>
      <c r="N137">
        <f>IF(AND(L137="Y",OR(M137&lt;CONFIG!$B$8,M137&gt;CONFIG!$B$9)),"Y","N")</f>
        <v/>
      </c>
      <c r="O137" s="19">
        <f>IF(N137="Y",(H137+K137)*0.8,H137)</f>
        <v/>
      </c>
      <c r="P137" s="19">
        <f>IF(N137="Y",(H137+K137)*0.2,K137)</f>
        <v/>
      </c>
      <c r="R137" s="18">
        <f>DATA!A137</f>
        <v/>
      </c>
      <c r="S137">
        <f>DATA!B137</f>
        <v/>
      </c>
      <c r="T137" s="19">
        <f>AF136</f>
        <v/>
      </c>
      <c r="U137" s="19">
        <f>AG136</f>
        <v/>
      </c>
      <c r="V137" s="19">
        <f>T137+U137</f>
        <v/>
      </c>
      <c r="W137" s="20">
        <f>DATA!D137</f>
        <v/>
      </c>
      <c r="X137" s="20">
        <f>DATA!F137</f>
        <v/>
      </c>
      <c r="Y137" s="19">
        <f>T137*(1+W137)</f>
        <v/>
      </c>
      <c r="Z137" s="19">
        <f>U137*(1+X137)</f>
        <v/>
      </c>
      <c r="AA137" s="19">
        <f>IF(AND(CONFIG!$B$11="Annual",MONTH(R137)=7),(Y137+Z137)*CONFIG!$B$6/12,AA136)</f>
        <v/>
      </c>
      <c r="AB137" s="19">
        <f>MAX(0,Z137-AA137)</f>
        <v/>
      </c>
      <c r="AC137">
        <f>IF(OR(MONTH(R137)=3,MONTH(R137)=6,MONTH(R137)=9,MONTH(R137)=12),"Y","N")</f>
        <v/>
      </c>
      <c r="AD137" s="21">
        <f>IF((Y137+AB137)=0,0,AB137/(Y137+AB137))</f>
        <v/>
      </c>
      <c r="AE137">
        <f>IF(AND(AC137="Y",OR(AD137&lt;CONFIG!$B$8,AD137&gt;CONFIG!$B$9)),"Y","N")</f>
        <v/>
      </c>
      <c r="AF137" s="19">
        <f>IF(AE137="Y",(Y137+AB137)*0.8,Y137)</f>
        <v/>
      </c>
      <c r="AG137" s="19">
        <f>IF(AE137="Y",(Y137+AB137)*0.2,AB137)</f>
        <v/>
      </c>
      <c r="AI137" s="18">
        <f>DATA!A137</f>
        <v/>
      </c>
      <c r="AJ137">
        <f>DATA!B137</f>
        <v/>
      </c>
      <c r="AK137" s="19">
        <f>AW136</f>
        <v/>
      </c>
      <c r="AL137" s="19">
        <f>AX136</f>
        <v/>
      </c>
      <c r="AM137" s="19">
        <f>AK137+AL137</f>
        <v/>
      </c>
      <c r="AN137" s="20">
        <f>DATA!E137</f>
        <v/>
      </c>
      <c r="AO137" s="20">
        <f>DATA!F137</f>
        <v/>
      </c>
      <c r="AP137" s="19">
        <f>AK137*(1+AN137)</f>
        <v/>
      </c>
      <c r="AQ137" s="19">
        <f>AL137*(1+AO137)</f>
        <v/>
      </c>
      <c r="AR137" s="19">
        <f>IF(AND(CONFIG!$B$11="Annual",MONTH(AI137)=7),(AP137+AQ137)*CONFIG!$B$6/12,AR136)</f>
        <v/>
      </c>
      <c r="AS137" s="19">
        <f>MAX(0,AQ137-AR137)</f>
        <v/>
      </c>
      <c r="AT137">
        <f>IF(OR(MONTH(AI137)=3,MONTH(AI137)=6,MONTH(AI137)=9,MONTH(AI137)=12),"Y","N")</f>
        <v/>
      </c>
      <c r="AU137" s="21">
        <f>IF((AP137+AS137)=0,0,AS137/(AP137+AS137))</f>
        <v/>
      </c>
      <c r="AV137">
        <f>IF(AND(AT137="Y",OR(AU137&lt;CONFIG!$B$8,AU137&gt;CONFIG!$B$9)),"Y","N")</f>
        <v/>
      </c>
      <c r="AW137" s="19">
        <f>IF(AV137="Y",(AP137+AS137)*0.8,AP137)</f>
        <v/>
      </c>
      <c r="AX137" s="19">
        <f>IF(AV137="Y",(AP137+AS137)*0.2,AS137)</f>
        <v/>
      </c>
    </row>
    <row r="138">
      <c r="A138" s="18">
        <f>DATA!A138</f>
        <v/>
      </c>
      <c r="B138">
        <f>DATA!B138</f>
        <v/>
      </c>
      <c r="C138" s="19">
        <f>O137</f>
        <v/>
      </c>
      <c r="D138" s="19">
        <f>P137</f>
        <v/>
      </c>
      <c r="E138" s="19">
        <f>C138+D138</f>
        <v/>
      </c>
      <c r="F138" s="20">
        <f>DATA!C138</f>
        <v/>
      </c>
      <c r="G138" s="20">
        <f>DATA!F138</f>
        <v/>
      </c>
      <c r="H138" s="19">
        <f>C138*(1+F138)</f>
        <v/>
      </c>
      <c r="I138" s="19">
        <f>D138*(1+G138)</f>
        <v/>
      </c>
      <c r="J138" s="19">
        <f>IF(AND(CONFIG!$B$11="Annual",MONTH(A138)=7),(H138+I138)*CONFIG!$B$6/12,J137)</f>
        <v/>
      </c>
      <c r="K138" s="19">
        <f>MAX(0,I138-J138)</f>
        <v/>
      </c>
      <c r="L138">
        <f>IF(OR(MONTH(A138)=3,MONTH(A138)=6,MONTH(A138)=9,MONTH(A138)=12),"Y","N")</f>
        <v/>
      </c>
      <c r="M138" s="21">
        <f>IF((H138+K138)=0,0,K138/(H138+K138))</f>
        <v/>
      </c>
      <c r="N138">
        <f>IF(AND(L138="Y",OR(M138&lt;CONFIG!$B$8,M138&gt;CONFIG!$B$9)),"Y","N")</f>
        <v/>
      </c>
      <c r="O138" s="19">
        <f>IF(N138="Y",(H138+K138)*0.8,H138)</f>
        <v/>
      </c>
      <c r="P138" s="19">
        <f>IF(N138="Y",(H138+K138)*0.2,K138)</f>
        <v/>
      </c>
      <c r="R138" s="18">
        <f>DATA!A138</f>
        <v/>
      </c>
      <c r="S138">
        <f>DATA!B138</f>
        <v/>
      </c>
      <c r="T138" s="19">
        <f>AF137</f>
        <v/>
      </c>
      <c r="U138" s="19">
        <f>AG137</f>
        <v/>
      </c>
      <c r="V138" s="19">
        <f>T138+U138</f>
        <v/>
      </c>
      <c r="W138" s="20">
        <f>DATA!D138</f>
        <v/>
      </c>
      <c r="X138" s="20">
        <f>DATA!F138</f>
        <v/>
      </c>
      <c r="Y138" s="19">
        <f>T138*(1+W138)</f>
        <v/>
      </c>
      <c r="Z138" s="19">
        <f>U138*(1+X138)</f>
        <v/>
      </c>
      <c r="AA138" s="19">
        <f>IF(AND(CONFIG!$B$11="Annual",MONTH(R138)=7),(Y138+Z138)*CONFIG!$B$6/12,AA137)</f>
        <v/>
      </c>
      <c r="AB138" s="19">
        <f>MAX(0,Z138-AA138)</f>
        <v/>
      </c>
      <c r="AC138">
        <f>IF(OR(MONTH(R138)=3,MONTH(R138)=6,MONTH(R138)=9,MONTH(R138)=12),"Y","N")</f>
        <v/>
      </c>
      <c r="AD138" s="21">
        <f>IF((Y138+AB138)=0,0,AB138/(Y138+AB138))</f>
        <v/>
      </c>
      <c r="AE138">
        <f>IF(AND(AC138="Y",OR(AD138&lt;CONFIG!$B$8,AD138&gt;CONFIG!$B$9)),"Y","N")</f>
        <v/>
      </c>
      <c r="AF138" s="19">
        <f>IF(AE138="Y",(Y138+AB138)*0.8,Y138)</f>
        <v/>
      </c>
      <c r="AG138" s="19">
        <f>IF(AE138="Y",(Y138+AB138)*0.2,AB138)</f>
        <v/>
      </c>
      <c r="AI138" s="18">
        <f>DATA!A138</f>
        <v/>
      </c>
      <c r="AJ138">
        <f>DATA!B138</f>
        <v/>
      </c>
      <c r="AK138" s="19">
        <f>AW137</f>
        <v/>
      </c>
      <c r="AL138" s="19">
        <f>AX137</f>
        <v/>
      </c>
      <c r="AM138" s="19">
        <f>AK138+AL138</f>
        <v/>
      </c>
      <c r="AN138" s="20">
        <f>DATA!E138</f>
        <v/>
      </c>
      <c r="AO138" s="20">
        <f>DATA!F138</f>
        <v/>
      </c>
      <c r="AP138" s="19">
        <f>AK138*(1+AN138)</f>
        <v/>
      </c>
      <c r="AQ138" s="19">
        <f>AL138*(1+AO138)</f>
        <v/>
      </c>
      <c r="AR138" s="19">
        <f>IF(AND(CONFIG!$B$11="Annual",MONTH(AI138)=7),(AP138+AQ138)*CONFIG!$B$6/12,AR137)</f>
        <v/>
      </c>
      <c r="AS138" s="19">
        <f>MAX(0,AQ138-AR138)</f>
        <v/>
      </c>
      <c r="AT138">
        <f>IF(OR(MONTH(AI138)=3,MONTH(AI138)=6,MONTH(AI138)=9,MONTH(AI138)=12),"Y","N")</f>
        <v/>
      </c>
      <c r="AU138" s="21">
        <f>IF((AP138+AS138)=0,0,AS138/(AP138+AS138))</f>
        <v/>
      </c>
      <c r="AV138">
        <f>IF(AND(AT138="Y",OR(AU138&lt;CONFIG!$B$8,AU138&gt;CONFIG!$B$9)),"Y","N")</f>
        <v/>
      </c>
      <c r="AW138" s="19">
        <f>IF(AV138="Y",(AP138+AS138)*0.8,AP138)</f>
        <v/>
      </c>
      <c r="AX138" s="19">
        <f>IF(AV138="Y",(AP138+AS138)*0.2,AS138)</f>
        <v/>
      </c>
    </row>
    <row r="139">
      <c r="A139" s="18">
        <f>DATA!A139</f>
        <v/>
      </c>
      <c r="B139">
        <f>DATA!B139</f>
        <v/>
      </c>
      <c r="C139" s="19">
        <f>O138</f>
        <v/>
      </c>
      <c r="D139" s="19">
        <f>P138</f>
        <v/>
      </c>
      <c r="E139" s="19">
        <f>C139+D139</f>
        <v/>
      </c>
      <c r="F139" s="20">
        <f>DATA!C139</f>
        <v/>
      </c>
      <c r="G139" s="20">
        <f>DATA!F139</f>
        <v/>
      </c>
      <c r="H139" s="19">
        <f>C139*(1+F139)</f>
        <v/>
      </c>
      <c r="I139" s="19">
        <f>D139*(1+G139)</f>
        <v/>
      </c>
      <c r="J139" s="19">
        <f>IF(AND(CONFIG!$B$11="Annual",MONTH(A139)=7),(H139+I139)*CONFIG!$B$6/12,J138)</f>
        <v/>
      </c>
      <c r="K139" s="19">
        <f>MAX(0,I139-J139)</f>
        <v/>
      </c>
      <c r="L139">
        <f>IF(OR(MONTH(A139)=3,MONTH(A139)=6,MONTH(A139)=9,MONTH(A139)=12),"Y","N")</f>
        <v/>
      </c>
      <c r="M139" s="21">
        <f>IF((H139+K139)=0,0,K139/(H139+K139))</f>
        <v/>
      </c>
      <c r="N139">
        <f>IF(AND(L139="Y",OR(M139&lt;CONFIG!$B$8,M139&gt;CONFIG!$B$9)),"Y","N")</f>
        <v/>
      </c>
      <c r="O139" s="19">
        <f>IF(N139="Y",(H139+K139)*0.8,H139)</f>
        <v/>
      </c>
      <c r="P139" s="19">
        <f>IF(N139="Y",(H139+K139)*0.2,K139)</f>
        <v/>
      </c>
      <c r="R139" s="18">
        <f>DATA!A139</f>
        <v/>
      </c>
      <c r="S139">
        <f>DATA!B139</f>
        <v/>
      </c>
      <c r="T139" s="19">
        <f>AF138</f>
        <v/>
      </c>
      <c r="U139" s="19">
        <f>AG138</f>
        <v/>
      </c>
      <c r="V139" s="19">
        <f>T139+U139</f>
        <v/>
      </c>
      <c r="W139" s="20">
        <f>DATA!D139</f>
        <v/>
      </c>
      <c r="X139" s="20">
        <f>DATA!F139</f>
        <v/>
      </c>
      <c r="Y139" s="19">
        <f>T139*(1+W139)</f>
        <v/>
      </c>
      <c r="Z139" s="19">
        <f>U139*(1+X139)</f>
        <v/>
      </c>
      <c r="AA139" s="19">
        <f>IF(AND(CONFIG!$B$11="Annual",MONTH(R139)=7),(Y139+Z139)*CONFIG!$B$6/12,AA138)</f>
        <v/>
      </c>
      <c r="AB139" s="19">
        <f>MAX(0,Z139-AA139)</f>
        <v/>
      </c>
      <c r="AC139">
        <f>IF(OR(MONTH(R139)=3,MONTH(R139)=6,MONTH(R139)=9,MONTH(R139)=12),"Y","N")</f>
        <v/>
      </c>
      <c r="AD139" s="21">
        <f>IF((Y139+AB139)=0,0,AB139/(Y139+AB139))</f>
        <v/>
      </c>
      <c r="AE139">
        <f>IF(AND(AC139="Y",OR(AD139&lt;CONFIG!$B$8,AD139&gt;CONFIG!$B$9)),"Y","N")</f>
        <v/>
      </c>
      <c r="AF139" s="19">
        <f>IF(AE139="Y",(Y139+AB139)*0.8,Y139)</f>
        <v/>
      </c>
      <c r="AG139" s="19">
        <f>IF(AE139="Y",(Y139+AB139)*0.2,AB139)</f>
        <v/>
      </c>
      <c r="AI139" s="18">
        <f>DATA!A139</f>
        <v/>
      </c>
      <c r="AJ139">
        <f>DATA!B139</f>
        <v/>
      </c>
      <c r="AK139" s="19">
        <f>AW138</f>
        <v/>
      </c>
      <c r="AL139" s="19">
        <f>AX138</f>
        <v/>
      </c>
      <c r="AM139" s="19">
        <f>AK139+AL139</f>
        <v/>
      </c>
      <c r="AN139" s="20">
        <f>DATA!E139</f>
        <v/>
      </c>
      <c r="AO139" s="20">
        <f>DATA!F139</f>
        <v/>
      </c>
      <c r="AP139" s="19">
        <f>AK139*(1+AN139)</f>
        <v/>
      </c>
      <c r="AQ139" s="19">
        <f>AL139*(1+AO139)</f>
        <v/>
      </c>
      <c r="AR139" s="19">
        <f>IF(AND(CONFIG!$B$11="Annual",MONTH(AI139)=7),(AP139+AQ139)*CONFIG!$B$6/12,AR138)</f>
        <v/>
      </c>
      <c r="AS139" s="19">
        <f>MAX(0,AQ139-AR139)</f>
        <v/>
      </c>
      <c r="AT139">
        <f>IF(OR(MONTH(AI139)=3,MONTH(AI139)=6,MONTH(AI139)=9,MONTH(AI139)=12),"Y","N")</f>
        <v/>
      </c>
      <c r="AU139" s="21">
        <f>IF((AP139+AS139)=0,0,AS139/(AP139+AS139))</f>
        <v/>
      </c>
      <c r="AV139">
        <f>IF(AND(AT139="Y",OR(AU139&lt;CONFIG!$B$8,AU139&gt;CONFIG!$B$9)),"Y","N")</f>
        <v/>
      </c>
      <c r="AW139" s="19">
        <f>IF(AV139="Y",(AP139+AS139)*0.8,AP139)</f>
        <v/>
      </c>
      <c r="AX139" s="19">
        <f>IF(AV139="Y",(AP139+AS139)*0.2,AS139)</f>
        <v/>
      </c>
    </row>
    <row r="140">
      <c r="A140" s="18">
        <f>DATA!A140</f>
        <v/>
      </c>
      <c r="B140">
        <f>DATA!B140</f>
        <v/>
      </c>
      <c r="C140" s="19">
        <f>O139</f>
        <v/>
      </c>
      <c r="D140" s="19">
        <f>P139</f>
        <v/>
      </c>
      <c r="E140" s="19">
        <f>C140+D140</f>
        <v/>
      </c>
      <c r="F140" s="20">
        <f>DATA!C140</f>
        <v/>
      </c>
      <c r="G140" s="20">
        <f>DATA!F140</f>
        <v/>
      </c>
      <c r="H140" s="19">
        <f>C140*(1+F140)</f>
        <v/>
      </c>
      <c r="I140" s="19">
        <f>D140*(1+G140)</f>
        <v/>
      </c>
      <c r="J140" s="19">
        <f>IF(AND(CONFIG!$B$11="Annual",MONTH(A140)=7),(H140+I140)*CONFIG!$B$6/12,J139)</f>
        <v/>
      </c>
      <c r="K140" s="19">
        <f>MAX(0,I140-J140)</f>
        <v/>
      </c>
      <c r="L140">
        <f>IF(OR(MONTH(A140)=3,MONTH(A140)=6,MONTH(A140)=9,MONTH(A140)=12),"Y","N")</f>
        <v/>
      </c>
      <c r="M140" s="21">
        <f>IF((H140+K140)=0,0,K140/(H140+K140))</f>
        <v/>
      </c>
      <c r="N140">
        <f>IF(AND(L140="Y",OR(M140&lt;CONFIG!$B$8,M140&gt;CONFIG!$B$9)),"Y","N")</f>
        <v/>
      </c>
      <c r="O140" s="19">
        <f>IF(N140="Y",(H140+K140)*0.8,H140)</f>
        <v/>
      </c>
      <c r="P140" s="19">
        <f>IF(N140="Y",(H140+K140)*0.2,K140)</f>
        <v/>
      </c>
      <c r="R140" s="18">
        <f>DATA!A140</f>
        <v/>
      </c>
      <c r="S140">
        <f>DATA!B140</f>
        <v/>
      </c>
      <c r="T140" s="19">
        <f>AF139</f>
        <v/>
      </c>
      <c r="U140" s="19">
        <f>AG139</f>
        <v/>
      </c>
      <c r="V140" s="19">
        <f>T140+U140</f>
        <v/>
      </c>
      <c r="W140" s="20">
        <f>DATA!D140</f>
        <v/>
      </c>
      <c r="X140" s="20">
        <f>DATA!F140</f>
        <v/>
      </c>
      <c r="Y140" s="19">
        <f>T140*(1+W140)</f>
        <v/>
      </c>
      <c r="Z140" s="19">
        <f>U140*(1+X140)</f>
        <v/>
      </c>
      <c r="AA140" s="19">
        <f>IF(AND(CONFIG!$B$11="Annual",MONTH(R140)=7),(Y140+Z140)*CONFIG!$B$6/12,AA139)</f>
        <v/>
      </c>
      <c r="AB140" s="19">
        <f>MAX(0,Z140-AA140)</f>
        <v/>
      </c>
      <c r="AC140">
        <f>IF(OR(MONTH(R140)=3,MONTH(R140)=6,MONTH(R140)=9,MONTH(R140)=12),"Y","N")</f>
        <v/>
      </c>
      <c r="AD140" s="21">
        <f>IF((Y140+AB140)=0,0,AB140/(Y140+AB140))</f>
        <v/>
      </c>
      <c r="AE140">
        <f>IF(AND(AC140="Y",OR(AD140&lt;CONFIG!$B$8,AD140&gt;CONFIG!$B$9)),"Y","N")</f>
        <v/>
      </c>
      <c r="AF140" s="19">
        <f>IF(AE140="Y",(Y140+AB140)*0.8,Y140)</f>
        <v/>
      </c>
      <c r="AG140" s="19">
        <f>IF(AE140="Y",(Y140+AB140)*0.2,AB140)</f>
        <v/>
      </c>
      <c r="AI140" s="18">
        <f>DATA!A140</f>
        <v/>
      </c>
      <c r="AJ140">
        <f>DATA!B140</f>
        <v/>
      </c>
      <c r="AK140" s="19">
        <f>AW139</f>
        <v/>
      </c>
      <c r="AL140" s="19">
        <f>AX139</f>
        <v/>
      </c>
      <c r="AM140" s="19">
        <f>AK140+AL140</f>
        <v/>
      </c>
      <c r="AN140" s="20">
        <f>DATA!E140</f>
        <v/>
      </c>
      <c r="AO140" s="20">
        <f>DATA!F140</f>
        <v/>
      </c>
      <c r="AP140" s="19">
        <f>AK140*(1+AN140)</f>
        <v/>
      </c>
      <c r="AQ140" s="19">
        <f>AL140*(1+AO140)</f>
        <v/>
      </c>
      <c r="AR140" s="19">
        <f>IF(AND(CONFIG!$B$11="Annual",MONTH(AI140)=7),(AP140+AQ140)*CONFIG!$B$6/12,AR139)</f>
        <v/>
      </c>
      <c r="AS140" s="19">
        <f>MAX(0,AQ140-AR140)</f>
        <v/>
      </c>
      <c r="AT140">
        <f>IF(OR(MONTH(AI140)=3,MONTH(AI140)=6,MONTH(AI140)=9,MONTH(AI140)=12),"Y","N")</f>
        <v/>
      </c>
      <c r="AU140" s="21">
        <f>IF((AP140+AS140)=0,0,AS140/(AP140+AS140))</f>
        <v/>
      </c>
      <c r="AV140">
        <f>IF(AND(AT140="Y",OR(AU140&lt;CONFIG!$B$8,AU140&gt;CONFIG!$B$9)),"Y","N")</f>
        <v/>
      </c>
      <c r="AW140" s="19">
        <f>IF(AV140="Y",(AP140+AS140)*0.8,AP140)</f>
        <v/>
      </c>
      <c r="AX140" s="19">
        <f>IF(AV140="Y",(AP140+AS140)*0.2,AS140)</f>
        <v/>
      </c>
    </row>
    <row r="141">
      <c r="A141" s="18">
        <f>DATA!A141</f>
        <v/>
      </c>
      <c r="B141">
        <f>DATA!B141</f>
        <v/>
      </c>
      <c r="C141" s="19">
        <f>O140</f>
        <v/>
      </c>
      <c r="D141" s="19">
        <f>P140</f>
        <v/>
      </c>
      <c r="E141" s="19">
        <f>C141+D141</f>
        <v/>
      </c>
      <c r="F141" s="20">
        <f>DATA!C141</f>
        <v/>
      </c>
      <c r="G141" s="20">
        <f>DATA!F141</f>
        <v/>
      </c>
      <c r="H141" s="19">
        <f>C141*(1+F141)</f>
        <v/>
      </c>
      <c r="I141" s="19">
        <f>D141*(1+G141)</f>
        <v/>
      </c>
      <c r="J141" s="19">
        <f>IF(AND(CONFIG!$B$11="Annual",MONTH(A141)=7),(H141+I141)*CONFIG!$B$6/12,J140)</f>
        <v/>
      </c>
      <c r="K141" s="19">
        <f>MAX(0,I141-J141)</f>
        <v/>
      </c>
      <c r="L141">
        <f>IF(OR(MONTH(A141)=3,MONTH(A141)=6,MONTH(A141)=9,MONTH(A141)=12),"Y","N")</f>
        <v/>
      </c>
      <c r="M141" s="21">
        <f>IF((H141+K141)=0,0,K141/(H141+K141))</f>
        <v/>
      </c>
      <c r="N141">
        <f>IF(AND(L141="Y",OR(M141&lt;CONFIG!$B$8,M141&gt;CONFIG!$B$9)),"Y","N")</f>
        <v/>
      </c>
      <c r="O141" s="19">
        <f>IF(N141="Y",(H141+K141)*0.8,H141)</f>
        <v/>
      </c>
      <c r="P141" s="19">
        <f>IF(N141="Y",(H141+K141)*0.2,K141)</f>
        <v/>
      </c>
      <c r="R141" s="18">
        <f>DATA!A141</f>
        <v/>
      </c>
      <c r="S141">
        <f>DATA!B141</f>
        <v/>
      </c>
      <c r="T141" s="19">
        <f>AF140</f>
        <v/>
      </c>
      <c r="U141" s="19">
        <f>AG140</f>
        <v/>
      </c>
      <c r="V141" s="19">
        <f>T141+U141</f>
        <v/>
      </c>
      <c r="W141" s="20">
        <f>DATA!D141</f>
        <v/>
      </c>
      <c r="X141" s="20">
        <f>DATA!F141</f>
        <v/>
      </c>
      <c r="Y141" s="19">
        <f>T141*(1+W141)</f>
        <v/>
      </c>
      <c r="Z141" s="19">
        <f>U141*(1+X141)</f>
        <v/>
      </c>
      <c r="AA141" s="19">
        <f>IF(AND(CONFIG!$B$11="Annual",MONTH(R141)=7),(Y141+Z141)*CONFIG!$B$6/12,AA140)</f>
        <v/>
      </c>
      <c r="AB141" s="19">
        <f>MAX(0,Z141-AA141)</f>
        <v/>
      </c>
      <c r="AC141">
        <f>IF(OR(MONTH(R141)=3,MONTH(R141)=6,MONTH(R141)=9,MONTH(R141)=12),"Y","N")</f>
        <v/>
      </c>
      <c r="AD141" s="21">
        <f>IF((Y141+AB141)=0,0,AB141/(Y141+AB141))</f>
        <v/>
      </c>
      <c r="AE141">
        <f>IF(AND(AC141="Y",OR(AD141&lt;CONFIG!$B$8,AD141&gt;CONFIG!$B$9)),"Y","N")</f>
        <v/>
      </c>
      <c r="AF141" s="19">
        <f>IF(AE141="Y",(Y141+AB141)*0.8,Y141)</f>
        <v/>
      </c>
      <c r="AG141" s="19">
        <f>IF(AE141="Y",(Y141+AB141)*0.2,AB141)</f>
        <v/>
      </c>
      <c r="AI141" s="18">
        <f>DATA!A141</f>
        <v/>
      </c>
      <c r="AJ141">
        <f>DATA!B141</f>
        <v/>
      </c>
      <c r="AK141" s="19">
        <f>AW140</f>
        <v/>
      </c>
      <c r="AL141" s="19">
        <f>AX140</f>
        <v/>
      </c>
      <c r="AM141" s="19">
        <f>AK141+AL141</f>
        <v/>
      </c>
      <c r="AN141" s="20">
        <f>DATA!E141</f>
        <v/>
      </c>
      <c r="AO141" s="20">
        <f>DATA!F141</f>
        <v/>
      </c>
      <c r="AP141" s="19">
        <f>AK141*(1+AN141)</f>
        <v/>
      </c>
      <c r="AQ141" s="19">
        <f>AL141*(1+AO141)</f>
        <v/>
      </c>
      <c r="AR141" s="19">
        <f>IF(AND(CONFIG!$B$11="Annual",MONTH(AI141)=7),(AP141+AQ141)*CONFIG!$B$6/12,AR140)</f>
        <v/>
      </c>
      <c r="AS141" s="19">
        <f>MAX(0,AQ141-AR141)</f>
        <v/>
      </c>
      <c r="AT141">
        <f>IF(OR(MONTH(AI141)=3,MONTH(AI141)=6,MONTH(AI141)=9,MONTH(AI141)=12),"Y","N")</f>
        <v/>
      </c>
      <c r="AU141" s="21">
        <f>IF((AP141+AS141)=0,0,AS141/(AP141+AS141))</f>
        <v/>
      </c>
      <c r="AV141">
        <f>IF(AND(AT141="Y",OR(AU141&lt;CONFIG!$B$8,AU141&gt;CONFIG!$B$9)),"Y","N")</f>
        <v/>
      </c>
      <c r="AW141" s="19">
        <f>IF(AV141="Y",(AP141+AS141)*0.8,AP141)</f>
        <v/>
      </c>
      <c r="AX141" s="19">
        <f>IF(AV141="Y",(AP141+AS141)*0.2,AS141)</f>
        <v/>
      </c>
    </row>
    <row r="142">
      <c r="A142" s="18">
        <f>DATA!A142</f>
        <v/>
      </c>
      <c r="B142">
        <f>DATA!B142</f>
        <v/>
      </c>
      <c r="C142" s="19">
        <f>O141</f>
        <v/>
      </c>
      <c r="D142" s="19">
        <f>P141</f>
        <v/>
      </c>
      <c r="E142" s="19">
        <f>C142+D142</f>
        <v/>
      </c>
      <c r="F142" s="20">
        <f>DATA!C142</f>
        <v/>
      </c>
      <c r="G142" s="20">
        <f>DATA!F142</f>
        <v/>
      </c>
      <c r="H142" s="19">
        <f>C142*(1+F142)</f>
        <v/>
      </c>
      <c r="I142" s="19">
        <f>D142*(1+G142)</f>
        <v/>
      </c>
      <c r="J142" s="19">
        <f>IF(AND(CONFIG!$B$11="Annual",MONTH(A142)=7),(H142+I142)*CONFIG!$B$6/12,J141)</f>
        <v/>
      </c>
      <c r="K142" s="19">
        <f>MAX(0,I142-J142)</f>
        <v/>
      </c>
      <c r="L142">
        <f>IF(OR(MONTH(A142)=3,MONTH(A142)=6,MONTH(A142)=9,MONTH(A142)=12),"Y","N")</f>
        <v/>
      </c>
      <c r="M142" s="21">
        <f>IF((H142+K142)=0,0,K142/(H142+K142))</f>
        <v/>
      </c>
      <c r="N142">
        <f>IF(AND(L142="Y",OR(M142&lt;CONFIG!$B$8,M142&gt;CONFIG!$B$9)),"Y","N")</f>
        <v/>
      </c>
      <c r="O142" s="19">
        <f>IF(N142="Y",(H142+K142)*0.8,H142)</f>
        <v/>
      </c>
      <c r="P142" s="19">
        <f>IF(N142="Y",(H142+K142)*0.2,K142)</f>
        <v/>
      </c>
      <c r="R142" s="18">
        <f>DATA!A142</f>
        <v/>
      </c>
      <c r="S142">
        <f>DATA!B142</f>
        <v/>
      </c>
      <c r="T142" s="19">
        <f>AF141</f>
        <v/>
      </c>
      <c r="U142" s="19">
        <f>AG141</f>
        <v/>
      </c>
      <c r="V142" s="19">
        <f>T142+U142</f>
        <v/>
      </c>
      <c r="W142" s="20">
        <f>DATA!D142</f>
        <v/>
      </c>
      <c r="X142" s="20">
        <f>DATA!F142</f>
        <v/>
      </c>
      <c r="Y142" s="19">
        <f>T142*(1+W142)</f>
        <v/>
      </c>
      <c r="Z142" s="19">
        <f>U142*(1+X142)</f>
        <v/>
      </c>
      <c r="AA142" s="19">
        <f>IF(AND(CONFIG!$B$11="Annual",MONTH(R142)=7),(Y142+Z142)*CONFIG!$B$6/12,AA141)</f>
        <v/>
      </c>
      <c r="AB142" s="19">
        <f>MAX(0,Z142-AA142)</f>
        <v/>
      </c>
      <c r="AC142">
        <f>IF(OR(MONTH(R142)=3,MONTH(R142)=6,MONTH(R142)=9,MONTH(R142)=12),"Y","N")</f>
        <v/>
      </c>
      <c r="AD142" s="21">
        <f>IF((Y142+AB142)=0,0,AB142/(Y142+AB142))</f>
        <v/>
      </c>
      <c r="AE142">
        <f>IF(AND(AC142="Y",OR(AD142&lt;CONFIG!$B$8,AD142&gt;CONFIG!$B$9)),"Y","N")</f>
        <v/>
      </c>
      <c r="AF142" s="19">
        <f>IF(AE142="Y",(Y142+AB142)*0.8,Y142)</f>
        <v/>
      </c>
      <c r="AG142" s="19">
        <f>IF(AE142="Y",(Y142+AB142)*0.2,AB142)</f>
        <v/>
      </c>
      <c r="AI142" s="18">
        <f>DATA!A142</f>
        <v/>
      </c>
      <c r="AJ142">
        <f>DATA!B142</f>
        <v/>
      </c>
      <c r="AK142" s="19">
        <f>AW141</f>
        <v/>
      </c>
      <c r="AL142" s="19">
        <f>AX141</f>
        <v/>
      </c>
      <c r="AM142" s="19">
        <f>AK142+AL142</f>
        <v/>
      </c>
      <c r="AN142" s="20">
        <f>DATA!E142</f>
        <v/>
      </c>
      <c r="AO142" s="20">
        <f>DATA!F142</f>
        <v/>
      </c>
      <c r="AP142" s="19">
        <f>AK142*(1+AN142)</f>
        <v/>
      </c>
      <c r="AQ142" s="19">
        <f>AL142*(1+AO142)</f>
        <v/>
      </c>
      <c r="AR142" s="19">
        <f>IF(AND(CONFIG!$B$11="Annual",MONTH(AI142)=7),(AP142+AQ142)*CONFIG!$B$6/12,AR141)</f>
        <v/>
      </c>
      <c r="AS142" s="19">
        <f>MAX(0,AQ142-AR142)</f>
        <v/>
      </c>
      <c r="AT142">
        <f>IF(OR(MONTH(AI142)=3,MONTH(AI142)=6,MONTH(AI142)=9,MONTH(AI142)=12),"Y","N")</f>
        <v/>
      </c>
      <c r="AU142" s="21">
        <f>IF((AP142+AS142)=0,0,AS142/(AP142+AS142))</f>
        <v/>
      </c>
      <c r="AV142">
        <f>IF(AND(AT142="Y",OR(AU142&lt;CONFIG!$B$8,AU142&gt;CONFIG!$B$9)),"Y","N")</f>
        <v/>
      </c>
      <c r="AW142" s="19">
        <f>IF(AV142="Y",(AP142+AS142)*0.8,AP142)</f>
        <v/>
      </c>
      <c r="AX142" s="19">
        <f>IF(AV142="Y",(AP142+AS142)*0.2,AS142)</f>
        <v/>
      </c>
    </row>
    <row r="143">
      <c r="A143" s="18">
        <f>DATA!A143</f>
        <v/>
      </c>
      <c r="B143">
        <f>DATA!B143</f>
        <v/>
      </c>
      <c r="C143" s="19">
        <f>O142</f>
        <v/>
      </c>
      <c r="D143" s="19">
        <f>P142</f>
        <v/>
      </c>
      <c r="E143" s="19">
        <f>C143+D143</f>
        <v/>
      </c>
      <c r="F143" s="20">
        <f>DATA!C143</f>
        <v/>
      </c>
      <c r="G143" s="20">
        <f>DATA!F143</f>
        <v/>
      </c>
      <c r="H143" s="19">
        <f>C143*(1+F143)</f>
        <v/>
      </c>
      <c r="I143" s="19">
        <f>D143*(1+G143)</f>
        <v/>
      </c>
      <c r="J143" s="19">
        <f>IF(AND(CONFIG!$B$11="Annual",MONTH(A143)=7),(H143+I143)*CONFIG!$B$6/12,J142)</f>
        <v/>
      </c>
      <c r="K143" s="19">
        <f>MAX(0,I143-J143)</f>
        <v/>
      </c>
      <c r="L143">
        <f>IF(OR(MONTH(A143)=3,MONTH(A143)=6,MONTH(A143)=9,MONTH(A143)=12),"Y","N")</f>
        <v/>
      </c>
      <c r="M143" s="21">
        <f>IF((H143+K143)=0,0,K143/(H143+K143))</f>
        <v/>
      </c>
      <c r="N143">
        <f>IF(AND(L143="Y",OR(M143&lt;CONFIG!$B$8,M143&gt;CONFIG!$B$9)),"Y","N")</f>
        <v/>
      </c>
      <c r="O143" s="19">
        <f>IF(N143="Y",(H143+K143)*0.8,H143)</f>
        <v/>
      </c>
      <c r="P143" s="19">
        <f>IF(N143="Y",(H143+K143)*0.2,K143)</f>
        <v/>
      </c>
      <c r="R143" s="18">
        <f>DATA!A143</f>
        <v/>
      </c>
      <c r="S143">
        <f>DATA!B143</f>
        <v/>
      </c>
      <c r="T143" s="19">
        <f>AF142</f>
        <v/>
      </c>
      <c r="U143" s="19">
        <f>AG142</f>
        <v/>
      </c>
      <c r="V143" s="19">
        <f>T143+U143</f>
        <v/>
      </c>
      <c r="W143" s="20">
        <f>DATA!D143</f>
        <v/>
      </c>
      <c r="X143" s="20">
        <f>DATA!F143</f>
        <v/>
      </c>
      <c r="Y143" s="19">
        <f>T143*(1+W143)</f>
        <v/>
      </c>
      <c r="Z143" s="19">
        <f>U143*(1+X143)</f>
        <v/>
      </c>
      <c r="AA143" s="19">
        <f>IF(AND(CONFIG!$B$11="Annual",MONTH(R143)=7),(Y143+Z143)*CONFIG!$B$6/12,AA142)</f>
        <v/>
      </c>
      <c r="AB143" s="19">
        <f>MAX(0,Z143-AA143)</f>
        <v/>
      </c>
      <c r="AC143">
        <f>IF(OR(MONTH(R143)=3,MONTH(R143)=6,MONTH(R143)=9,MONTH(R143)=12),"Y","N")</f>
        <v/>
      </c>
      <c r="AD143" s="21">
        <f>IF((Y143+AB143)=0,0,AB143/(Y143+AB143))</f>
        <v/>
      </c>
      <c r="AE143">
        <f>IF(AND(AC143="Y",OR(AD143&lt;CONFIG!$B$8,AD143&gt;CONFIG!$B$9)),"Y","N")</f>
        <v/>
      </c>
      <c r="AF143" s="19">
        <f>IF(AE143="Y",(Y143+AB143)*0.8,Y143)</f>
        <v/>
      </c>
      <c r="AG143" s="19">
        <f>IF(AE143="Y",(Y143+AB143)*0.2,AB143)</f>
        <v/>
      </c>
      <c r="AI143" s="18">
        <f>DATA!A143</f>
        <v/>
      </c>
      <c r="AJ143">
        <f>DATA!B143</f>
        <v/>
      </c>
      <c r="AK143" s="19">
        <f>AW142</f>
        <v/>
      </c>
      <c r="AL143" s="19">
        <f>AX142</f>
        <v/>
      </c>
      <c r="AM143" s="19">
        <f>AK143+AL143</f>
        <v/>
      </c>
      <c r="AN143" s="20">
        <f>DATA!E143</f>
        <v/>
      </c>
      <c r="AO143" s="20">
        <f>DATA!F143</f>
        <v/>
      </c>
      <c r="AP143" s="19">
        <f>AK143*(1+AN143)</f>
        <v/>
      </c>
      <c r="AQ143" s="19">
        <f>AL143*(1+AO143)</f>
        <v/>
      </c>
      <c r="AR143" s="19">
        <f>IF(AND(CONFIG!$B$11="Annual",MONTH(AI143)=7),(AP143+AQ143)*CONFIG!$B$6/12,AR142)</f>
        <v/>
      </c>
      <c r="AS143" s="19">
        <f>MAX(0,AQ143-AR143)</f>
        <v/>
      </c>
      <c r="AT143">
        <f>IF(OR(MONTH(AI143)=3,MONTH(AI143)=6,MONTH(AI143)=9,MONTH(AI143)=12),"Y","N")</f>
        <v/>
      </c>
      <c r="AU143" s="21">
        <f>IF((AP143+AS143)=0,0,AS143/(AP143+AS143))</f>
        <v/>
      </c>
      <c r="AV143">
        <f>IF(AND(AT143="Y",OR(AU143&lt;CONFIG!$B$8,AU143&gt;CONFIG!$B$9)),"Y","N")</f>
        <v/>
      </c>
      <c r="AW143" s="19">
        <f>IF(AV143="Y",(AP143+AS143)*0.8,AP143)</f>
        <v/>
      </c>
      <c r="AX143" s="19">
        <f>IF(AV143="Y",(AP143+AS143)*0.2,AS143)</f>
        <v/>
      </c>
    </row>
    <row r="144">
      <c r="A144" s="18">
        <f>DATA!A144</f>
        <v/>
      </c>
      <c r="B144">
        <f>DATA!B144</f>
        <v/>
      </c>
      <c r="C144" s="19">
        <f>O143</f>
        <v/>
      </c>
      <c r="D144" s="19">
        <f>P143</f>
        <v/>
      </c>
      <c r="E144" s="19">
        <f>C144+D144</f>
        <v/>
      </c>
      <c r="F144" s="20">
        <f>DATA!C144</f>
        <v/>
      </c>
      <c r="G144" s="20">
        <f>DATA!F144</f>
        <v/>
      </c>
      <c r="H144" s="19">
        <f>C144*(1+F144)</f>
        <v/>
      </c>
      <c r="I144" s="19">
        <f>D144*(1+G144)</f>
        <v/>
      </c>
      <c r="J144" s="19">
        <f>IF(AND(CONFIG!$B$11="Annual",MONTH(A144)=7),(H144+I144)*CONFIG!$B$6/12,J143)</f>
        <v/>
      </c>
      <c r="K144" s="19">
        <f>MAX(0,I144-J144)</f>
        <v/>
      </c>
      <c r="L144">
        <f>IF(OR(MONTH(A144)=3,MONTH(A144)=6,MONTH(A144)=9,MONTH(A144)=12),"Y","N")</f>
        <v/>
      </c>
      <c r="M144" s="21">
        <f>IF((H144+K144)=0,0,K144/(H144+K144))</f>
        <v/>
      </c>
      <c r="N144">
        <f>IF(AND(L144="Y",OR(M144&lt;CONFIG!$B$8,M144&gt;CONFIG!$B$9)),"Y","N")</f>
        <v/>
      </c>
      <c r="O144" s="19">
        <f>IF(N144="Y",(H144+K144)*0.8,H144)</f>
        <v/>
      </c>
      <c r="P144" s="19">
        <f>IF(N144="Y",(H144+K144)*0.2,K144)</f>
        <v/>
      </c>
      <c r="R144" s="18">
        <f>DATA!A144</f>
        <v/>
      </c>
      <c r="S144">
        <f>DATA!B144</f>
        <v/>
      </c>
      <c r="T144" s="19">
        <f>AF143</f>
        <v/>
      </c>
      <c r="U144" s="19">
        <f>AG143</f>
        <v/>
      </c>
      <c r="V144" s="19">
        <f>T144+U144</f>
        <v/>
      </c>
      <c r="W144" s="20">
        <f>DATA!D144</f>
        <v/>
      </c>
      <c r="X144" s="20">
        <f>DATA!F144</f>
        <v/>
      </c>
      <c r="Y144" s="19">
        <f>T144*(1+W144)</f>
        <v/>
      </c>
      <c r="Z144" s="19">
        <f>U144*(1+X144)</f>
        <v/>
      </c>
      <c r="AA144" s="19">
        <f>IF(AND(CONFIG!$B$11="Annual",MONTH(R144)=7),(Y144+Z144)*CONFIG!$B$6/12,AA143)</f>
        <v/>
      </c>
      <c r="AB144" s="19">
        <f>MAX(0,Z144-AA144)</f>
        <v/>
      </c>
      <c r="AC144">
        <f>IF(OR(MONTH(R144)=3,MONTH(R144)=6,MONTH(R144)=9,MONTH(R144)=12),"Y","N")</f>
        <v/>
      </c>
      <c r="AD144" s="21">
        <f>IF((Y144+AB144)=0,0,AB144/(Y144+AB144))</f>
        <v/>
      </c>
      <c r="AE144">
        <f>IF(AND(AC144="Y",OR(AD144&lt;CONFIG!$B$8,AD144&gt;CONFIG!$B$9)),"Y","N")</f>
        <v/>
      </c>
      <c r="AF144" s="19">
        <f>IF(AE144="Y",(Y144+AB144)*0.8,Y144)</f>
        <v/>
      </c>
      <c r="AG144" s="19">
        <f>IF(AE144="Y",(Y144+AB144)*0.2,AB144)</f>
        <v/>
      </c>
      <c r="AI144" s="18">
        <f>DATA!A144</f>
        <v/>
      </c>
      <c r="AJ144">
        <f>DATA!B144</f>
        <v/>
      </c>
      <c r="AK144" s="19">
        <f>AW143</f>
        <v/>
      </c>
      <c r="AL144" s="19">
        <f>AX143</f>
        <v/>
      </c>
      <c r="AM144" s="19">
        <f>AK144+AL144</f>
        <v/>
      </c>
      <c r="AN144" s="20">
        <f>DATA!E144</f>
        <v/>
      </c>
      <c r="AO144" s="20">
        <f>DATA!F144</f>
        <v/>
      </c>
      <c r="AP144" s="19">
        <f>AK144*(1+AN144)</f>
        <v/>
      </c>
      <c r="AQ144" s="19">
        <f>AL144*(1+AO144)</f>
        <v/>
      </c>
      <c r="AR144" s="19">
        <f>IF(AND(CONFIG!$B$11="Annual",MONTH(AI144)=7),(AP144+AQ144)*CONFIG!$B$6/12,AR143)</f>
        <v/>
      </c>
      <c r="AS144" s="19">
        <f>MAX(0,AQ144-AR144)</f>
        <v/>
      </c>
      <c r="AT144">
        <f>IF(OR(MONTH(AI144)=3,MONTH(AI144)=6,MONTH(AI144)=9,MONTH(AI144)=12),"Y","N")</f>
        <v/>
      </c>
      <c r="AU144" s="21">
        <f>IF((AP144+AS144)=0,0,AS144/(AP144+AS144))</f>
        <v/>
      </c>
      <c r="AV144">
        <f>IF(AND(AT144="Y",OR(AU144&lt;CONFIG!$B$8,AU144&gt;CONFIG!$B$9)),"Y","N")</f>
        <v/>
      </c>
      <c r="AW144" s="19">
        <f>IF(AV144="Y",(AP144+AS144)*0.8,AP144)</f>
        <v/>
      </c>
      <c r="AX144" s="19">
        <f>IF(AV144="Y",(AP144+AS144)*0.2,AS144)</f>
        <v/>
      </c>
    </row>
    <row r="145">
      <c r="A145" s="18">
        <f>DATA!A145</f>
        <v/>
      </c>
      <c r="B145">
        <f>DATA!B145</f>
        <v/>
      </c>
      <c r="C145" s="19">
        <f>O144</f>
        <v/>
      </c>
      <c r="D145" s="19">
        <f>P144</f>
        <v/>
      </c>
      <c r="E145" s="19">
        <f>C145+D145</f>
        <v/>
      </c>
      <c r="F145" s="20">
        <f>DATA!C145</f>
        <v/>
      </c>
      <c r="G145" s="20">
        <f>DATA!F145</f>
        <v/>
      </c>
      <c r="H145" s="19">
        <f>C145*(1+F145)</f>
        <v/>
      </c>
      <c r="I145" s="19">
        <f>D145*(1+G145)</f>
        <v/>
      </c>
      <c r="J145" s="19">
        <f>IF(AND(CONFIG!$B$11="Annual",MONTH(A145)=7),(H145+I145)*CONFIG!$B$6/12,J144)</f>
        <v/>
      </c>
      <c r="K145" s="19">
        <f>MAX(0,I145-J145)</f>
        <v/>
      </c>
      <c r="L145">
        <f>IF(OR(MONTH(A145)=3,MONTH(A145)=6,MONTH(A145)=9,MONTH(A145)=12),"Y","N")</f>
        <v/>
      </c>
      <c r="M145" s="21">
        <f>IF((H145+K145)=0,0,K145/(H145+K145))</f>
        <v/>
      </c>
      <c r="N145">
        <f>IF(AND(L145="Y",OR(M145&lt;CONFIG!$B$8,M145&gt;CONFIG!$B$9)),"Y","N")</f>
        <v/>
      </c>
      <c r="O145" s="19">
        <f>IF(N145="Y",(H145+K145)*0.8,H145)</f>
        <v/>
      </c>
      <c r="P145" s="19">
        <f>IF(N145="Y",(H145+K145)*0.2,K145)</f>
        <v/>
      </c>
      <c r="R145" s="18">
        <f>DATA!A145</f>
        <v/>
      </c>
      <c r="S145">
        <f>DATA!B145</f>
        <v/>
      </c>
      <c r="T145" s="19">
        <f>AF144</f>
        <v/>
      </c>
      <c r="U145" s="19">
        <f>AG144</f>
        <v/>
      </c>
      <c r="V145" s="19">
        <f>T145+U145</f>
        <v/>
      </c>
      <c r="W145" s="20">
        <f>DATA!D145</f>
        <v/>
      </c>
      <c r="X145" s="20">
        <f>DATA!F145</f>
        <v/>
      </c>
      <c r="Y145" s="19">
        <f>T145*(1+W145)</f>
        <v/>
      </c>
      <c r="Z145" s="19">
        <f>U145*(1+X145)</f>
        <v/>
      </c>
      <c r="AA145" s="19">
        <f>IF(AND(CONFIG!$B$11="Annual",MONTH(R145)=7),(Y145+Z145)*CONFIG!$B$6/12,AA144)</f>
        <v/>
      </c>
      <c r="AB145" s="19">
        <f>MAX(0,Z145-AA145)</f>
        <v/>
      </c>
      <c r="AC145">
        <f>IF(OR(MONTH(R145)=3,MONTH(R145)=6,MONTH(R145)=9,MONTH(R145)=12),"Y","N")</f>
        <v/>
      </c>
      <c r="AD145" s="21">
        <f>IF((Y145+AB145)=0,0,AB145/(Y145+AB145))</f>
        <v/>
      </c>
      <c r="AE145">
        <f>IF(AND(AC145="Y",OR(AD145&lt;CONFIG!$B$8,AD145&gt;CONFIG!$B$9)),"Y","N")</f>
        <v/>
      </c>
      <c r="AF145" s="19">
        <f>IF(AE145="Y",(Y145+AB145)*0.8,Y145)</f>
        <v/>
      </c>
      <c r="AG145" s="19">
        <f>IF(AE145="Y",(Y145+AB145)*0.2,AB145)</f>
        <v/>
      </c>
      <c r="AI145" s="18">
        <f>DATA!A145</f>
        <v/>
      </c>
      <c r="AJ145">
        <f>DATA!B145</f>
        <v/>
      </c>
      <c r="AK145" s="19">
        <f>AW144</f>
        <v/>
      </c>
      <c r="AL145" s="19">
        <f>AX144</f>
        <v/>
      </c>
      <c r="AM145" s="19">
        <f>AK145+AL145</f>
        <v/>
      </c>
      <c r="AN145" s="20">
        <f>DATA!E145</f>
        <v/>
      </c>
      <c r="AO145" s="20">
        <f>DATA!F145</f>
        <v/>
      </c>
      <c r="AP145" s="19">
        <f>AK145*(1+AN145)</f>
        <v/>
      </c>
      <c r="AQ145" s="19">
        <f>AL145*(1+AO145)</f>
        <v/>
      </c>
      <c r="AR145" s="19">
        <f>IF(AND(CONFIG!$B$11="Annual",MONTH(AI145)=7),(AP145+AQ145)*CONFIG!$B$6/12,AR144)</f>
        <v/>
      </c>
      <c r="AS145" s="19">
        <f>MAX(0,AQ145-AR145)</f>
        <v/>
      </c>
      <c r="AT145">
        <f>IF(OR(MONTH(AI145)=3,MONTH(AI145)=6,MONTH(AI145)=9,MONTH(AI145)=12),"Y","N")</f>
        <v/>
      </c>
      <c r="AU145" s="21">
        <f>IF((AP145+AS145)=0,0,AS145/(AP145+AS145))</f>
        <v/>
      </c>
      <c r="AV145">
        <f>IF(AND(AT145="Y",OR(AU145&lt;CONFIG!$B$8,AU145&gt;CONFIG!$B$9)),"Y","N")</f>
        <v/>
      </c>
      <c r="AW145" s="19">
        <f>IF(AV145="Y",(AP145+AS145)*0.8,AP145)</f>
        <v/>
      </c>
      <c r="AX145" s="19">
        <f>IF(AV145="Y",(AP145+AS145)*0.2,AS145)</f>
        <v/>
      </c>
    </row>
    <row r="146">
      <c r="A146" s="18">
        <f>DATA!A146</f>
        <v/>
      </c>
      <c r="B146">
        <f>DATA!B146</f>
        <v/>
      </c>
      <c r="C146" s="19">
        <f>O145</f>
        <v/>
      </c>
      <c r="D146" s="19">
        <f>P145</f>
        <v/>
      </c>
      <c r="E146" s="19">
        <f>C146+D146</f>
        <v/>
      </c>
      <c r="F146" s="20">
        <f>DATA!C146</f>
        <v/>
      </c>
      <c r="G146" s="20">
        <f>DATA!F146</f>
        <v/>
      </c>
      <c r="H146" s="19">
        <f>C146*(1+F146)</f>
        <v/>
      </c>
      <c r="I146" s="19">
        <f>D146*(1+G146)</f>
        <v/>
      </c>
      <c r="J146" s="19">
        <f>IF(AND(CONFIG!$B$11="Annual",MONTH(A146)=7),(H146+I146)*CONFIG!$B$6/12,J145)</f>
        <v/>
      </c>
      <c r="K146" s="19">
        <f>MAX(0,I146-J146)</f>
        <v/>
      </c>
      <c r="L146">
        <f>IF(OR(MONTH(A146)=3,MONTH(A146)=6,MONTH(A146)=9,MONTH(A146)=12),"Y","N")</f>
        <v/>
      </c>
      <c r="M146" s="21">
        <f>IF((H146+K146)=0,0,K146/(H146+K146))</f>
        <v/>
      </c>
      <c r="N146">
        <f>IF(AND(L146="Y",OR(M146&lt;CONFIG!$B$8,M146&gt;CONFIG!$B$9)),"Y","N")</f>
        <v/>
      </c>
      <c r="O146" s="19">
        <f>IF(N146="Y",(H146+K146)*0.8,H146)</f>
        <v/>
      </c>
      <c r="P146" s="19">
        <f>IF(N146="Y",(H146+K146)*0.2,K146)</f>
        <v/>
      </c>
      <c r="R146" s="18">
        <f>DATA!A146</f>
        <v/>
      </c>
      <c r="S146">
        <f>DATA!B146</f>
        <v/>
      </c>
      <c r="T146" s="19">
        <f>AF145</f>
        <v/>
      </c>
      <c r="U146" s="19">
        <f>AG145</f>
        <v/>
      </c>
      <c r="V146" s="19">
        <f>T146+U146</f>
        <v/>
      </c>
      <c r="W146" s="20">
        <f>DATA!D146</f>
        <v/>
      </c>
      <c r="X146" s="20">
        <f>DATA!F146</f>
        <v/>
      </c>
      <c r="Y146" s="19">
        <f>T146*(1+W146)</f>
        <v/>
      </c>
      <c r="Z146" s="19">
        <f>U146*(1+X146)</f>
        <v/>
      </c>
      <c r="AA146" s="19">
        <f>IF(AND(CONFIG!$B$11="Annual",MONTH(R146)=7),(Y146+Z146)*CONFIG!$B$6/12,AA145)</f>
        <v/>
      </c>
      <c r="AB146" s="19">
        <f>MAX(0,Z146-AA146)</f>
        <v/>
      </c>
      <c r="AC146">
        <f>IF(OR(MONTH(R146)=3,MONTH(R146)=6,MONTH(R146)=9,MONTH(R146)=12),"Y","N")</f>
        <v/>
      </c>
      <c r="AD146" s="21">
        <f>IF((Y146+AB146)=0,0,AB146/(Y146+AB146))</f>
        <v/>
      </c>
      <c r="AE146">
        <f>IF(AND(AC146="Y",OR(AD146&lt;CONFIG!$B$8,AD146&gt;CONFIG!$B$9)),"Y","N")</f>
        <v/>
      </c>
      <c r="AF146" s="19">
        <f>IF(AE146="Y",(Y146+AB146)*0.8,Y146)</f>
        <v/>
      </c>
      <c r="AG146" s="19">
        <f>IF(AE146="Y",(Y146+AB146)*0.2,AB146)</f>
        <v/>
      </c>
      <c r="AI146" s="18">
        <f>DATA!A146</f>
        <v/>
      </c>
      <c r="AJ146">
        <f>DATA!B146</f>
        <v/>
      </c>
      <c r="AK146" s="19">
        <f>AW145</f>
        <v/>
      </c>
      <c r="AL146" s="19">
        <f>AX145</f>
        <v/>
      </c>
      <c r="AM146" s="19">
        <f>AK146+AL146</f>
        <v/>
      </c>
      <c r="AN146" s="20">
        <f>DATA!E146</f>
        <v/>
      </c>
      <c r="AO146" s="20">
        <f>DATA!F146</f>
        <v/>
      </c>
      <c r="AP146" s="19">
        <f>AK146*(1+AN146)</f>
        <v/>
      </c>
      <c r="AQ146" s="19">
        <f>AL146*(1+AO146)</f>
        <v/>
      </c>
      <c r="AR146" s="19">
        <f>IF(AND(CONFIG!$B$11="Annual",MONTH(AI146)=7),(AP146+AQ146)*CONFIG!$B$6/12,AR145)</f>
        <v/>
      </c>
      <c r="AS146" s="19">
        <f>MAX(0,AQ146-AR146)</f>
        <v/>
      </c>
      <c r="AT146">
        <f>IF(OR(MONTH(AI146)=3,MONTH(AI146)=6,MONTH(AI146)=9,MONTH(AI146)=12),"Y","N")</f>
        <v/>
      </c>
      <c r="AU146" s="21">
        <f>IF((AP146+AS146)=0,0,AS146/(AP146+AS146))</f>
        <v/>
      </c>
      <c r="AV146">
        <f>IF(AND(AT146="Y",OR(AU146&lt;CONFIG!$B$8,AU146&gt;CONFIG!$B$9)),"Y","N")</f>
        <v/>
      </c>
      <c r="AW146" s="19">
        <f>IF(AV146="Y",(AP146+AS146)*0.8,AP146)</f>
        <v/>
      </c>
      <c r="AX146" s="19">
        <f>IF(AV146="Y",(AP146+AS146)*0.2,AS146)</f>
        <v/>
      </c>
    </row>
    <row r="147">
      <c r="A147" s="18">
        <f>DATA!A147</f>
        <v/>
      </c>
      <c r="B147">
        <f>DATA!B147</f>
        <v/>
      </c>
      <c r="C147" s="19">
        <f>O146</f>
        <v/>
      </c>
      <c r="D147" s="19">
        <f>P146</f>
        <v/>
      </c>
      <c r="E147" s="19">
        <f>C147+D147</f>
        <v/>
      </c>
      <c r="F147" s="20">
        <f>DATA!C147</f>
        <v/>
      </c>
      <c r="G147" s="20">
        <f>DATA!F147</f>
        <v/>
      </c>
      <c r="H147" s="19">
        <f>C147*(1+F147)</f>
        <v/>
      </c>
      <c r="I147" s="19">
        <f>D147*(1+G147)</f>
        <v/>
      </c>
      <c r="J147" s="19">
        <f>IF(AND(CONFIG!$B$11="Annual",MONTH(A147)=7),(H147+I147)*CONFIG!$B$6/12,J146)</f>
        <v/>
      </c>
      <c r="K147" s="19">
        <f>MAX(0,I147-J147)</f>
        <v/>
      </c>
      <c r="L147">
        <f>IF(OR(MONTH(A147)=3,MONTH(A147)=6,MONTH(A147)=9,MONTH(A147)=12),"Y","N")</f>
        <v/>
      </c>
      <c r="M147" s="21">
        <f>IF((H147+K147)=0,0,K147/(H147+K147))</f>
        <v/>
      </c>
      <c r="N147">
        <f>IF(AND(L147="Y",OR(M147&lt;CONFIG!$B$8,M147&gt;CONFIG!$B$9)),"Y","N")</f>
        <v/>
      </c>
      <c r="O147" s="19">
        <f>IF(N147="Y",(H147+K147)*0.8,H147)</f>
        <v/>
      </c>
      <c r="P147" s="19">
        <f>IF(N147="Y",(H147+K147)*0.2,K147)</f>
        <v/>
      </c>
      <c r="R147" s="18">
        <f>DATA!A147</f>
        <v/>
      </c>
      <c r="S147">
        <f>DATA!B147</f>
        <v/>
      </c>
      <c r="T147" s="19">
        <f>AF146</f>
        <v/>
      </c>
      <c r="U147" s="19">
        <f>AG146</f>
        <v/>
      </c>
      <c r="V147" s="19">
        <f>T147+U147</f>
        <v/>
      </c>
      <c r="W147" s="20">
        <f>DATA!D147</f>
        <v/>
      </c>
      <c r="X147" s="20">
        <f>DATA!F147</f>
        <v/>
      </c>
      <c r="Y147" s="19">
        <f>T147*(1+W147)</f>
        <v/>
      </c>
      <c r="Z147" s="19">
        <f>U147*(1+X147)</f>
        <v/>
      </c>
      <c r="AA147" s="19">
        <f>IF(AND(CONFIG!$B$11="Annual",MONTH(R147)=7),(Y147+Z147)*CONFIG!$B$6/12,AA146)</f>
        <v/>
      </c>
      <c r="AB147" s="19">
        <f>MAX(0,Z147-AA147)</f>
        <v/>
      </c>
      <c r="AC147">
        <f>IF(OR(MONTH(R147)=3,MONTH(R147)=6,MONTH(R147)=9,MONTH(R147)=12),"Y","N")</f>
        <v/>
      </c>
      <c r="AD147" s="21">
        <f>IF((Y147+AB147)=0,0,AB147/(Y147+AB147))</f>
        <v/>
      </c>
      <c r="AE147">
        <f>IF(AND(AC147="Y",OR(AD147&lt;CONFIG!$B$8,AD147&gt;CONFIG!$B$9)),"Y","N")</f>
        <v/>
      </c>
      <c r="AF147" s="19">
        <f>IF(AE147="Y",(Y147+AB147)*0.8,Y147)</f>
        <v/>
      </c>
      <c r="AG147" s="19">
        <f>IF(AE147="Y",(Y147+AB147)*0.2,AB147)</f>
        <v/>
      </c>
      <c r="AI147" s="18">
        <f>DATA!A147</f>
        <v/>
      </c>
      <c r="AJ147">
        <f>DATA!B147</f>
        <v/>
      </c>
      <c r="AK147" s="19">
        <f>AW146</f>
        <v/>
      </c>
      <c r="AL147" s="19">
        <f>AX146</f>
        <v/>
      </c>
      <c r="AM147" s="19">
        <f>AK147+AL147</f>
        <v/>
      </c>
      <c r="AN147" s="20">
        <f>DATA!E147</f>
        <v/>
      </c>
      <c r="AO147" s="20">
        <f>DATA!F147</f>
        <v/>
      </c>
      <c r="AP147" s="19">
        <f>AK147*(1+AN147)</f>
        <v/>
      </c>
      <c r="AQ147" s="19">
        <f>AL147*(1+AO147)</f>
        <v/>
      </c>
      <c r="AR147" s="19">
        <f>IF(AND(CONFIG!$B$11="Annual",MONTH(AI147)=7),(AP147+AQ147)*CONFIG!$B$6/12,AR146)</f>
        <v/>
      </c>
      <c r="AS147" s="19">
        <f>MAX(0,AQ147-AR147)</f>
        <v/>
      </c>
      <c r="AT147">
        <f>IF(OR(MONTH(AI147)=3,MONTH(AI147)=6,MONTH(AI147)=9,MONTH(AI147)=12),"Y","N")</f>
        <v/>
      </c>
      <c r="AU147" s="21">
        <f>IF((AP147+AS147)=0,0,AS147/(AP147+AS147))</f>
        <v/>
      </c>
      <c r="AV147">
        <f>IF(AND(AT147="Y",OR(AU147&lt;CONFIG!$B$8,AU147&gt;CONFIG!$B$9)),"Y","N")</f>
        <v/>
      </c>
      <c r="AW147" s="19">
        <f>IF(AV147="Y",(AP147+AS147)*0.8,AP147)</f>
        <v/>
      </c>
      <c r="AX147" s="19">
        <f>IF(AV147="Y",(AP147+AS147)*0.2,AS147)</f>
        <v/>
      </c>
    </row>
    <row r="148">
      <c r="A148" s="18">
        <f>DATA!A148</f>
        <v/>
      </c>
      <c r="B148">
        <f>DATA!B148</f>
        <v/>
      </c>
      <c r="C148" s="19">
        <f>O147</f>
        <v/>
      </c>
      <c r="D148" s="19">
        <f>P147</f>
        <v/>
      </c>
      <c r="E148" s="19">
        <f>C148+D148</f>
        <v/>
      </c>
      <c r="F148" s="20">
        <f>DATA!C148</f>
        <v/>
      </c>
      <c r="G148" s="20">
        <f>DATA!F148</f>
        <v/>
      </c>
      <c r="H148" s="19">
        <f>C148*(1+F148)</f>
        <v/>
      </c>
      <c r="I148" s="19">
        <f>D148*(1+G148)</f>
        <v/>
      </c>
      <c r="J148" s="19">
        <f>IF(AND(CONFIG!$B$11="Annual",MONTH(A148)=7),(H148+I148)*CONFIG!$B$6/12,J147)</f>
        <v/>
      </c>
      <c r="K148" s="19">
        <f>MAX(0,I148-J148)</f>
        <v/>
      </c>
      <c r="L148">
        <f>IF(OR(MONTH(A148)=3,MONTH(A148)=6,MONTH(A148)=9,MONTH(A148)=12),"Y","N")</f>
        <v/>
      </c>
      <c r="M148" s="21">
        <f>IF((H148+K148)=0,0,K148/(H148+K148))</f>
        <v/>
      </c>
      <c r="N148">
        <f>IF(AND(L148="Y",OR(M148&lt;CONFIG!$B$8,M148&gt;CONFIG!$B$9)),"Y","N")</f>
        <v/>
      </c>
      <c r="O148" s="19">
        <f>IF(N148="Y",(H148+K148)*0.8,H148)</f>
        <v/>
      </c>
      <c r="P148" s="19">
        <f>IF(N148="Y",(H148+K148)*0.2,K148)</f>
        <v/>
      </c>
      <c r="R148" s="18">
        <f>DATA!A148</f>
        <v/>
      </c>
      <c r="S148">
        <f>DATA!B148</f>
        <v/>
      </c>
      <c r="T148" s="19">
        <f>AF147</f>
        <v/>
      </c>
      <c r="U148" s="19">
        <f>AG147</f>
        <v/>
      </c>
      <c r="V148" s="19">
        <f>T148+U148</f>
        <v/>
      </c>
      <c r="W148" s="20">
        <f>DATA!D148</f>
        <v/>
      </c>
      <c r="X148" s="20">
        <f>DATA!F148</f>
        <v/>
      </c>
      <c r="Y148" s="19">
        <f>T148*(1+W148)</f>
        <v/>
      </c>
      <c r="Z148" s="19">
        <f>U148*(1+X148)</f>
        <v/>
      </c>
      <c r="AA148" s="19">
        <f>IF(AND(CONFIG!$B$11="Annual",MONTH(R148)=7),(Y148+Z148)*CONFIG!$B$6/12,AA147)</f>
        <v/>
      </c>
      <c r="AB148" s="19">
        <f>MAX(0,Z148-AA148)</f>
        <v/>
      </c>
      <c r="AC148">
        <f>IF(OR(MONTH(R148)=3,MONTH(R148)=6,MONTH(R148)=9,MONTH(R148)=12),"Y","N")</f>
        <v/>
      </c>
      <c r="AD148" s="21">
        <f>IF((Y148+AB148)=0,0,AB148/(Y148+AB148))</f>
        <v/>
      </c>
      <c r="AE148">
        <f>IF(AND(AC148="Y",OR(AD148&lt;CONFIG!$B$8,AD148&gt;CONFIG!$B$9)),"Y","N")</f>
        <v/>
      </c>
      <c r="AF148" s="19">
        <f>IF(AE148="Y",(Y148+AB148)*0.8,Y148)</f>
        <v/>
      </c>
      <c r="AG148" s="19">
        <f>IF(AE148="Y",(Y148+AB148)*0.2,AB148)</f>
        <v/>
      </c>
      <c r="AI148" s="18">
        <f>DATA!A148</f>
        <v/>
      </c>
      <c r="AJ148">
        <f>DATA!B148</f>
        <v/>
      </c>
      <c r="AK148" s="19">
        <f>AW147</f>
        <v/>
      </c>
      <c r="AL148" s="19">
        <f>AX147</f>
        <v/>
      </c>
      <c r="AM148" s="19">
        <f>AK148+AL148</f>
        <v/>
      </c>
      <c r="AN148" s="20">
        <f>DATA!E148</f>
        <v/>
      </c>
      <c r="AO148" s="20">
        <f>DATA!F148</f>
        <v/>
      </c>
      <c r="AP148" s="19">
        <f>AK148*(1+AN148)</f>
        <v/>
      </c>
      <c r="AQ148" s="19">
        <f>AL148*(1+AO148)</f>
        <v/>
      </c>
      <c r="AR148" s="19">
        <f>IF(AND(CONFIG!$B$11="Annual",MONTH(AI148)=7),(AP148+AQ148)*CONFIG!$B$6/12,AR147)</f>
        <v/>
      </c>
      <c r="AS148" s="19">
        <f>MAX(0,AQ148-AR148)</f>
        <v/>
      </c>
      <c r="AT148">
        <f>IF(OR(MONTH(AI148)=3,MONTH(AI148)=6,MONTH(AI148)=9,MONTH(AI148)=12),"Y","N")</f>
        <v/>
      </c>
      <c r="AU148" s="21">
        <f>IF((AP148+AS148)=0,0,AS148/(AP148+AS148))</f>
        <v/>
      </c>
      <c r="AV148">
        <f>IF(AND(AT148="Y",OR(AU148&lt;CONFIG!$B$8,AU148&gt;CONFIG!$B$9)),"Y","N")</f>
        <v/>
      </c>
      <c r="AW148" s="19">
        <f>IF(AV148="Y",(AP148+AS148)*0.8,AP148)</f>
        <v/>
      </c>
      <c r="AX148" s="19">
        <f>IF(AV148="Y",(AP148+AS148)*0.2,AS148)</f>
        <v/>
      </c>
    </row>
    <row r="149">
      <c r="A149" s="18">
        <f>DATA!A149</f>
        <v/>
      </c>
      <c r="B149">
        <f>DATA!B149</f>
        <v/>
      </c>
      <c r="C149" s="19">
        <f>O148</f>
        <v/>
      </c>
      <c r="D149" s="19">
        <f>P148</f>
        <v/>
      </c>
      <c r="E149" s="19">
        <f>C149+D149</f>
        <v/>
      </c>
      <c r="F149" s="20">
        <f>DATA!C149</f>
        <v/>
      </c>
      <c r="G149" s="20">
        <f>DATA!F149</f>
        <v/>
      </c>
      <c r="H149" s="19">
        <f>C149*(1+F149)</f>
        <v/>
      </c>
      <c r="I149" s="19">
        <f>D149*(1+G149)</f>
        <v/>
      </c>
      <c r="J149" s="19">
        <f>IF(AND(CONFIG!$B$11="Annual",MONTH(A149)=7),(H149+I149)*CONFIG!$B$6/12,J148)</f>
        <v/>
      </c>
      <c r="K149" s="19">
        <f>MAX(0,I149-J149)</f>
        <v/>
      </c>
      <c r="L149">
        <f>IF(OR(MONTH(A149)=3,MONTH(A149)=6,MONTH(A149)=9,MONTH(A149)=12),"Y","N")</f>
        <v/>
      </c>
      <c r="M149" s="21">
        <f>IF((H149+K149)=0,0,K149/(H149+K149))</f>
        <v/>
      </c>
      <c r="N149">
        <f>IF(AND(L149="Y",OR(M149&lt;CONFIG!$B$8,M149&gt;CONFIG!$B$9)),"Y","N")</f>
        <v/>
      </c>
      <c r="O149" s="19">
        <f>IF(N149="Y",(H149+K149)*0.8,H149)</f>
        <v/>
      </c>
      <c r="P149" s="19">
        <f>IF(N149="Y",(H149+K149)*0.2,K149)</f>
        <v/>
      </c>
      <c r="R149" s="18">
        <f>DATA!A149</f>
        <v/>
      </c>
      <c r="S149">
        <f>DATA!B149</f>
        <v/>
      </c>
      <c r="T149" s="19">
        <f>AF148</f>
        <v/>
      </c>
      <c r="U149" s="19">
        <f>AG148</f>
        <v/>
      </c>
      <c r="V149" s="19">
        <f>T149+U149</f>
        <v/>
      </c>
      <c r="W149" s="20">
        <f>DATA!D149</f>
        <v/>
      </c>
      <c r="X149" s="20">
        <f>DATA!F149</f>
        <v/>
      </c>
      <c r="Y149" s="19">
        <f>T149*(1+W149)</f>
        <v/>
      </c>
      <c r="Z149" s="19">
        <f>U149*(1+X149)</f>
        <v/>
      </c>
      <c r="AA149" s="19">
        <f>IF(AND(CONFIG!$B$11="Annual",MONTH(R149)=7),(Y149+Z149)*CONFIG!$B$6/12,AA148)</f>
        <v/>
      </c>
      <c r="AB149" s="19">
        <f>MAX(0,Z149-AA149)</f>
        <v/>
      </c>
      <c r="AC149">
        <f>IF(OR(MONTH(R149)=3,MONTH(R149)=6,MONTH(R149)=9,MONTH(R149)=12),"Y","N")</f>
        <v/>
      </c>
      <c r="AD149" s="21">
        <f>IF((Y149+AB149)=0,0,AB149/(Y149+AB149))</f>
        <v/>
      </c>
      <c r="AE149">
        <f>IF(AND(AC149="Y",OR(AD149&lt;CONFIG!$B$8,AD149&gt;CONFIG!$B$9)),"Y","N")</f>
        <v/>
      </c>
      <c r="AF149" s="19">
        <f>IF(AE149="Y",(Y149+AB149)*0.8,Y149)</f>
        <v/>
      </c>
      <c r="AG149" s="19">
        <f>IF(AE149="Y",(Y149+AB149)*0.2,AB149)</f>
        <v/>
      </c>
      <c r="AI149" s="18">
        <f>DATA!A149</f>
        <v/>
      </c>
      <c r="AJ149">
        <f>DATA!B149</f>
        <v/>
      </c>
      <c r="AK149" s="19">
        <f>AW148</f>
        <v/>
      </c>
      <c r="AL149" s="19">
        <f>AX148</f>
        <v/>
      </c>
      <c r="AM149" s="19">
        <f>AK149+AL149</f>
        <v/>
      </c>
      <c r="AN149" s="20">
        <f>DATA!E149</f>
        <v/>
      </c>
      <c r="AO149" s="20">
        <f>DATA!F149</f>
        <v/>
      </c>
      <c r="AP149" s="19">
        <f>AK149*(1+AN149)</f>
        <v/>
      </c>
      <c r="AQ149" s="19">
        <f>AL149*(1+AO149)</f>
        <v/>
      </c>
      <c r="AR149" s="19">
        <f>IF(AND(CONFIG!$B$11="Annual",MONTH(AI149)=7),(AP149+AQ149)*CONFIG!$B$6/12,AR148)</f>
        <v/>
      </c>
      <c r="AS149" s="19">
        <f>MAX(0,AQ149-AR149)</f>
        <v/>
      </c>
      <c r="AT149">
        <f>IF(OR(MONTH(AI149)=3,MONTH(AI149)=6,MONTH(AI149)=9,MONTH(AI149)=12),"Y","N")</f>
        <v/>
      </c>
      <c r="AU149" s="21">
        <f>IF((AP149+AS149)=0,0,AS149/(AP149+AS149))</f>
        <v/>
      </c>
      <c r="AV149">
        <f>IF(AND(AT149="Y",OR(AU149&lt;CONFIG!$B$8,AU149&gt;CONFIG!$B$9)),"Y","N")</f>
        <v/>
      </c>
      <c r="AW149" s="19">
        <f>IF(AV149="Y",(AP149+AS149)*0.8,AP149)</f>
        <v/>
      </c>
      <c r="AX149" s="19">
        <f>IF(AV149="Y",(AP149+AS149)*0.2,AS149)</f>
        <v/>
      </c>
    </row>
    <row r="150">
      <c r="A150" s="18">
        <f>DATA!A150</f>
        <v/>
      </c>
      <c r="B150">
        <f>DATA!B150</f>
        <v/>
      </c>
      <c r="C150" s="19">
        <f>O149</f>
        <v/>
      </c>
      <c r="D150" s="19">
        <f>P149</f>
        <v/>
      </c>
      <c r="E150" s="19">
        <f>C150+D150</f>
        <v/>
      </c>
      <c r="F150" s="20">
        <f>DATA!C150</f>
        <v/>
      </c>
      <c r="G150" s="20">
        <f>DATA!F150</f>
        <v/>
      </c>
      <c r="H150" s="19">
        <f>C150*(1+F150)</f>
        <v/>
      </c>
      <c r="I150" s="19">
        <f>D150*(1+G150)</f>
        <v/>
      </c>
      <c r="J150" s="19">
        <f>IF(AND(CONFIG!$B$11="Annual",MONTH(A150)=7),(H150+I150)*CONFIG!$B$6/12,J149)</f>
        <v/>
      </c>
      <c r="K150" s="19">
        <f>MAX(0,I150-J150)</f>
        <v/>
      </c>
      <c r="L150">
        <f>IF(OR(MONTH(A150)=3,MONTH(A150)=6,MONTH(A150)=9,MONTH(A150)=12),"Y","N")</f>
        <v/>
      </c>
      <c r="M150" s="21">
        <f>IF((H150+K150)=0,0,K150/(H150+K150))</f>
        <v/>
      </c>
      <c r="N150">
        <f>IF(AND(L150="Y",OR(M150&lt;CONFIG!$B$8,M150&gt;CONFIG!$B$9)),"Y","N")</f>
        <v/>
      </c>
      <c r="O150" s="19">
        <f>IF(N150="Y",(H150+K150)*0.8,H150)</f>
        <v/>
      </c>
      <c r="P150" s="19">
        <f>IF(N150="Y",(H150+K150)*0.2,K150)</f>
        <v/>
      </c>
      <c r="R150" s="18">
        <f>DATA!A150</f>
        <v/>
      </c>
      <c r="S150">
        <f>DATA!B150</f>
        <v/>
      </c>
      <c r="T150" s="19">
        <f>AF149</f>
        <v/>
      </c>
      <c r="U150" s="19">
        <f>AG149</f>
        <v/>
      </c>
      <c r="V150" s="19">
        <f>T150+U150</f>
        <v/>
      </c>
      <c r="W150" s="20">
        <f>DATA!D150</f>
        <v/>
      </c>
      <c r="X150" s="20">
        <f>DATA!F150</f>
        <v/>
      </c>
      <c r="Y150" s="19">
        <f>T150*(1+W150)</f>
        <v/>
      </c>
      <c r="Z150" s="19">
        <f>U150*(1+X150)</f>
        <v/>
      </c>
      <c r="AA150" s="19">
        <f>IF(AND(CONFIG!$B$11="Annual",MONTH(R150)=7),(Y150+Z150)*CONFIG!$B$6/12,AA149)</f>
        <v/>
      </c>
      <c r="AB150" s="19">
        <f>MAX(0,Z150-AA150)</f>
        <v/>
      </c>
      <c r="AC150">
        <f>IF(OR(MONTH(R150)=3,MONTH(R150)=6,MONTH(R150)=9,MONTH(R150)=12),"Y","N")</f>
        <v/>
      </c>
      <c r="AD150" s="21">
        <f>IF((Y150+AB150)=0,0,AB150/(Y150+AB150))</f>
        <v/>
      </c>
      <c r="AE150">
        <f>IF(AND(AC150="Y",OR(AD150&lt;CONFIG!$B$8,AD150&gt;CONFIG!$B$9)),"Y","N")</f>
        <v/>
      </c>
      <c r="AF150" s="19">
        <f>IF(AE150="Y",(Y150+AB150)*0.8,Y150)</f>
        <v/>
      </c>
      <c r="AG150" s="19">
        <f>IF(AE150="Y",(Y150+AB150)*0.2,AB150)</f>
        <v/>
      </c>
      <c r="AI150" s="18">
        <f>DATA!A150</f>
        <v/>
      </c>
      <c r="AJ150">
        <f>DATA!B150</f>
        <v/>
      </c>
      <c r="AK150" s="19">
        <f>AW149</f>
        <v/>
      </c>
      <c r="AL150" s="19">
        <f>AX149</f>
        <v/>
      </c>
      <c r="AM150" s="19">
        <f>AK150+AL150</f>
        <v/>
      </c>
      <c r="AN150" s="20">
        <f>DATA!E150</f>
        <v/>
      </c>
      <c r="AO150" s="20">
        <f>DATA!F150</f>
        <v/>
      </c>
      <c r="AP150" s="19">
        <f>AK150*(1+AN150)</f>
        <v/>
      </c>
      <c r="AQ150" s="19">
        <f>AL150*(1+AO150)</f>
        <v/>
      </c>
      <c r="AR150" s="19">
        <f>IF(AND(CONFIG!$B$11="Annual",MONTH(AI150)=7),(AP150+AQ150)*CONFIG!$B$6/12,AR149)</f>
        <v/>
      </c>
      <c r="AS150" s="19">
        <f>MAX(0,AQ150-AR150)</f>
        <v/>
      </c>
      <c r="AT150">
        <f>IF(OR(MONTH(AI150)=3,MONTH(AI150)=6,MONTH(AI150)=9,MONTH(AI150)=12),"Y","N")</f>
        <v/>
      </c>
      <c r="AU150" s="21">
        <f>IF((AP150+AS150)=0,0,AS150/(AP150+AS150))</f>
        <v/>
      </c>
      <c r="AV150">
        <f>IF(AND(AT150="Y",OR(AU150&lt;CONFIG!$B$8,AU150&gt;CONFIG!$B$9)),"Y","N")</f>
        <v/>
      </c>
      <c r="AW150" s="19">
        <f>IF(AV150="Y",(AP150+AS150)*0.8,AP150)</f>
        <v/>
      </c>
      <c r="AX150" s="19">
        <f>IF(AV150="Y",(AP150+AS150)*0.2,AS150)</f>
        <v/>
      </c>
    </row>
    <row r="151">
      <c r="A151" s="18">
        <f>DATA!A151</f>
        <v/>
      </c>
      <c r="B151">
        <f>DATA!B151</f>
        <v/>
      </c>
      <c r="C151" s="19">
        <f>O150</f>
        <v/>
      </c>
      <c r="D151" s="19">
        <f>P150</f>
        <v/>
      </c>
      <c r="E151" s="19">
        <f>C151+D151</f>
        <v/>
      </c>
      <c r="F151" s="20">
        <f>DATA!C151</f>
        <v/>
      </c>
      <c r="G151" s="20">
        <f>DATA!F151</f>
        <v/>
      </c>
      <c r="H151" s="19">
        <f>C151*(1+F151)</f>
        <v/>
      </c>
      <c r="I151" s="19">
        <f>D151*(1+G151)</f>
        <v/>
      </c>
      <c r="J151" s="19">
        <f>IF(AND(CONFIG!$B$11="Annual",MONTH(A151)=7),(H151+I151)*CONFIG!$B$6/12,J150)</f>
        <v/>
      </c>
      <c r="K151" s="19">
        <f>MAX(0,I151-J151)</f>
        <v/>
      </c>
      <c r="L151">
        <f>IF(OR(MONTH(A151)=3,MONTH(A151)=6,MONTH(A151)=9,MONTH(A151)=12),"Y","N")</f>
        <v/>
      </c>
      <c r="M151" s="21">
        <f>IF((H151+K151)=0,0,K151/(H151+K151))</f>
        <v/>
      </c>
      <c r="N151">
        <f>IF(AND(L151="Y",OR(M151&lt;CONFIG!$B$8,M151&gt;CONFIG!$B$9)),"Y","N")</f>
        <v/>
      </c>
      <c r="O151" s="19">
        <f>IF(N151="Y",(H151+K151)*0.8,H151)</f>
        <v/>
      </c>
      <c r="P151" s="19">
        <f>IF(N151="Y",(H151+K151)*0.2,K151)</f>
        <v/>
      </c>
      <c r="R151" s="18">
        <f>DATA!A151</f>
        <v/>
      </c>
      <c r="S151">
        <f>DATA!B151</f>
        <v/>
      </c>
      <c r="T151" s="19">
        <f>AF150</f>
        <v/>
      </c>
      <c r="U151" s="19">
        <f>AG150</f>
        <v/>
      </c>
      <c r="V151" s="19">
        <f>T151+U151</f>
        <v/>
      </c>
      <c r="W151" s="20">
        <f>DATA!D151</f>
        <v/>
      </c>
      <c r="X151" s="20">
        <f>DATA!F151</f>
        <v/>
      </c>
      <c r="Y151" s="19">
        <f>T151*(1+W151)</f>
        <v/>
      </c>
      <c r="Z151" s="19">
        <f>U151*(1+X151)</f>
        <v/>
      </c>
      <c r="AA151" s="19">
        <f>IF(AND(CONFIG!$B$11="Annual",MONTH(R151)=7),(Y151+Z151)*CONFIG!$B$6/12,AA150)</f>
        <v/>
      </c>
      <c r="AB151" s="19">
        <f>MAX(0,Z151-AA151)</f>
        <v/>
      </c>
      <c r="AC151">
        <f>IF(OR(MONTH(R151)=3,MONTH(R151)=6,MONTH(R151)=9,MONTH(R151)=12),"Y","N")</f>
        <v/>
      </c>
      <c r="AD151" s="21">
        <f>IF((Y151+AB151)=0,0,AB151/(Y151+AB151))</f>
        <v/>
      </c>
      <c r="AE151">
        <f>IF(AND(AC151="Y",OR(AD151&lt;CONFIG!$B$8,AD151&gt;CONFIG!$B$9)),"Y","N")</f>
        <v/>
      </c>
      <c r="AF151" s="19">
        <f>IF(AE151="Y",(Y151+AB151)*0.8,Y151)</f>
        <v/>
      </c>
      <c r="AG151" s="19">
        <f>IF(AE151="Y",(Y151+AB151)*0.2,AB151)</f>
        <v/>
      </c>
      <c r="AI151" s="18">
        <f>DATA!A151</f>
        <v/>
      </c>
      <c r="AJ151">
        <f>DATA!B151</f>
        <v/>
      </c>
      <c r="AK151" s="19">
        <f>AW150</f>
        <v/>
      </c>
      <c r="AL151" s="19">
        <f>AX150</f>
        <v/>
      </c>
      <c r="AM151" s="19">
        <f>AK151+AL151</f>
        <v/>
      </c>
      <c r="AN151" s="20">
        <f>DATA!E151</f>
        <v/>
      </c>
      <c r="AO151" s="20">
        <f>DATA!F151</f>
        <v/>
      </c>
      <c r="AP151" s="19">
        <f>AK151*(1+AN151)</f>
        <v/>
      </c>
      <c r="AQ151" s="19">
        <f>AL151*(1+AO151)</f>
        <v/>
      </c>
      <c r="AR151" s="19">
        <f>IF(AND(CONFIG!$B$11="Annual",MONTH(AI151)=7),(AP151+AQ151)*CONFIG!$B$6/12,AR150)</f>
        <v/>
      </c>
      <c r="AS151" s="19">
        <f>MAX(0,AQ151-AR151)</f>
        <v/>
      </c>
      <c r="AT151">
        <f>IF(OR(MONTH(AI151)=3,MONTH(AI151)=6,MONTH(AI151)=9,MONTH(AI151)=12),"Y","N")</f>
        <v/>
      </c>
      <c r="AU151" s="21">
        <f>IF((AP151+AS151)=0,0,AS151/(AP151+AS151))</f>
        <v/>
      </c>
      <c r="AV151">
        <f>IF(AND(AT151="Y",OR(AU151&lt;CONFIG!$B$8,AU151&gt;CONFIG!$B$9)),"Y","N")</f>
        <v/>
      </c>
      <c r="AW151" s="19">
        <f>IF(AV151="Y",(AP151+AS151)*0.8,AP151)</f>
        <v/>
      </c>
      <c r="AX151" s="19">
        <f>IF(AV151="Y",(AP151+AS151)*0.2,AS151)</f>
        <v/>
      </c>
    </row>
    <row r="152">
      <c r="A152" s="18">
        <f>DATA!A152</f>
        <v/>
      </c>
      <c r="B152">
        <f>DATA!B152</f>
        <v/>
      </c>
      <c r="C152" s="19">
        <f>O151</f>
        <v/>
      </c>
      <c r="D152" s="19">
        <f>P151</f>
        <v/>
      </c>
      <c r="E152" s="19">
        <f>C152+D152</f>
        <v/>
      </c>
      <c r="F152" s="20">
        <f>DATA!C152</f>
        <v/>
      </c>
      <c r="G152" s="20">
        <f>DATA!F152</f>
        <v/>
      </c>
      <c r="H152" s="19">
        <f>C152*(1+F152)</f>
        <v/>
      </c>
      <c r="I152" s="19">
        <f>D152*(1+G152)</f>
        <v/>
      </c>
      <c r="J152" s="19">
        <f>IF(AND(CONFIG!$B$11="Annual",MONTH(A152)=7),(H152+I152)*CONFIG!$B$6/12,J151)</f>
        <v/>
      </c>
      <c r="K152" s="19">
        <f>MAX(0,I152-J152)</f>
        <v/>
      </c>
      <c r="L152">
        <f>IF(OR(MONTH(A152)=3,MONTH(A152)=6,MONTH(A152)=9,MONTH(A152)=12),"Y","N")</f>
        <v/>
      </c>
      <c r="M152" s="21">
        <f>IF((H152+K152)=0,0,K152/(H152+K152))</f>
        <v/>
      </c>
      <c r="N152">
        <f>IF(AND(L152="Y",OR(M152&lt;CONFIG!$B$8,M152&gt;CONFIG!$B$9)),"Y","N")</f>
        <v/>
      </c>
      <c r="O152" s="19">
        <f>IF(N152="Y",(H152+K152)*0.8,H152)</f>
        <v/>
      </c>
      <c r="P152" s="19">
        <f>IF(N152="Y",(H152+K152)*0.2,K152)</f>
        <v/>
      </c>
      <c r="R152" s="18">
        <f>DATA!A152</f>
        <v/>
      </c>
      <c r="S152">
        <f>DATA!B152</f>
        <v/>
      </c>
      <c r="T152" s="19">
        <f>AF151</f>
        <v/>
      </c>
      <c r="U152" s="19">
        <f>AG151</f>
        <v/>
      </c>
      <c r="V152" s="19">
        <f>T152+U152</f>
        <v/>
      </c>
      <c r="W152" s="20">
        <f>DATA!D152</f>
        <v/>
      </c>
      <c r="X152" s="20">
        <f>DATA!F152</f>
        <v/>
      </c>
      <c r="Y152" s="19">
        <f>T152*(1+W152)</f>
        <v/>
      </c>
      <c r="Z152" s="19">
        <f>U152*(1+X152)</f>
        <v/>
      </c>
      <c r="AA152" s="19">
        <f>IF(AND(CONFIG!$B$11="Annual",MONTH(R152)=7),(Y152+Z152)*CONFIG!$B$6/12,AA151)</f>
        <v/>
      </c>
      <c r="AB152" s="19">
        <f>MAX(0,Z152-AA152)</f>
        <v/>
      </c>
      <c r="AC152">
        <f>IF(OR(MONTH(R152)=3,MONTH(R152)=6,MONTH(R152)=9,MONTH(R152)=12),"Y","N")</f>
        <v/>
      </c>
      <c r="AD152" s="21">
        <f>IF((Y152+AB152)=0,0,AB152/(Y152+AB152))</f>
        <v/>
      </c>
      <c r="AE152">
        <f>IF(AND(AC152="Y",OR(AD152&lt;CONFIG!$B$8,AD152&gt;CONFIG!$B$9)),"Y","N")</f>
        <v/>
      </c>
      <c r="AF152" s="19">
        <f>IF(AE152="Y",(Y152+AB152)*0.8,Y152)</f>
        <v/>
      </c>
      <c r="AG152" s="19">
        <f>IF(AE152="Y",(Y152+AB152)*0.2,AB152)</f>
        <v/>
      </c>
      <c r="AI152" s="18">
        <f>DATA!A152</f>
        <v/>
      </c>
      <c r="AJ152">
        <f>DATA!B152</f>
        <v/>
      </c>
      <c r="AK152" s="19">
        <f>AW151</f>
        <v/>
      </c>
      <c r="AL152" s="19">
        <f>AX151</f>
        <v/>
      </c>
      <c r="AM152" s="19">
        <f>AK152+AL152</f>
        <v/>
      </c>
      <c r="AN152" s="20">
        <f>DATA!E152</f>
        <v/>
      </c>
      <c r="AO152" s="20">
        <f>DATA!F152</f>
        <v/>
      </c>
      <c r="AP152" s="19">
        <f>AK152*(1+AN152)</f>
        <v/>
      </c>
      <c r="AQ152" s="19">
        <f>AL152*(1+AO152)</f>
        <v/>
      </c>
      <c r="AR152" s="19">
        <f>IF(AND(CONFIG!$B$11="Annual",MONTH(AI152)=7),(AP152+AQ152)*CONFIG!$B$6/12,AR151)</f>
        <v/>
      </c>
      <c r="AS152" s="19">
        <f>MAX(0,AQ152-AR152)</f>
        <v/>
      </c>
      <c r="AT152">
        <f>IF(OR(MONTH(AI152)=3,MONTH(AI152)=6,MONTH(AI152)=9,MONTH(AI152)=12),"Y","N")</f>
        <v/>
      </c>
      <c r="AU152" s="21">
        <f>IF((AP152+AS152)=0,0,AS152/(AP152+AS152))</f>
        <v/>
      </c>
      <c r="AV152">
        <f>IF(AND(AT152="Y",OR(AU152&lt;CONFIG!$B$8,AU152&gt;CONFIG!$B$9)),"Y","N")</f>
        <v/>
      </c>
      <c r="AW152" s="19">
        <f>IF(AV152="Y",(AP152+AS152)*0.8,AP152)</f>
        <v/>
      </c>
      <c r="AX152" s="19">
        <f>IF(AV152="Y",(AP152+AS152)*0.2,AS152)</f>
        <v/>
      </c>
    </row>
    <row r="153">
      <c r="A153" s="18">
        <f>DATA!A153</f>
        <v/>
      </c>
      <c r="B153">
        <f>DATA!B153</f>
        <v/>
      </c>
      <c r="C153" s="19">
        <f>O152</f>
        <v/>
      </c>
      <c r="D153" s="19">
        <f>P152</f>
        <v/>
      </c>
      <c r="E153" s="19">
        <f>C153+D153</f>
        <v/>
      </c>
      <c r="F153" s="20">
        <f>DATA!C153</f>
        <v/>
      </c>
      <c r="G153" s="20">
        <f>DATA!F153</f>
        <v/>
      </c>
      <c r="H153" s="19">
        <f>C153*(1+F153)</f>
        <v/>
      </c>
      <c r="I153" s="19">
        <f>D153*(1+G153)</f>
        <v/>
      </c>
      <c r="J153" s="19">
        <f>IF(AND(CONFIG!$B$11="Annual",MONTH(A153)=7),(H153+I153)*CONFIG!$B$6/12,J152)</f>
        <v/>
      </c>
      <c r="K153" s="19">
        <f>MAX(0,I153-J153)</f>
        <v/>
      </c>
      <c r="L153">
        <f>IF(OR(MONTH(A153)=3,MONTH(A153)=6,MONTH(A153)=9,MONTH(A153)=12),"Y","N")</f>
        <v/>
      </c>
      <c r="M153" s="21">
        <f>IF((H153+K153)=0,0,K153/(H153+K153))</f>
        <v/>
      </c>
      <c r="N153">
        <f>IF(AND(L153="Y",OR(M153&lt;CONFIG!$B$8,M153&gt;CONFIG!$B$9)),"Y","N")</f>
        <v/>
      </c>
      <c r="O153" s="19">
        <f>IF(N153="Y",(H153+K153)*0.8,H153)</f>
        <v/>
      </c>
      <c r="P153" s="19">
        <f>IF(N153="Y",(H153+K153)*0.2,K153)</f>
        <v/>
      </c>
      <c r="R153" s="18">
        <f>DATA!A153</f>
        <v/>
      </c>
      <c r="S153">
        <f>DATA!B153</f>
        <v/>
      </c>
      <c r="T153" s="19">
        <f>AF152</f>
        <v/>
      </c>
      <c r="U153" s="19">
        <f>AG152</f>
        <v/>
      </c>
      <c r="V153" s="19">
        <f>T153+U153</f>
        <v/>
      </c>
      <c r="W153" s="20">
        <f>DATA!D153</f>
        <v/>
      </c>
      <c r="X153" s="20">
        <f>DATA!F153</f>
        <v/>
      </c>
      <c r="Y153" s="19">
        <f>T153*(1+W153)</f>
        <v/>
      </c>
      <c r="Z153" s="19">
        <f>U153*(1+X153)</f>
        <v/>
      </c>
      <c r="AA153" s="19">
        <f>IF(AND(CONFIG!$B$11="Annual",MONTH(R153)=7),(Y153+Z153)*CONFIG!$B$6/12,AA152)</f>
        <v/>
      </c>
      <c r="AB153" s="19">
        <f>MAX(0,Z153-AA153)</f>
        <v/>
      </c>
      <c r="AC153">
        <f>IF(OR(MONTH(R153)=3,MONTH(R153)=6,MONTH(R153)=9,MONTH(R153)=12),"Y","N")</f>
        <v/>
      </c>
      <c r="AD153" s="21">
        <f>IF((Y153+AB153)=0,0,AB153/(Y153+AB153))</f>
        <v/>
      </c>
      <c r="AE153">
        <f>IF(AND(AC153="Y",OR(AD153&lt;CONFIG!$B$8,AD153&gt;CONFIG!$B$9)),"Y","N")</f>
        <v/>
      </c>
      <c r="AF153" s="19">
        <f>IF(AE153="Y",(Y153+AB153)*0.8,Y153)</f>
        <v/>
      </c>
      <c r="AG153" s="19">
        <f>IF(AE153="Y",(Y153+AB153)*0.2,AB153)</f>
        <v/>
      </c>
      <c r="AI153" s="18">
        <f>DATA!A153</f>
        <v/>
      </c>
      <c r="AJ153">
        <f>DATA!B153</f>
        <v/>
      </c>
      <c r="AK153" s="19">
        <f>AW152</f>
        <v/>
      </c>
      <c r="AL153" s="19">
        <f>AX152</f>
        <v/>
      </c>
      <c r="AM153" s="19">
        <f>AK153+AL153</f>
        <v/>
      </c>
      <c r="AN153" s="20">
        <f>DATA!E153</f>
        <v/>
      </c>
      <c r="AO153" s="20">
        <f>DATA!F153</f>
        <v/>
      </c>
      <c r="AP153" s="19">
        <f>AK153*(1+AN153)</f>
        <v/>
      </c>
      <c r="AQ153" s="19">
        <f>AL153*(1+AO153)</f>
        <v/>
      </c>
      <c r="AR153" s="19">
        <f>IF(AND(CONFIG!$B$11="Annual",MONTH(AI153)=7),(AP153+AQ153)*CONFIG!$B$6/12,AR152)</f>
        <v/>
      </c>
      <c r="AS153" s="19">
        <f>MAX(0,AQ153-AR153)</f>
        <v/>
      </c>
      <c r="AT153">
        <f>IF(OR(MONTH(AI153)=3,MONTH(AI153)=6,MONTH(AI153)=9,MONTH(AI153)=12),"Y","N")</f>
        <v/>
      </c>
      <c r="AU153" s="21">
        <f>IF((AP153+AS153)=0,0,AS153/(AP153+AS153))</f>
        <v/>
      </c>
      <c r="AV153">
        <f>IF(AND(AT153="Y",OR(AU153&lt;CONFIG!$B$8,AU153&gt;CONFIG!$B$9)),"Y","N")</f>
        <v/>
      </c>
      <c r="AW153" s="19">
        <f>IF(AV153="Y",(AP153+AS153)*0.8,AP153)</f>
        <v/>
      </c>
      <c r="AX153" s="19">
        <f>IF(AV153="Y",(AP153+AS153)*0.2,AS153)</f>
        <v/>
      </c>
    </row>
    <row r="154">
      <c r="A154" s="18">
        <f>DATA!A154</f>
        <v/>
      </c>
      <c r="B154">
        <f>DATA!B154</f>
        <v/>
      </c>
      <c r="C154" s="19">
        <f>O153</f>
        <v/>
      </c>
      <c r="D154" s="19">
        <f>P153</f>
        <v/>
      </c>
      <c r="E154" s="19">
        <f>C154+D154</f>
        <v/>
      </c>
      <c r="F154" s="20">
        <f>DATA!C154</f>
        <v/>
      </c>
      <c r="G154" s="20">
        <f>DATA!F154</f>
        <v/>
      </c>
      <c r="H154" s="19">
        <f>C154*(1+F154)</f>
        <v/>
      </c>
      <c r="I154" s="19">
        <f>D154*(1+G154)</f>
        <v/>
      </c>
      <c r="J154" s="19">
        <f>IF(AND(CONFIG!$B$11="Annual",MONTH(A154)=7),(H154+I154)*CONFIG!$B$6/12,J153)</f>
        <v/>
      </c>
      <c r="K154" s="19">
        <f>MAX(0,I154-J154)</f>
        <v/>
      </c>
      <c r="L154">
        <f>IF(OR(MONTH(A154)=3,MONTH(A154)=6,MONTH(A154)=9,MONTH(A154)=12),"Y","N")</f>
        <v/>
      </c>
      <c r="M154" s="21">
        <f>IF((H154+K154)=0,0,K154/(H154+K154))</f>
        <v/>
      </c>
      <c r="N154">
        <f>IF(AND(L154="Y",OR(M154&lt;CONFIG!$B$8,M154&gt;CONFIG!$B$9)),"Y","N")</f>
        <v/>
      </c>
      <c r="O154" s="19">
        <f>IF(N154="Y",(H154+K154)*0.8,H154)</f>
        <v/>
      </c>
      <c r="P154" s="19">
        <f>IF(N154="Y",(H154+K154)*0.2,K154)</f>
        <v/>
      </c>
      <c r="R154" s="18">
        <f>DATA!A154</f>
        <v/>
      </c>
      <c r="S154">
        <f>DATA!B154</f>
        <v/>
      </c>
      <c r="T154" s="19">
        <f>AF153</f>
        <v/>
      </c>
      <c r="U154" s="19">
        <f>AG153</f>
        <v/>
      </c>
      <c r="V154" s="19">
        <f>T154+U154</f>
        <v/>
      </c>
      <c r="W154" s="20">
        <f>DATA!D154</f>
        <v/>
      </c>
      <c r="X154" s="20">
        <f>DATA!F154</f>
        <v/>
      </c>
      <c r="Y154" s="19">
        <f>T154*(1+W154)</f>
        <v/>
      </c>
      <c r="Z154" s="19">
        <f>U154*(1+X154)</f>
        <v/>
      </c>
      <c r="AA154" s="19">
        <f>IF(AND(CONFIG!$B$11="Annual",MONTH(R154)=7),(Y154+Z154)*CONFIG!$B$6/12,AA153)</f>
        <v/>
      </c>
      <c r="AB154" s="19">
        <f>MAX(0,Z154-AA154)</f>
        <v/>
      </c>
      <c r="AC154">
        <f>IF(OR(MONTH(R154)=3,MONTH(R154)=6,MONTH(R154)=9,MONTH(R154)=12),"Y","N")</f>
        <v/>
      </c>
      <c r="AD154" s="21">
        <f>IF((Y154+AB154)=0,0,AB154/(Y154+AB154))</f>
        <v/>
      </c>
      <c r="AE154">
        <f>IF(AND(AC154="Y",OR(AD154&lt;CONFIG!$B$8,AD154&gt;CONFIG!$B$9)),"Y","N")</f>
        <v/>
      </c>
      <c r="AF154" s="19">
        <f>IF(AE154="Y",(Y154+AB154)*0.8,Y154)</f>
        <v/>
      </c>
      <c r="AG154" s="19">
        <f>IF(AE154="Y",(Y154+AB154)*0.2,AB154)</f>
        <v/>
      </c>
      <c r="AI154" s="18">
        <f>DATA!A154</f>
        <v/>
      </c>
      <c r="AJ154">
        <f>DATA!B154</f>
        <v/>
      </c>
      <c r="AK154" s="19">
        <f>AW153</f>
        <v/>
      </c>
      <c r="AL154" s="19">
        <f>AX153</f>
        <v/>
      </c>
      <c r="AM154" s="19">
        <f>AK154+AL154</f>
        <v/>
      </c>
      <c r="AN154" s="20">
        <f>DATA!E154</f>
        <v/>
      </c>
      <c r="AO154" s="20">
        <f>DATA!F154</f>
        <v/>
      </c>
      <c r="AP154" s="19">
        <f>AK154*(1+AN154)</f>
        <v/>
      </c>
      <c r="AQ154" s="19">
        <f>AL154*(1+AO154)</f>
        <v/>
      </c>
      <c r="AR154" s="19">
        <f>IF(AND(CONFIG!$B$11="Annual",MONTH(AI154)=7),(AP154+AQ154)*CONFIG!$B$6/12,AR153)</f>
        <v/>
      </c>
      <c r="AS154" s="19">
        <f>MAX(0,AQ154-AR154)</f>
        <v/>
      </c>
      <c r="AT154">
        <f>IF(OR(MONTH(AI154)=3,MONTH(AI154)=6,MONTH(AI154)=9,MONTH(AI154)=12),"Y","N")</f>
        <v/>
      </c>
      <c r="AU154" s="21">
        <f>IF((AP154+AS154)=0,0,AS154/(AP154+AS154))</f>
        <v/>
      </c>
      <c r="AV154">
        <f>IF(AND(AT154="Y",OR(AU154&lt;CONFIG!$B$8,AU154&gt;CONFIG!$B$9)),"Y","N")</f>
        <v/>
      </c>
      <c r="AW154" s="19">
        <f>IF(AV154="Y",(AP154+AS154)*0.8,AP154)</f>
        <v/>
      </c>
      <c r="AX154" s="19">
        <f>IF(AV154="Y",(AP154+AS154)*0.2,AS154)</f>
        <v/>
      </c>
    </row>
    <row r="155">
      <c r="A155" s="18">
        <f>DATA!A155</f>
        <v/>
      </c>
      <c r="B155">
        <f>DATA!B155</f>
        <v/>
      </c>
      <c r="C155" s="19">
        <f>O154</f>
        <v/>
      </c>
      <c r="D155" s="19">
        <f>P154</f>
        <v/>
      </c>
      <c r="E155" s="19">
        <f>C155+D155</f>
        <v/>
      </c>
      <c r="F155" s="20">
        <f>DATA!C155</f>
        <v/>
      </c>
      <c r="G155" s="20">
        <f>DATA!F155</f>
        <v/>
      </c>
      <c r="H155" s="19">
        <f>C155*(1+F155)</f>
        <v/>
      </c>
      <c r="I155" s="19">
        <f>D155*(1+G155)</f>
        <v/>
      </c>
      <c r="J155" s="19">
        <f>IF(AND(CONFIG!$B$11="Annual",MONTH(A155)=7),(H155+I155)*CONFIG!$B$6/12,J154)</f>
        <v/>
      </c>
      <c r="K155" s="19">
        <f>MAX(0,I155-J155)</f>
        <v/>
      </c>
      <c r="L155">
        <f>IF(OR(MONTH(A155)=3,MONTH(A155)=6,MONTH(A155)=9,MONTH(A155)=12),"Y","N")</f>
        <v/>
      </c>
      <c r="M155" s="21">
        <f>IF((H155+K155)=0,0,K155/(H155+K155))</f>
        <v/>
      </c>
      <c r="N155">
        <f>IF(AND(L155="Y",OR(M155&lt;CONFIG!$B$8,M155&gt;CONFIG!$B$9)),"Y","N")</f>
        <v/>
      </c>
      <c r="O155" s="19">
        <f>IF(N155="Y",(H155+K155)*0.8,H155)</f>
        <v/>
      </c>
      <c r="P155" s="19">
        <f>IF(N155="Y",(H155+K155)*0.2,K155)</f>
        <v/>
      </c>
      <c r="R155" s="18">
        <f>DATA!A155</f>
        <v/>
      </c>
      <c r="S155">
        <f>DATA!B155</f>
        <v/>
      </c>
      <c r="T155" s="19">
        <f>AF154</f>
        <v/>
      </c>
      <c r="U155" s="19">
        <f>AG154</f>
        <v/>
      </c>
      <c r="V155" s="19">
        <f>T155+U155</f>
        <v/>
      </c>
      <c r="W155" s="20">
        <f>DATA!D155</f>
        <v/>
      </c>
      <c r="X155" s="20">
        <f>DATA!F155</f>
        <v/>
      </c>
      <c r="Y155" s="19">
        <f>T155*(1+W155)</f>
        <v/>
      </c>
      <c r="Z155" s="19">
        <f>U155*(1+X155)</f>
        <v/>
      </c>
      <c r="AA155" s="19">
        <f>IF(AND(CONFIG!$B$11="Annual",MONTH(R155)=7),(Y155+Z155)*CONFIG!$B$6/12,AA154)</f>
        <v/>
      </c>
      <c r="AB155" s="19">
        <f>MAX(0,Z155-AA155)</f>
        <v/>
      </c>
      <c r="AC155">
        <f>IF(OR(MONTH(R155)=3,MONTH(R155)=6,MONTH(R155)=9,MONTH(R155)=12),"Y","N")</f>
        <v/>
      </c>
      <c r="AD155" s="21">
        <f>IF((Y155+AB155)=0,0,AB155/(Y155+AB155))</f>
        <v/>
      </c>
      <c r="AE155">
        <f>IF(AND(AC155="Y",OR(AD155&lt;CONFIG!$B$8,AD155&gt;CONFIG!$B$9)),"Y","N")</f>
        <v/>
      </c>
      <c r="AF155" s="19">
        <f>IF(AE155="Y",(Y155+AB155)*0.8,Y155)</f>
        <v/>
      </c>
      <c r="AG155" s="19">
        <f>IF(AE155="Y",(Y155+AB155)*0.2,AB155)</f>
        <v/>
      </c>
      <c r="AI155" s="18">
        <f>DATA!A155</f>
        <v/>
      </c>
      <c r="AJ155">
        <f>DATA!B155</f>
        <v/>
      </c>
      <c r="AK155" s="19">
        <f>AW154</f>
        <v/>
      </c>
      <c r="AL155" s="19">
        <f>AX154</f>
        <v/>
      </c>
      <c r="AM155" s="19">
        <f>AK155+AL155</f>
        <v/>
      </c>
      <c r="AN155" s="20">
        <f>DATA!E155</f>
        <v/>
      </c>
      <c r="AO155" s="20">
        <f>DATA!F155</f>
        <v/>
      </c>
      <c r="AP155" s="19">
        <f>AK155*(1+AN155)</f>
        <v/>
      </c>
      <c r="AQ155" s="19">
        <f>AL155*(1+AO155)</f>
        <v/>
      </c>
      <c r="AR155" s="19">
        <f>IF(AND(CONFIG!$B$11="Annual",MONTH(AI155)=7),(AP155+AQ155)*CONFIG!$B$6/12,AR154)</f>
        <v/>
      </c>
      <c r="AS155" s="19">
        <f>MAX(0,AQ155-AR155)</f>
        <v/>
      </c>
      <c r="AT155">
        <f>IF(OR(MONTH(AI155)=3,MONTH(AI155)=6,MONTH(AI155)=9,MONTH(AI155)=12),"Y","N")</f>
        <v/>
      </c>
      <c r="AU155" s="21">
        <f>IF((AP155+AS155)=0,0,AS155/(AP155+AS155))</f>
        <v/>
      </c>
      <c r="AV155">
        <f>IF(AND(AT155="Y",OR(AU155&lt;CONFIG!$B$8,AU155&gt;CONFIG!$B$9)),"Y","N")</f>
        <v/>
      </c>
      <c r="AW155" s="19">
        <f>IF(AV155="Y",(AP155+AS155)*0.8,AP155)</f>
        <v/>
      </c>
      <c r="AX155" s="19">
        <f>IF(AV155="Y",(AP155+AS155)*0.2,AS155)</f>
        <v/>
      </c>
    </row>
    <row r="156">
      <c r="A156" s="18">
        <f>DATA!A156</f>
        <v/>
      </c>
      <c r="B156">
        <f>DATA!B156</f>
        <v/>
      </c>
      <c r="C156" s="19">
        <f>O155</f>
        <v/>
      </c>
      <c r="D156" s="19">
        <f>P155</f>
        <v/>
      </c>
      <c r="E156" s="19">
        <f>C156+D156</f>
        <v/>
      </c>
      <c r="F156" s="20">
        <f>DATA!C156</f>
        <v/>
      </c>
      <c r="G156" s="20">
        <f>DATA!F156</f>
        <v/>
      </c>
      <c r="H156" s="19">
        <f>C156*(1+F156)</f>
        <v/>
      </c>
      <c r="I156" s="19">
        <f>D156*(1+G156)</f>
        <v/>
      </c>
      <c r="J156" s="19">
        <f>IF(AND(CONFIG!$B$11="Annual",MONTH(A156)=7),(H156+I156)*CONFIG!$B$6/12,J155)</f>
        <v/>
      </c>
      <c r="K156" s="19">
        <f>MAX(0,I156-J156)</f>
        <v/>
      </c>
      <c r="L156">
        <f>IF(OR(MONTH(A156)=3,MONTH(A156)=6,MONTH(A156)=9,MONTH(A156)=12),"Y","N")</f>
        <v/>
      </c>
      <c r="M156" s="21">
        <f>IF((H156+K156)=0,0,K156/(H156+K156))</f>
        <v/>
      </c>
      <c r="N156">
        <f>IF(AND(L156="Y",OR(M156&lt;CONFIG!$B$8,M156&gt;CONFIG!$B$9)),"Y","N")</f>
        <v/>
      </c>
      <c r="O156" s="19">
        <f>IF(N156="Y",(H156+K156)*0.8,H156)</f>
        <v/>
      </c>
      <c r="P156" s="19">
        <f>IF(N156="Y",(H156+K156)*0.2,K156)</f>
        <v/>
      </c>
      <c r="R156" s="18">
        <f>DATA!A156</f>
        <v/>
      </c>
      <c r="S156">
        <f>DATA!B156</f>
        <v/>
      </c>
      <c r="T156" s="19">
        <f>AF155</f>
        <v/>
      </c>
      <c r="U156" s="19">
        <f>AG155</f>
        <v/>
      </c>
      <c r="V156" s="19">
        <f>T156+U156</f>
        <v/>
      </c>
      <c r="W156" s="20">
        <f>DATA!D156</f>
        <v/>
      </c>
      <c r="X156" s="20">
        <f>DATA!F156</f>
        <v/>
      </c>
      <c r="Y156" s="19">
        <f>T156*(1+W156)</f>
        <v/>
      </c>
      <c r="Z156" s="19">
        <f>U156*(1+X156)</f>
        <v/>
      </c>
      <c r="AA156" s="19">
        <f>IF(AND(CONFIG!$B$11="Annual",MONTH(R156)=7),(Y156+Z156)*CONFIG!$B$6/12,AA155)</f>
        <v/>
      </c>
      <c r="AB156" s="19">
        <f>MAX(0,Z156-AA156)</f>
        <v/>
      </c>
      <c r="AC156">
        <f>IF(OR(MONTH(R156)=3,MONTH(R156)=6,MONTH(R156)=9,MONTH(R156)=12),"Y","N")</f>
        <v/>
      </c>
      <c r="AD156" s="21">
        <f>IF((Y156+AB156)=0,0,AB156/(Y156+AB156))</f>
        <v/>
      </c>
      <c r="AE156">
        <f>IF(AND(AC156="Y",OR(AD156&lt;CONFIG!$B$8,AD156&gt;CONFIG!$B$9)),"Y","N")</f>
        <v/>
      </c>
      <c r="AF156" s="19">
        <f>IF(AE156="Y",(Y156+AB156)*0.8,Y156)</f>
        <v/>
      </c>
      <c r="AG156" s="19">
        <f>IF(AE156="Y",(Y156+AB156)*0.2,AB156)</f>
        <v/>
      </c>
      <c r="AI156" s="18">
        <f>DATA!A156</f>
        <v/>
      </c>
      <c r="AJ156">
        <f>DATA!B156</f>
        <v/>
      </c>
      <c r="AK156" s="19">
        <f>AW155</f>
        <v/>
      </c>
      <c r="AL156" s="19">
        <f>AX155</f>
        <v/>
      </c>
      <c r="AM156" s="19">
        <f>AK156+AL156</f>
        <v/>
      </c>
      <c r="AN156" s="20">
        <f>DATA!E156</f>
        <v/>
      </c>
      <c r="AO156" s="20">
        <f>DATA!F156</f>
        <v/>
      </c>
      <c r="AP156" s="19">
        <f>AK156*(1+AN156)</f>
        <v/>
      </c>
      <c r="AQ156" s="19">
        <f>AL156*(1+AO156)</f>
        <v/>
      </c>
      <c r="AR156" s="19">
        <f>IF(AND(CONFIG!$B$11="Annual",MONTH(AI156)=7),(AP156+AQ156)*CONFIG!$B$6/12,AR155)</f>
        <v/>
      </c>
      <c r="AS156" s="19">
        <f>MAX(0,AQ156-AR156)</f>
        <v/>
      </c>
      <c r="AT156">
        <f>IF(OR(MONTH(AI156)=3,MONTH(AI156)=6,MONTH(AI156)=9,MONTH(AI156)=12),"Y","N")</f>
        <v/>
      </c>
      <c r="AU156" s="21">
        <f>IF((AP156+AS156)=0,0,AS156/(AP156+AS156))</f>
        <v/>
      </c>
      <c r="AV156">
        <f>IF(AND(AT156="Y",OR(AU156&lt;CONFIG!$B$8,AU156&gt;CONFIG!$B$9)),"Y","N")</f>
        <v/>
      </c>
      <c r="AW156" s="19">
        <f>IF(AV156="Y",(AP156+AS156)*0.8,AP156)</f>
        <v/>
      </c>
      <c r="AX156" s="19">
        <f>IF(AV156="Y",(AP156+AS156)*0.2,AS156)</f>
        <v/>
      </c>
    </row>
    <row r="157">
      <c r="A157" s="18">
        <f>DATA!A157</f>
        <v/>
      </c>
      <c r="B157">
        <f>DATA!B157</f>
        <v/>
      </c>
      <c r="C157" s="19">
        <f>O156</f>
        <v/>
      </c>
      <c r="D157" s="19">
        <f>P156</f>
        <v/>
      </c>
      <c r="E157" s="19">
        <f>C157+D157</f>
        <v/>
      </c>
      <c r="F157" s="20">
        <f>DATA!C157</f>
        <v/>
      </c>
      <c r="G157" s="20">
        <f>DATA!F157</f>
        <v/>
      </c>
      <c r="H157" s="19">
        <f>C157*(1+F157)</f>
        <v/>
      </c>
      <c r="I157" s="19">
        <f>D157*(1+G157)</f>
        <v/>
      </c>
      <c r="J157" s="19">
        <f>IF(AND(CONFIG!$B$11="Annual",MONTH(A157)=7),(H157+I157)*CONFIG!$B$6/12,J156)</f>
        <v/>
      </c>
      <c r="K157" s="19">
        <f>MAX(0,I157-J157)</f>
        <v/>
      </c>
      <c r="L157">
        <f>IF(OR(MONTH(A157)=3,MONTH(A157)=6,MONTH(A157)=9,MONTH(A157)=12),"Y","N")</f>
        <v/>
      </c>
      <c r="M157" s="21">
        <f>IF((H157+K157)=0,0,K157/(H157+K157))</f>
        <v/>
      </c>
      <c r="N157">
        <f>IF(AND(L157="Y",OR(M157&lt;CONFIG!$B$8,M157&gt;CONFIG!$B$9)),"Y","N")</f>
        <v/>
      </c>
      <c r="O157" s="19">
        <f>IF(N157="Y",(H157+K157)*0.8,H157)</f>
        <v/>
      </c>
      <c r="P157" s="19">
        <f>IF(N157="Y",(H157+K157)*0.2,K157)</f>
        <v/>
      </c>
      <c r="R157" s="18">
        <f>DATA!A157</f>
        <v/>
      </c>
      <c r="S157">
        <f>DATA!B157</f>
        <v/>
      </c>
      <c r="T157" s="19">
        <f>AF156</f>
        <v/>
      </c>
      <c r="U157" s="19">
        <f>AG156</f>
        <v/>
      </c>
      <c r="V157" s="19">
        <f>T157+U157</f>
        <v/>
      </c>
      <c r="W157" s="20">
        <f>DATA!D157</f>
        <v/>
      </c>
      <c r="X157" s="20">
        <f>DATA!F157</f>
        <v/>
      </c>
      <c r="Y157" s="19">
        <f>T157*(1+W157)</f>
        <v/>
      </c>
      <c r="Z157" s="19">
        <f>U157*(1+X157)</f>
        <v/>
      </c>
      <c r="AA157" s="19">
        <f>IF(AND(CONFIG!$B$11="Annual",MONTH(R157)=7),(Y157+Z157)*CONFIG!$B$6/12,AA156)</f>
        <v/>
      </c>
      <c r="AB157" s="19">
        <f>MAX(0,Z157-AA157)</f>
        <v/>
      </c>
      <c r="AC157">
        <f>IF(OR(MONTH(R157)=3,MONTH(R157)=6,MONTH(R157)=9,MONTH(R157)=12),"Y","N")</f>
        <v/>
      </c>
      <c r="AD157" s="21">
        <f>IF((Y157+AB157)=0,0,AB157/(Y157+AB157))</f>
        <v/>
      </c>
      <c r="AE157">
        <f>IF(AND(AC157="Y",OR(AD157&lt;CONFIG!$B$8,AD157&gt;CONFIG!$B$9)),"Y","N")</f>
        <v/>
      </c>
      <c r="AF157" s="19">
        <f>IF(AE157="Y",(Y157+AB157)*0.8,Y157)</f>
        <v/>
      </c>
      <c r="AG157" s="19">
        <f>IF(AE157="Y",(Y157+AB157)*0.2,AB157)</f>
        <v/>
      </c>
      <c r="AI157" s="18">
        <f>DATA!A157</f>
        <v/>
      </c>
      <c r="AJ157">
        <f>DATA!B157</f>
        <v/>
      </c>
      <c r="AK157" s="19">
        <f>AW156</f>
        <v/>
      </c>
      <c r="AL157" s="19">
        <f>AX156</f>
        <v/>
      </c>
      <c r="AM157" s="19">
        <f>AK157+AL157</f>
        <v/>
      </c>
      <c r="AN157" s="20">
        <f>DATA!E157</f>
        <v/>
      </c>
      <c r="AO157" s="20">
        <f>DATA!F157</f>
        <v/>
      </c>
      <c r="AP157" s="19">
        <f>AK157*(1+AN157)</f>
        <v/>
      </c>
      <c r="AQ157" s="19">
        <f>AL157*(1+AO157)</f>
        <v/>
      </c>
      <c r="AR157" s="19">
        <f>IF(AND(CONFIG!$B$11="Annual",MONTH(AI157)=7),(AP157+AQ157)*CONFIG!$B$6/12,AR156)</f>
        <v/>
      </c>
      <c r="AS157" s="19">
        <f>MAX(0,AQ157-AR157)</f>
        <v/>
      </c>
      <c r="AT157">
        <f>IF(OR(MONTH(AI157)=3,MONTH(AI157)=6,MONTH(AI157)=9,MONTH(AI157)=12),"Y","N")</f>
        <v/>
      </c>
      <c r="AU157" s="21">
        <f>IF((AP157+AS157)=0,0,AS157/(AP157+AS157))</f>
        <v/>
      </c>
      <c r="AV157">
        <f>IF(AND(AT157="Y",OR(AU157&lt;CONFIG!$B$8,AU157&gt;CONFIG!$B$9)),"Y","N")</f>
        <v/>
      </c>
      <c r="AW157" s="19">
        <f>IF(AV157="Y",(AP157+AS157)*0.8,AP157)</f>
        <v/>
      </c>
      <c r="AX157" s="19">
        <f>IF(AV157="Y",(AP157+AS157)*0.2,AS157)</f>
        <v/>
      </c>
    </row>
    <row r="158">
      <c r="A158" s="18">
        <f>DATA!A158</f>
        <v/>
      </c>
      <c r="B158">
        <f>DATA!B158</f>
        <v/>
      </c>
      <c r="C158" s="19">
        <f>O157</f>
        <v/>
      </c>
      <c r="D158" s="19">
        <f>P157</f>
        <v/>
      </c>
      <c r="E158" s="19">
        <f>C158+D158</f>
        <v/>
      </c>
      <c r="F158" s="20">
        <f>DATA!C158</f>
        <v/>
      </c>
      <c r="G158" s="20">
        <f>DATA!F158</f>
        <v/>
      </c>
      <c r="H158" s="19">
        <f>C158*(1+F158)</f>
        <v/>
      </c>
      <c r="I158" s="19">
        <f>D158*(1+G158)</f>
        <v/>
      </c>
      <c r="J158" s="19">
        <f>IF(AND(CONFIG!$B$11="Annual",MONTH(A158)=7),(H158+I158)*CONFIG!$B$6/12,J157)</f>
        <v/>
      </c>
      <c r="K158" s="19">
        <f>MAX(0,I158-J158)</f>
        <v/>
      </c>
      <c r="L158">
        <f>IF(OR(MONTH(A158)=3,MONTH(A158)=6,MONTH(A158)=9,MONTH(A158)=12),"Y","N")</f>
        <v/>
      </c>
      <c r="M158" s="21">
        <f>IF((H158+K158)=0,0,K158/(H158+K158))</f>
        <v/>
      </c>
      <c r="N158">
        <f>IF(AND(L158="Y",OR(M158&lt;CONFIG!$B$8,M158&gt;CONFIG!$B$9)),"Y","N")</f>
        <v/>
      </c>
      <c r="O158" s="19">
        <f>IF(N158="Y",(H158+K158)*0.8,H158)</f>
        <v/>
      </c>
      <c r="P158" s="19">
        <f>IF(N158="Y",(H158+K158)*0.2,K158)</f>
        <v/>
      </c>
      <c r="R158" s="18">
        <f>DATA!A158</f>
        <v/>
      </c>
      <c r="S158">
        <f>DATA!B158</f>
        <v/>
      </c>
      <c r="T158" s="19">
        <f>AF157</f>
        <v/>
      </c>
      <c r="U158" s="19">
        <f>AG157</f>
        <v/>
      </c>
      <c r="V158" s="19">
        <f>T158+U158</f>
        <v/>
      </c>
      <c r="W158" s="20">
        <f>DATA!D158</f>
        <v/>
      </c>
      <c r="X158" s="20">
        <f>DATA!F158</f>
        <v/>
      </c>
      <c r="Y158" s="19">
        <f>T158*(1+W158)</f>
        <v/>
      </c>
      <c r="Z158" s="19">
        <f>U158*(1+X158)</f>
        <v/>
      </c>
      <c r="AA158" s="19">
        <f>IF(AND(CONFIG!$B$11="Annual",MONTH(R158)=7),(Y158+Z158)*CONFIG!$B$6/12,AA157)</f>
        <v/>
      </c>
      <c r="AB158" s="19">
        <f>MAX(0,Z158-AA158)</f>
        <v/>
      </c>
      <c r="AC158">
        <f>IF(OR(MONTH(R158)=3,MONTH(R158)=6,MONTH(R158)=9,MONTH(R158)=12),"Y","N")</f>
        <v/>
      </c>
      <c r="AD158" s="21">
        <f>IF((Y158+AB158)=0,0,AB158/(Y158+AB158))</f>
        <v/>
      </c>
      <c r="AE158">
        <f>IF(AND(AC158="Y",OR(AD158&lt;CONFIG!$B$8,AD158&gt;CONFIG!$B$9)),"Y","N")</f>
        <v/>
      </c>
      <c r="AF158" s="19">
        <f>IF(AE158="Y",(Y158+AB158)*0.8,Y158)</f>
        <v/>
      </c>
      <c r="AG158" s="19">
        <f>IF(AE158="Y",(Y158+AB158)*0.2,AB158)</f>
        <v/>
      </c>
      <c r="AI158" s="18">
        <f>DATA!A158</f>
        <v/>
      </c>
      <c r="AJ158">
        <f>DATA!B158</f>
        <v/>
      </c>
      <c r="AK158" s="19">
        <f>AW157</f>
        <v/>
      </c>
      <c r="AL158" s="19">
        <f>AX157</f>
        <v/>
      </c>
      <c r="AM158" s="19">
        <f>AK158+AL158</f>
        <v/>
      </c>
      <c r="AN158" s="20">
        <f>DATA!E158</f>
        <v/>
      </c>
      <c r="AO158" s="20">
        <f>DATA!F158</f>
        <v/>
      </c>
      <c r="AP158" s="19">
        <f>AK158*(1+AN158)</f>
        <v/>
      </c>
      <c r="AQ158" s="19">
        <f>AL158*(1+AO158)</f>
        <v/>
      </c>
      <c r="AR158" s="19">
        <f>IF(AND(CONFIG!$B$11="Annual",MONTH(AI158)=7),(AP158+AQ158)*CONFIG!$B$6/12,AR157)</f>
        <v/>
      </c>
      <c r="AS158" s="19">
        <f>MAX(0,AQ158-AR158)</f>
        <v/>
      </c>
      <c r="AT158">
        <f>IF(OR(MONTH(AI158)=3,MONTH(AI158)=6,MONTH(AI158)=9,MONTH(AI158)=12),"Y","N")</f>
        <v/>
      </c>
      <c r="AU158" s="21">
        <f>IF((AP158+AS158)=0,0,AS158/(AP158+AS158))</f>
        <v/>
      </c>
      <c r="AV158">
        <f>IF(AND(AT158="Y",OR(AU158&lt;CONFIG!$B$8,AU158&gt;CONFIG!$B$9)),"Y","N")</f>
        <v/>
      </c>
      <c r="AW158" s="19">
        <f>IF(AV158="Y",(AP158+AS158)*0.8,AP158)</f>
        <v/>
      </c>
      <c r="AX158" s="19">
        <f>IF(AV158="Y",(AP158+AS158)*0.2,AS158)</f>
        <v/>
      </c>
    </row>
    <row r="159">
      <c r="A159" s="18">
        <f>DATA!A159</f>
        <v/>
      </c>
      <c r="B159">
        <f>DATA!B159</f>
        <v/>
      </c>
      <c r="C159" s="19">
        <f>O158</f>
        <v/>
      </c>
      <c r="D159" s="19">
        <f>P158</f>
        <v/>
      </c>
      <c r="E159" s="19">
        <f>C159+D159</f>
        <v/>
      </c>
      <c r="F159" s="20">
        <f>DATA!C159</f>
        <v/>
      </c>
      <c r="G159" s="20">
        <f>DATA!F159</f>
        <v/>
      </c>
      <c r="H159" s="19">
        <f>C159*(1+F159)</f>
        <v/>
      </c>
      <c r="I159" s="19">
        <f>D159*(1+G159)</f>
        <v/>
      </c>
      <c r="J159" s="19">
        <f>IF(AND(CONFIG!$B$11="Annual",MONTH(A159)=7),(H159+I159)*CONFIG!$B$6/12,J158)</f>
        <v/>
      </c>
      <c r="K159" s="19">
        <f>MAX(0,I159-J159)</f>
        <v/>
      </c>
      <c r="L159">
        <f>IF(OR(MONTH(A159)=3,MONTH(A159)=6,MONTH(A159)=9,MONTH(A159)=12),"Y","N")</f>
        <v/>
      </c>
      <c r="M159" s="21">
        <f>IF((H159+K159)=0,0,K159/(H159+K159))</f>
        <v/>
      </c>
      <c r="N159">
        <f>IF(AND(L159="Y",OR(M159&lt;CONFIG!$B$8,M159&gt;CONFIG!$B$9)),"Y","N")</f>
        <v/>
      </c>
      <c r="O159" s="19">
        <f>IF(N159="Y",(H159+K159)*0.8,H159)</f>
        <v/>
      </c>
      <c r="P159" s="19">
        <f>IF(N159="Y",(H159+K159)*0.2,K159)</f>
        <v/>
      </c>
      <c r="R159" s="18">
        <f>DATA!A159</f>
        <v/>
      </c>
      <c r="S159">
        <f>DATA!B159</f>
        <v/>
      </c>
      <c r="T159" s="19">
        <f>AF158</f>
        <v/>
      </c>
      <c r="U159" s="19">
        <f>AG158</f>
        <v/>
      </c>
      <c r="V159" s="19">
        <f>T159+U159</f>
        <v/>
      </c>
      <c r="W159" s="20">
        <f>DATA!D159</f>
        <v/>
      </c>
      <c r="X159" s="20">
        <f>DATA!F159</f>
        <v/>
      </c>
      <c r="Y159" s="19">
        <f>T159*(1+W159)</f>
        <v/>
      </c>
      <c r="Z159" s="19">
        <f>U159*(1+X159)</f>
        <v/>
      </c>
      <c r="AA159" s="19">
        <f>IF(AND(CONFIG!$B$11="Annual",MONTH(R159)=7),(Y159+Z159)*CONFIG!$B$6/12,AA158)</f>
        <v/>
      </c>
      <c r="AB159" s="19">
        <f>MAX(0,Z159-AA159)</f>
        <v/>
      </c>
      <c r="AC159">
        <f>IF(OR(MONTH(R159)=3,MONTH(R159)=6,MONTH(R159)=9,MONTH(R159)=12),"Y","N")</f>
        <v/>
      </c>
      <c r="AD159" s="21">
        <f>IF((Y159+AB159)=0,0,AB159/(Y159+AB159))</f>
        <v/>
      </c>
      <c r="AE159">
        <f>IF(AND(AC159="Y",OR(AD159&lt;CONFIG!$B$8,AD159&gt;CONFIG!$B$9)),"Y","N")</f>
        <v/>
      </c>
      <c r="AF159" s="19">
        <f>IF(AE159="Y",(Y159+AB159)*0.8,Y159)</f>
        <v/>
      </c>
      <c r="AG159" s="19">
        <f>IF(AE159="Y",(Y159+AB159)*0.2,AB159)</f>
        <v/>
      </c>
      <c r="AI159" s="18">
        <f>DATA!A159</f>
        <v/>
      </c>
      <c r="AJ159">
        <f>DATA!B159</f>
        <v/>
      </c>
      <c r="AK159" s="19">
        <f>AW158</f>
        <v/>
      </c>
      <c r="AL159" s="19">
        <f>AX158</f>
        <v/>
      </c>
      <c r="AM159" s="19">
        <f>AK159+AL159</f>
        <v/>
      </c>
      <c r="AN159" s="20">
        <f>DATA!E159</f>
        <v/>
      </c>
      <c r="AO159" s="20">
        <f>DATA!F159</f>
        <v/>
      </c>
      <c r="AP159" s="19">
        <f>AK159*(1+AN159)</f>
        <v/>
      </c>
      <c r="AQ159" s="19">
        <f>AL159*(1+AO159)</f>
        <v/>
      </c>
      <c r="AR159" s="19">
        <f>IF(AND(CONFIG!$B$11="Annual",MONTH(AI159)=7),(AP159+AQ159)*CONFIG!$B$6/12,AR158)</f>
        <v/>
      </c>
      <c r="AS159" s="19">
        <f>MAX(0,AQ159-AR159)</f>
        <v/>
      </c>
      <c r="AT159">
        <f>IF(OR(MONTH(AI159)=3,MONTH(AI159)=6,MONTH(AI159)=9,MONTH(AI159)=12),"Y","N")</f>
        <v/>
      </c>
      <c r="AU159" s="21">
        <f>IF((AP159+AS159)=0,0,AS159/(AP159+AS159))</f>
        <v/>
      </c>
      <c r="AV159">
        <f>IF(AND(AT159="Y",OR(AU159&lt;CONFIG!$B$8,AU159&gt;CONFIG!$B$9)),"Y","N")</f>
        <v/>
      </c>
      <c r="AW159" s="19">
        <f>IF(AV159="Y",(AP159+AS159)*0.8,AP159)</f>
        <v/>
      </c>
      <c r="AX159" s="19">
        <f>IF(AV159="Y",(AP159+AS159)*0.2,AS159)</f>
        <v/>
      </c>
    </row>
    <row r="160">
      <c r="A160" s="18">
        <f>DATA!A160</f>
        <v/>
      </c>
      <c r="B160">
        <f>DATA!B160</f>
        <v/>
      </c>
      <c r="C160" s="19">
        <f>O159</f>
        <v/>
      </c>
      <c r="D160" s="19">
        <f>P159</f>
        <v/>
      </c>
      <c r="E160" s="19">
        <f>C160+D160</f>
        <v/>
      </c>
      <c r="F160" s="20">
        <f>DATA!C160</f>
        <v/>
      </c>
      <c r="G160" s="20">
        <f>DATA!F160</f>
        <v/>
      </c>
      <c r="H160" s="19">
        <f>C160*(1+F160)</f>
        <v/>
      </c>
      <c r="I160" s="19">
        <f>D160*(1+G160)</f>
        <v/>
      </c>
      <c r="J160" s="19">
        <f>IF(AND(CONFIG!$B$11="Annual",MONTH(A160)=7),(H160+I160)*CONFIG!$B$6/12,J159)</f>
        <v/>
      </c>
      <c r="K160" s="19">
        <f>MAX(0,I160-J160)</f>
        <v/>
      </c>
      <c r="L160">
        <f>IF(OR(MONTH(A160)=3,MONTH(A160)=6,MONTH(A160)=9,MONTH(A160)=12),"Y","N")</f>
        <v/>
      </c>
      <c r="M160" s="21">
        <f>IF((H160+K160)=0,0,K160/(H160+K160))</f>
        <v/>
      </c>
      <c r="N160">
        <f>IF(AND(L160="Y",OR(M160&lt;CONFIG!$B$8,M160&gt;CONFIG!$B$9)),"Y","N")</f>
        <v/>
      </c>
      <c r="O160" s="19">
        <f>IF(N160="Y",(H160+K160)*0.8,H160)</f>
        <v/>
      </c>
      <c r="P160" s="19">
        <f>IF(N160="Y",(H160+K160)*0.2,K160)</f>
        <v/>
      </c>
      <c r="R160" s="18">
        <f>DATA!A160</f>
        <v/>
      </c>
      <c r="S160">
        <f>DATA!B160</f>
        <v/>
      </c>
      <c r="T160" s="19">
        <f>AF159</f>
        <v/>
      </c>
      <c r="U160" s="19">
        <f>AG159</f>
        <v/>
      </c>
      <c r="V160" s="19">
        <f>T160+U160</f>
        <v/>
      </c>
      <c r="W160" s="20">
        <f>DATA!D160</f>
        <v/>
      </c>
      <c r="X160" s="20">
        <f>DATA!F160</f>
        <v/>
      </c>
      <c r="Y160" s="19">
        <f>T160*(1+W160)</f>
        <v/>
      </c>
      <c r="Z160" s="19">
        <f>U160*(1+X160)</f>
        <v/>
      </c>
      <c r="AA160" s="19">
        <f>IF(AND(CONFIG!$B$11="Annual",MONTH(R160)=7),(Y160+Z160)*CONFIG!$B$6/12,AA159)</f>
        <v/>
      </c>
      <c r="AB160" s="19">
        <f>MAX(0,Z160-AA160)</f>
        <v/>
      </c>
      <c r="AC160">
        <f>IF(OR(MONTH(R160)=3,MONTH(R160)=6,MONTH(R160)=9,MONTH(R160)=12),"Y","N")</f>
        <v/>
      </c>
      <c r="AD160" s="21">
        <f>IF((Y160+AB160)=0,0,AB160/(Y160+AB160))</f>
        <v/>
      </c>
      <c r="AE160">
        <f>IF(AND(AC160="Y",OR(AD160&lt;CONFIG!$B$8,AD160&gt;CONFIG!$B$9)),"Y","N")</f>
        <v/>
      </c>
      <c r="AF160" s="19">
        <f>IF(AE160="Y",(Y160+AB160)*0.8,Y160)</f>
        <v/>
      </c>
      <c r="AG160" s="19">
        <f>IF(AE160="Y",(Y160+AB160)*0.2,AB160)</f>
        <v/>
      </c>
      <c r="AI160" s="18">
        <f>DATA!A160</f>
        <v/>
      </c>
      <c r="AJ160">
        <f>DATA!B160</f>
        <v/>
      </c>
      <c r="AK160" s="19">
        <f>AW159</f>
        <v/>
      </c>
      <c r="AL160" s="19">
        <f>AX159</f>
        <v/>
      </c>
      <c r="AM160" s="19">
        <f>AK160+AL160</f>
        <v/>
      </c>
      <c r="AN160" s="20">
        <f>DATA!E160</f>
        <v/>
      </c>
      <c r="AO160" s="20">
        <f>DATA!F160</f>
        <v/>
      </c>
      <c r="AP160" s="19">
        <f>AK160*(1+AN160)</f>
        <v/>
      </c>
      <c r="AQ160" s="19">
        <f>AL160*(1+AO160)</f>
        <v/>
      </c>
      <c r="AR160" s="19">
        <f>IF(AND(CONFIG!$B$11="Annual",MONTH(AI160)=7),(AP160+AQ160)*CONFIG!$B$6/12,AR159)</f>
        <v/>
      </c>
      <c r="AS160" s="19">
        <f>MAX(0,AQ160-AR160)</f>
        <v/>
      </c>
      <c r="AT160">
        <f>IF(OR(MONTH(AI160)=3,MONTH(AI160)=6,MONTH(AI160)=9,MONTH(AI160)=12),"Y","N")</f>
        <v/>
      </c>
      <c r="AU160" s="21">
        <f>IF((AP160+AS160)=0,0,AS160/(AP160+AS160))</f>
        <v/>
      </c>
      <c r="AV160">
        <f>IF(AND(AT160="Y",OR(AU160&lt;CONFIG!$B$8,AU160&gt;CONFIG!$B$9)),"Y","N")</f>
        <v/>
      </c>
      <c r="AW160" s="19">
        <f>IF(AV160="Y",(AP160+AS160)*0.8,AP160)</f>
        <v/>
      </c>
      <c r="AX160" s="19">
        <f>IF(AV160="Y",(AP160+AS160)*0.2,AS160)</f>
        <v/>
      </c>
    </row>
    <row r="161">
      <c r="A161" s="18">
        <f>DATA!A161</f>
        <v/>
      </c>
      <c r="B161">
        <f>DATA!B161</f>
        <v/>
      </c>
      <c r="C161" s="19">
        <f>O160</f>
        <v/>
      </c>
      <c r="D161" s="19">
        <f>P160</f>
        <v/>
      </c>
      <c r="E161" s="19">
        <f>C161+D161</f>
        <v/>
      </c>
      <c r="F161" s="20">
        <f>DATA!C161</f>
        <v/>
      </c>
      <c r="G161" s="20">
        <f>DATA!F161</f>
        <v/>
      </c>
      <c r="H161" s="19">
        <f>C161*(1+F161)</f>
        <v/>
      </c>
      <c r="I161" s="19">
        <f>D161*(1+G161)</f>
        <v/>
      </c>
      <c r="J161" s="19">
        <f>IF(AND(CONFIG!$B$11="Annual",MONTH(A161)=7),(H161+I161)*CONFIG!$B$6/12,J160)</f>
        <v/>
      </c>
      <c r="K161" s="19">
        <f>MAX(0,I161-J161)</f>
        <v/>
      </c>
      <c r="L161">
        <f>IF(OR(MONTH(A161)=3,MONTH(A161)=6,MONTH(A161)=9,MONTH(A161)=12),"Y","N")</f>
        <v/>
      </c>
      <c r="M161" s="21">
        <f>IF((H161+K161)=0,0,K161/(H161+K161))</f>
        <v/>
      </c>
      <c r="N161">
        <f>IF(AND(L161="Y",OR(M161&lt;CONFIG!$B$8,M161&gt;CONFIG!$B$9)),"Y","N")</f>
        <v/>
      </c>
      <c r="O161" s="19">
        <f>IF(N161="Y",(H161+K161)*0.8,H161)</f>
        <v/>
      </c>
      <c r="P161" s="19">
        <f>IF(N161="Y",(H161+K161)*0.2,K161)</f>
        <v/>
      </c>
      <c r="R161" s="18">
        <f>DATA!A161</f>
        <v/>
      </c>
      <c r="S161">
        <f>DATA!B161</f>
        <v/>
      </c>
      <c r="T161" s="19">
        <f>AF160</f>
        <v/>
      </c>
      <c r="U161" s="19">
        <f>AG160</f>
        <v/>
      </c>
      <c r="V161" s="19">
        <f>T161+U161</f>
        <v/>
      </c>
      <c r="W161" s="20">
        <f>DATA!D161</f>
        <v/>
      </c>
      <c r="X161" s="20">
        <f>DATA!F161</f>
        <v/>
      </c>
      <c r="Y161" s="19">
        <f>T161*(1+W161)</f>
        <v/>
      </c>
      <c r="Z161" s="19">
        <f>U161*(1+X161)</f>
        <v/>
      </c>
      <c r="AA161" s="19">
        <f>IF(AND(CONFIG!$B$11="Annual",MONTH(R161)=7),(Y161+Z161)*CONFIG!$B$6/12,AA160)</f>
        <v/>
      </c>
      <c r="AB161" s="19">
        <f>MAX(0,Z161-AA161)</f>
        <v/>
      </c>
      <c r="AC161">
        <f>IF(OR(MONTH(R161)=3,MONTH(R161)=6,MONTH(R161)=9,MONTH(R161)=12),"Y","N")</f>
        <v/>
      </c>
      <c r="AD161" s="21">
        <f>IF((Y161+AB161)=0,0,AB161/(Y161+AB161))</f>
        <v/>
      </c>
      <c r="AE161">
        <f>IF(AND(AC161="Y",OR(AD161&lt;CONFIG!$B$8,AD161&gt;CONFIG!$B$9)),"Y","N")</f>
        <v/>
      </c>
      <c r="AF161" s="19">
        <f>IF(AE161="Y",(Y161+AB161)*0.8,Y161)</f>
        <v/>
      </c>
      <c r="AG161" s="19">
        <f>IF(AE161="Y",(Y161+AB161)*0.2,AB161)</f>
        <v/>
      </c>
      <c r="AI161" s="18">
        <f>DATA!A161</f>
        <v/>
      </c>
      <c r="AJ161">
        <f>DATA!B161</f>
        <v/>
      </c>
      <c r="AK161" s="19">
        <f>AW160</f>
        <v/>
      </c>
      <c r="AL161" s="19">
        <f>AX160</f>
        <v/>
      </c>
      <c r="AM161" s="19">
        <f>AK161+AL161</f>
        <v/>
      </c>
      <c r="AN161" s="20">
        <f>DATA!E161</f>
        <v/>
      </c>
      <c r="AO161" s="20">
        <f>DATA!F161</f>
        <v/>
      </c>
      <c r="AP161" s="19">
        <f>AK161*(1+AN161)</f>
        <v/>
      </c>
      <c r="AQ161" s="19">
        <f>AL161*(1+AO161)</f>
        <v/>
      </c>
      <c r="AR161" s="19">
        <f>IF(AND(CONFIG!$B$11="Annual",MONTH(AI161)=7),(AP161+AQ161)*CONFIG!$B$6/12,AR160)</f>
        <v/>
      </c>
      <c r="AS161" s="19">
        <f>MAX(0,AQ161-AR161)</f>
        <v/>
      </c>
      <c r="AT161">
        <f>IF(OR(MONTH(AI161)=3,MONTH(AI161)=6,MONTH(AI161)=9,MONTH(AI161)=12),"Y","N")</f>
        <v/>
      </c>
      <c r="AU161" s="21">
        <f>IF((AP161+AS161)=0,0,AS161/(AP161+AS161))</f>
        <v/>
      </c>
      <c r="AV161">
        <f>IF(AND(AT161="Y",OR(AU161&lt;CONFIG!$B$8,AU161&gt;CONFIG!$B$9)),"Y","N")</f>
        <v/>
      </c>
      <c r="AW161" s="19">
        <f>IF(AV161="Y",(AP161+AS161)*0.8,AP161)</f>
        <v/>
      </c>
      <c r="AX161" s="19">
        <f>IF(AV161="Y",(AP161+AS161)*0.2,AS161)</f>
        <v/>
      </c>
    </row>
    <row r="162">
      <c r="A162" s="18">
        <f>DATA!A162</f>
        <v/>
      </c>
      <c r="B162">
        <f>DATA!B162</f>
        <v/>
      </c>
      <c r="C162" s="19">
        <f>O161</f>
        <v/>
      </c>
      <c r="D162" s="19">
        <f>P161</f>
        <v/>
      </c>
      <c r="E162" s="19">
        <f>C162+D162</f>
        <v/>
      </c>
      <c r="F162" s="20">
        <f>DATA!C162</f>
        <v/>
      </c>
      <c r="G162" s="20">
        <f>DATA!F162</f>
        <v/>
      </c>
      <c r="H162" s="19">
        <f>C162*(1+F162)</f>
        <v/>
      </c>
      <c r="I162" s="19">
        <f>D162*(1+G162)</f>
        <v/>
      </c>
      <c r="J162" s="19">
        <f>IF(AND(CONFIG!$B$11="Annual",MONTH(A162)=7),(H162+I162)*CONFIG!$B$6/12,J161)</f>
        <v/>
      </c>
      <c r="K162" s="19">
        <f>MAX(0,I162-J162)</f>
        <v/>
      </c>
      <c r="L162">
        <f>IF(OR(MONTH(A162)=3,MONTH(A162)=6,MONTH(A162)=9,MONTH(A162)=12),"Y","N")</f>
        <v/>
      </c>
      <c r="M162" s="21">
        <f>IF((H162+K162)=0,0,K162/(H162+K162))</f>
        <v/>
      </c>
      <c r="N162">
        <f>IF(AND(L162="Y",OR(M162&lt;CONFIG!$B$8,M162&gt;CONFIG!$B$9)),"Y","N")</f>
        <v/>
      </c>
      <c r="O162" s="19">
        <f>IF(N162="Y",(H162+K162)*0.8,H162)</f>
        <v/>
      </c>
      <c r="P162" s="19">
        <f>IF(N162="Y",(H162+K162)*0.2,K162)</f>
        <v/>
      </c>
      <c r="R162" s="18">
        <f>DATA!A162</f>
        <v/>
      </c>
      <c r="S162">
        <f>DATA!B162</f>
        <v/>
      </c>
      <c r="T162" s="19">
        <f>AF161</f>
        <v/>
      </c>
      <c r="U162" s="19">
        <f>AG161</f>
        <v/>
      </c>
      <c r="V162" s="19">
        <f>T162+U162</f>
        <v/>
      </c>
      <c r="W162" s="20">
        <f>DATA!D162</f>
        <v/>
      </c>
      <c r="X162" s="20">
        <f>DATA!F162</f>
        <v/>
      </c>
      <c r="Y162" s="19">
        <f>T162*(1+W162)</f>
        <v/>
      </c>
      <c r="Z162" s="19">
        <f>U162*(1+X162)</f>
        <v/>
      </c>
      <c r="AA162" s="19">
        <f>IF(AND(CONFIG!$B$11="Annual",MONTH(R162)=7),(Y162+Z162)*CONFIG!$B$6/12,AA161)</f>
        <v/>
      </c>
      <c r="AB162" s="19">
        <f>MAX(0,Z162-AA162)</f>
        <v/>
      </c>
      <c r="AC162">
        <f>IF(OR(MONTH(R162)=3,MONTH(R162)=6,MONTH(R162)=9,MONTH(R162)=12),"Y","N")</f>
        <v/>
      </c>
      <c r="AD162" s="21">
        <f>IF((Y162+AB162)=0,0,AB162/(Y162+AB162))</f>
        <v/>
      </c>
      <c r="AE162">
        <f>IF(AND(AC162="Y",OR(AD162&lt;CONFIG!$B$8,AD162&gt;CONFIG!$B$9)),"Y","N")</f>
        <v/>
      </c>
      <c r="AF162" s="19">
        <f>IF(AE162="Y",(Y162+AB162)*0.8,Y162)</f>
        <v/>
      </c>
      <c r="AG162" s="19">
        <f>IF(AE162="Y",(Y162+AB162)*0.2,AB162)</f>
        <v/>
      </c>
      <c r="AI162" s="18">
        <f>DATA!A162</f>
        <v/>
      </c>
      <c r="AJ162">
        <f>DATA!B162</f>
        <v/>
      </c>
      <c r="AK162" s="19">
        <f>AW161</f>
        <v/>
      </c>
      <c r="AL162" s="19">
        <f>AX161</f>
        <v/>
      </c>
      <c r="AM162" s="19">
        <f>AK162+AL162</f>
        <v/>
      </c>
      <c r="AN162" s="20">
        <f>DATA!E162</f>
        <v/>
      </c>
      <c r="AO162" s="20">
        <f>DATA!F162</f>
        <v/>
      </c>
      <c r="AP162" s="19">
        <f>AK162*(1+AN162)</f>
        <v/>
      </c>
      <c r="AQ162" s="19">
        <f>AL162*(1+AO162)</f>
        <v/>
      </c>
      <c r="AR162" s="19">
        <f>IF(AND(CONFIG!$B$11="Annual",MONTH(AI162)=7),(AP162+AQ162)*CONFIG!$B$6/12,AR161)</f>
        <v/>
      </c>
      <c r="AS162" s="19">
        <f>MAX(0,AQ162-AR162)</f>
        <v/>
      </c>
      <c r="AT162">
        <f>IF(OR(MONTH(AI162)=3,MONTH(AI162)=6,MONTH(AI162)=9,MONTH(AI162)=12),"Y","N")</f>
        <v/>
      </c>
      <c r="AU162" s="21">
        <f>IF((AP162+AS162)=0,0,AS162/(AP162+AS162))</f>
        <v/>
      </c>
      <c r="AV162">
        <f>IF(AND(AT162="Y",OR(AU162&lt;CONFIG!$B$8,AU162&gt;CONFIG!$B$9)),"Y","N")</f>
        <v/>
      </c>
      <c r="AW162" s="19">
        <f>IF(AV162="Y",(AP162+AS162)*0.8,AP162)</f>
        <v/>
      </c>
      <c r="AX162" s="19">
        <f>IF(AV162="Y",(AP162+AS162)*0.2,AS162)</f>
        <v/>
      </c>
    </row>
    <row r="163">
      <c r="A163" s="18">
        <f>DATA!A163</f>
        <v/>
      </c>
      <c r="B163">
        <f>DATA!B163</f>
        <v/>
      </c>
      <c r="C163" s="19">
        <f>O162</f>
        <v/>
      </c>
      <c r="D163" s="19">
        <f>P162</f>
        <v/>
      </c>
      <c r="E163" s="19">
        <f>C163+D163</f>
        <v/>
      </c>
      <c r="F163" s="20">
        <f>DATA!C163</f>
        <v/>
      </c>
      <c r="G163" s="20">
        <f>DATA!F163</f>
        <v/>
      </c>
      <c r="H163" s="19">
        <f>C163*(1+F163)</f>
        <v/>
      </c>
      <c r="I163" s="19">
        <f>D163*(1+G163)</f>
        <v/>
      </c>
      <c r="J163" s="19">
        <f>IF(AND(CONFIG!$B$11="Annual",MONTH(A163)=7),(H163+I163)*CONFIG!$B$6/12,J162)</f>
        <v/>
      </c>
      <c r="K163" s="19">
        <f>MAX(0,I163-J163)</f>
        <v/>
      </c>
      <c r="L163">
        <f>IF(OR(MONTH(A163)=3,MONTH(A163)=6,MONTH(A163)=9,MONTH(A163)=12),"Y","N")</f>
        <v/>
      </c>
      <c r="M163" s="21">
        <f>IF((H163+K163)=0,0,K163/(H163+K163))</f>
        <v/>
      </c>
      <c r="N163">
        <f>IF(AND(L163="Y",OR(M163&lt;CONFIG!$B$8,M163&gt;CONFIG!$B$9)),"Y","N")</f>
        <v/>
      </c>
      <c r="O163" s="19">
        <f>IF(N163="Y",(H163+K163)*0.8,H163)</f>
        <v/>
      </c>
      <c r="P163" s="19">
        <f>IF(N163="Y",(H163+K163)*0.2,K163)</f>
        <v/>
      </c>
      <c r="R163" s="18">
        <f>DATA!A163</f>
        <v/>
      </c>
      <c r="S163">
        <f>DATA!B163</f>
        <v/>
      </c>
      <c r="T163" s="19">
        <f>AF162</f>
        <v/>
      </c>
      <c r="U163" s="19">
        <f>AG162</f>
        <v/>
      </c>
      <c r="V163" s="19">
        <f>T163+U163</f>
        <v/>
      </c>
      <c r="W163" s="20">
        <f>DATA!D163</f>
        <v/>
      </c>
      <c r="X163" s="20">
        <f>DATA!F163</f>
        <v/>
      </c>
      <c r="Y163" s="19">
        <f>T163*(1+W163)</f>
        <v/>
      </c>
      <c r="Z163" s="19">
        <f>U163*(1+X163)</f>
        <v/>
      </c>
      <c r="AA163" s="19">
        <f>IF(AND(CONFIG!$B$11="Annual",MONTH(R163)=7),(Y163+Z163)*CONFIG!$B$6/12,AA162)</f>
        <v/>
      </c>
      <c r="AB163" s="19">
        <f>MAX(0,Z163-AA163)</f>
        <v/>
      </c>
      <c r="AC163">
        <f>IF(OR(MONTH(R163)=3,MONTH(R163)=6,MONTH(R163)=9,MONTH(R163)=12),"Y","N")</f>
        <v/>
      </c>
      <c r="AD163" s="21">
        <f>IF((Y163+AB163)=0,0,AB163/(Y163+AB163))</f>
        <v/>
      </c>
      <c r="AE163">
        <f>IF(AND(AC163="Y",OR(AD163&lt;CONFIG!$B$8,AD163&gt;CONFIG!$B$9)),"Y","N")</f>
        <v/>
      </c>
      <c r="AF163" s="19">
        <f>IF(AE163="Y",(Y163+AB163)*0.8,Y163)</f>
        <v/>
      </c>
      <c r="AG163" s="19">
        <f>IF(AE163="Y",(Y163+AB163)*0.2,AB163)</f>
        <v/>
      </c>
      <c r="AI163" s="18">
        <f>DATA!A163</f>
        <v/>
      </c>
      <c r="AJ163">
        <f>DATA!B163</f>
        <v/>
      </c>
      <c r="AK163" s="19">
        <f>AW162</f>
        <v/>
      </c>
      <c r="AL163" s="19">
        <f>AX162</f>
        <v/>
      </c>
      <c r="AM163" s="19">
        <f>AK163+AL163</f>
        <v/>
      </c>
      <c r="AN163" s="20">
        <f>DATA!E163</f>
        <v/>
      </c>
      <c r="AO163" s="20">
        <f>DATA!F163</f>
        <v/>
      </c>
      <c r="AP163" s="19">
        <f>AK163*(1+AN163)</f>
        <v/>
      </c>
      <c r="AQ163" s="19">
        <f>AL163*(1+AO163)</f>
        <v/>
      </c>
      <c r="AR163" s="19">
        <f>IF(AND(CONFIG!$B$11="Annual",MONTH(AI163)=7),(AP163+AQ163)*CONFIG!$B$6/12,AR162)</f>
        <v/>
      </c>
      <c r="AS163" s="19">
        <f>MAX(0,AQ163-AR163)</f>
        <v/>
      </c>
      <c r="AT163">
        <f>IF(OR(MONTH(AI163)=3,MONTH(AI163)=6,MONTH(AI163)=9,MONTH(AI163)=12),"Y","N")</f>
        <v/>
      </c>
      <c r="AU163" s="21">
        <f>IF((AP163+AS163)=0,0,AS163/(AP163+AS163))</f>
        <v/>
      </c>
      <c r="AV163">
        <f>IF(AND(AT163="Y",OR(AU163&lt;CONFIG!$B$8,AU163&gt;CONFIG!$B$9)),"Y","N")</f>
        <v/>
      </c>
      <c r="AW163" s="19">
        <f>IF(AV163="Y",(AP163+AS163)*0.8,AP163)</f>
        <v/>
      </c>
      <c r="AX163" s="19">
        <f>IF(AV163="Y",(AP163+AS163)*0.2,AS163)</f>
        <v/>
      </c>
    </row>
    <row r="164">
      <c r="A164" s="18">
        <f>DATA!A164</f>
        <v/>
      </c>
      <c r="B164">
        <f>DATA!B164</f>
        <v/>
      </c>
      <c r="C164" s="19">
        <f>O163</f>
        <v/>
      </c>
      <c r="D164" s="19">
        <f>P163</f>
        <v/>
      </c>
      <c r="E164" s="19">
        <f>C164+D164</f>
        <v/>
      </c>
      <c r="F164" s="20">
        <f>DATA!C164</f>
        <v/>
      </c>
      <c r="G164" s="20">
        <f>DATA!F164</f>
        <v/>
      </c>
      <c r="H164" s="19">
        <f>C164*(1+F164)</f>
        <v/>
      </c>
      <c r="I164" s="19">
        <f>D164*(1+G164)</f>
        <v/>
      </c>
      <c r="J164" s="19">
        <f>IF(AND(CONFIG!$B$11="Annual",MONTH(A164)=7),(H164+I164)*CONFIG!$B$6/12,J163)</f>
        <v/>
      </c>
      <c r="K164" s="19">
        <f>MAX(0,I164-J164)</f>
        <v/>
      </c>
      <c r="L164">
        <f>IF(OR(MONTH(A164)=3,MONTH(A164)=6,MONTH(A164)=9,MONTH(A164)=12),"Y","N")</f>
        <v/>
      </c>
      <c r="M164" s="21">
        <f>IF((H164+K164)=0,0,K164/(H164+K164))</f>
        <v/>
      </c>
      <c r="N164">
        <f>IF(AND(L164="Y",OR(M164&lt;CONFIG!$B$8,M164&gt;CONFIG!$B$9)),"Y","N")</f>
        <v/>
      </c>
      <c r="O164" s="19">
        <f>IF(N164="Y",(H164+K164)*0.8,H164)</f>
        <v/>
      </c>
      <c r="P164" s="19">
        <f>IF(N164="Y",(H164+K164)*0.2,K164)</f>
        <v/>
      </c>
      <c r="R164" s="18">
        <f>DATA!A164</f>
        <v/>
      </c>
      <c r="S164">
        <f>DATA!B164</f>
        <v/>
      </c>
      <c r="T164" s="19">
        <f>AF163</f>
        <v/>
      </c>
      <c r="U164" s="19">
        <f>AG163</f>
        <v/>
      </c>
      <c r="V164" s="19">
        <f>T164+U164</f>
        <v/>
      </c>
      <c r="W164" s="20">
        <f>DATA!D164</f>
        <v/>
      </c>
      <c r="X164" s="20">
        <f>DATA!F164</f>
        <v/>
      </c>
      <c r="Y164" s="19">
        <f>T164*(1+W164)</f>
        <v/>
      </c>
      <c r="Z164" s="19">
        <f>U164*(1+X164)</f>
        <v/>
      </c>
      <c r="AA164" s="19">
        <f>IF(AND(CONFIG!$B$11="Annual",MONTH(R164)=7),(Y164+Z164)*CONFIG!$B$6/12,AA163)</f>
        <v/>
      </c>
      <c r="AB164" s="19">
        <f>MAX(0,Z164-AA164)</f>
        <v/>
      </c>
      <c r="AC164">
        <f>IF(OR(MONTH(R164)=3,MONTH(R164)=6,MONTH(R164)=9,MONTH(R164)=12),"Y","N")</f>
        <v/>
      </c>
      <c r="AD164" s="21">
        <f>IF((Y164+AB164)=0,0,AB164/(Y164+AB164))</f>
        <v/>
      </c>
      <c r="AE164">
        <f>IF(AND(AC164="Y",OR(AD164&lt;CONFIG!$B$8,AD164&gt;CONFIG!$B$9)),"Y","N")</f>
        <v/>
      </c>
      <c r="AF164" s="19">
        <f>IF(AE164="Y",(Y164+AB164)*0.8,Y164)</f>
        <v/>
      </c>
      <c r="AG164" s="19">
        <f>IF(AE164="Y",(Y164+AB164)*0.2,AB164)</f>
        <v/>
      </c>
      <c r="AI164" s="18">
        <f>DATA!A164</f>
        <v/>
      </c>
      <c r="AJ164">
        <f>DATA!B164</f>
        <v/>
      </c>
      <c r="AK164" s="19">
        <f>AW163</f>
        <v/>
      </c>
      <c r="AL164" s="19">
        <f>AX163</f>
        <v/>
      </c>
      <c r="AM164" s="19">
        <f>AK164+AL164</f>
        <v/>
      </c>
      <c r="AN164" s="20">
        <f>DATA!E164</f>
        <v/>
      </c>
      <c r="AO164" s="20">
        <f>DATA!F164</f>
        <v/>
      </c>
      <c r="AP164" s="19">
        <f>AK164*(1+AN164)</f>
        <v/>
      </c>
      <c r="AQ164" s="19">
        <f>AL164*(1+AO164)</f>
        <v/>
      </c>
      <c r="AR164" s="19">
        <f>IF(AND(CONFIG!$B$11="Annual",MONTH(AI164)=7),(AP164+AQ164)*CONFIG!$B$6/12,AR163)</f>
        <v/>
      </c>
      <c r="AS164" s="19">
        <f>MAX(0,AQ164-AR164)</f>
        <v/>
      </c>
      <c r="AT164">
        <f>IF(OR(MONTH(AI164)=3,MONTH(AI164)=6,MONTH(AI164)=9,MONTH(AI164)=12),"Y","N")</f>
        <v/>
      </c>
      <c r="AU164" s="21">
        <f>IF((AP164+AS164)=0,0,AS164/(AP164+AS164))</f>
        <v/>
      </c>
      <c r="AV164">
        <f>IF(AND(AT164="Y",OR(AU164&lt;CONFIG!$B$8,AU164&gt;CONFIG!$B$9)),"Y","N")</f>
        <v/>
      </c>
      <c r="AW164" s="19">
        <f>IF(AV164="Y",(AP164+AS164)*0.8,AP164)</f>
        <v/>
      </c>
      <c r="AX164" s="19">
        <f>IF(AV164="Y",(AP164+AS164)*0.2,AS164)</f>
        <v/>
      </c>
    </row>
    <row r="165">
      <c r="A165" s="18">
        <f>DATA!A165</f>
        <v/>
      </c>
      <c r="B165">
        <f>DATA!B165</f>
        <v/>
      </c>
      <c r="C165" s="19">
        <f>O164</f>
        <v/>
      </c>
      <c r="D165" s="19">
        <f>P164</f>
        <v/>
      </c>
      <c r="E165" s="19">
        <f>C165+D165</f>
        <v/>
      </c>
      <c r="F165" s="20">
        <f>DATA!C165</f>
        <v/>
      </c>
      <c r="G165" s="20">
        <f>DATA!F165</f>
        <v/>
      </c>
      <c r="H165" s="19">
        <f>C165*(1+F165)</f>
        <v/>
      </c>
      <c r="I165" s="19">
        <f>D165*(1+G165)</f>
        <v/>
      </c>
      <c r="J165" s="19">
        <f>IF(AND(CONFIG!$B$11="Annual",MONTH(A165)=7),(H165+I165)*CONFIG!$B$6/12,J164)</f>
        <v/>
      </c>
      <c r="K165" s="19">
        <f>MAX(0,I165-J165)</f>
        <v/>
      </c>
      <c r="L165">
        <f>IF(OR(MONTH(A165)=3,MONTH(A165)=6,MONTH(A165)=9,MONTH(A165)=12),"Y","N")</f>
        <v/>
      </c>
      <c r="M165" s="21">
        <f>IF((H165+K165)=0,0,K165/(H165+K165))</f>
        <v/>
      </c>
      <c r="N165">
        <f>IF(AND(L165="Y",OR(M165&lt;CONFIG!$B$8,M165&gt;CONFIG!$B$9)),"Y","N")</f>
        <v/>
      </c>
      <c r="O165" s="19">
        <f>IF(N165="Y",(H165+K165)*0.8,H165)</f>
        <v/>
      </c>
      <c r="P165" s="19">
        <f>IF(N165="Y",(H165+K165)*0.2,K165)</f>
        <v/>
      </c>
      <c r="R165" s="18">
        <f>DATA!A165</f>
        <v/>
      </c>
      <c r="S165">
        <f>DATA!B165</f>
        <v/>
      </c>
      <c r="T165" s="19">
        <f>AF164</f>
        <v/>
      </c>
      <c r="U165" s="19">
        <f>AG164</f>
        <v/>
      </c>
      <c r="V165" s="19">
        <f>T165+U165</f>
        <v/>
      </c>
      <c r="W165" s="20">
        <f>DATA!D165</f>
        <v/>
      </c>
      <c r="X165" s="20">
        <f>DATA!F165</f>
        <v/>
      </c>
      <c r="Y165" s="19">
        <f>T165*(1+W165)</f>
        <v/>
      </c>
      <c r="Z165" s="19">
        <f>U165*(1+X165)</f>
        <v/>
      </c>
      <c r="AA165" s="19">
        <f>IF(AND(CONFIG!$B$11="Annual",MONTH(R165)=7),(Y165+Z165)*CONFIG!$B$6/12,AA164)</f>
        <v/>
      </c>
      <c r="AB165" s="19">
        <f>MAX(0,Z165-AA165)</f>
        <v/>
      </c>
      <c r="AC165">
        <f>IF(OR(MONTH(R165)=3,MONTH(R165)=6,MONTH(R165)=9,MONTH(R165)=12),"Y","N")</f>
        <v/>
      </c>
      <c r="AD165" s="21">
        <f>IF((Y165+AB165)=0,0,AB165/(Y165+AB165))</f>
        <v/>
      </c>
      <c r="AE165">
        <f>IF(AND(AC165="Y",OR(AD165&lt;CONFIG!$B$8,AD165&gt;CONFIG!$B$9)),"Y","N")</f>
        <v/>
      </c>
      <c r="AF165" s="19">
        <f>IF(AE165="Y",(Y165+AB165)*0.8,Y165)</f>
        <v/>
      </c>
      <c r="AG165" s="19">
        <f>IF(AE165="Y",(Y165+AB165)*0.2,AB165)</f>
        <v/>
      </c>
      <c r="AI165" s="18">
        <f>DATA!A165</f>
        <v/>
      </c>
      <c r="AJ165">
        <f>DATA!B165</f>
        <v/>
      </c>
      <c r="AK165" s="19">
        <f>AW164</f>
        <v/>
      </c>
      <c r="AL165" s="19">
        <f>AX164</f>
        <v/>
      </c>
      <c r="AM165" s="19">
        <f>AK165+AL165</f>
        <v/>
      </c>
      <c r="AN165" s="20">
        <f>DATA!E165</f>
        <v/>
      </c>
      <c r="AO165" s="20">
        <f>DATA!F165</f>
        <v/>
      </c>
      <c r="AP165" s="19">
        <f>AK165*(1+AN165)</f>
        <v/>
      </c>
      <c r="AQ165" s="19">
        <f>AL165*(1+AO165)</f>
        <v/>
      </c>
      <c r="AR165" s="19">
        <f>IF(AND(CONFIG!$B$11="Annual",MONTH(AI165)=7),(AP165+AQ165)*CONFIG!$B$6/12,AR164)</f>
        <v/>
      </c>
      <c r="AS165" s="19">
        <f>MAX(0,AQ165-AR165)</f>
        <v/>
      </c>
      <c r="AT165">
        <f>IF(OR(MONTH(AI165)=3,MONTH(AI165)=6,MONTH(AI165)=9,MONTH(AI165)=12),"Y","N")</f>
        <v/>
      </c>
      <c r="AU165" s="21">
        <f>IF((AP165+AS165)=0,0,AS165/(AP165+AS165))</f>
        <v/>
      </c>
      <c r="AV165">
        <f>IF(AND(AT165="Y",OR(AU165&lt;CONFIG!$B$8,AU165&gt;CONFIG!$B$9)),"Y","N")</f>
        <v/>
      </c>
      <c r="AW165" s="19">
        <f>IF(AV165="Y",(AP165+AS165)*0.8,AP165)</f>
        <v/>
      </c>
      <c r="AX165" s="19">
        <f>IF(AV165="Y",(AP165+AS165)*0.2,AS165)</f>
        <v/>
      </c>
    </row>
    <row r="166">
      <c r="A166" s="18">
        <f>DATA!A166</f>
        <v/>
      </c>
      <c r="B166">
        <f>DATA!B166</f>
        <v/>
      </c>
      <c r="C166" s="19">
        <f>O165</f>
        <v/>
      </c>
      <c r="D166" s="19">
        <f>P165</f>
        <v/>
      </c>
      <c r="E166" s="19">
        <f>C166+D166</f>
        <v/>
      </c>
      <c r="F166" s="20">
        <f>DATA!C166</f>
        <v/>
      </c>
      <c r="G166" s="20">
        <f>DATA!F166</f>
        <v/>
      </c>
      <c r="H166" s="19">
        <f>C166*(1+F166)</f>
        <v/>
      </c>
      <c r="I166" s="19">
        <f>D166*(1+G166)</f>
        <v/>
      </c>
      <c r="J166" s="19">
        <f>IF(AND(CONFIG!$B$11="Annual",MONTH(A166)=7),(H166+I166)*CONFIG!$B$6/12,J165)</f>
        <v/>
      </c>
      <c r="K166" s="19">
        <f>MAX(0,I166-J166)</f>
        <v/>
      </c>
      <c r="L166">
        <f>IF(OR(MONTH(A166)=3,MONTH(A166)=6,MONTH(A166)=9,MONTH(A166)=12),"Y","N")</f>
        <v/>
      </c>
      <c r="M166" s="21">
        <f>IF((H166+K166)=0,0,K166/(H166+K166))</f>
        <v/>
      </c>
      <c r="N166">
        <f>IF(AND(L166="Y",OR(M166&lt;CONFIG!$B$8,M166&gt;CONFIG!$B$9)),"Y","N")</f>
        <v/>
      </c>
      <c r="O166" s="19">
        <f>IF(N166="Y",(H166+K166)*0.8,H166)</f>
        <v/>
      </c>
      <c r="P166" s="19">
        <f>IF(N166="Y",(H166+K166)*0.2,K166)</f>
        <v/>
      </c>
      <c r="R166" s="18">
        <f>DATA!A166</f>
        <v/>
      </c>
      <c r="S166">
        <f>DATA!B166</f>
        <v/>
      </c>
      <c r="T166" s="19">
        <f>AF165</f>
        <v/>
      </c>
      <c r="U166" s="19">
        <f>AG165</f>
        <v/>
      </c>
      <c r="V166" s="19">
        <f>T166+U166</f>
        <v/>
      </c>
      <c r="W166" s="20">
        <f>DATA!D166</f>
        <v/>
      </c>
      <c r="X166" s="20">
        <f>DATA!F166</f>
        <v/>
      </c>
      <c r="Y166" s="19">
        <f>T166*(1+W166)</f>
        <v/>
      </c>
      <c r="Z166" s="19">
        <f>U166*(1+X166)</f>
        <v/>
      </c>
      <c r="AA166" s="19">
        <f>IF(AND(CONFIG!$B$11="Annual",MONTH(R166)=7),(Y166+Z166)*CONFIG!$B$6/12,AA165)</f>
        <v/>
      </c>
      <c r="AB166" s="19">
        <f>MAX(0,Z166-AA166)</f>
        <v/>
      </c>
      <c r="AC166">
        <f>IF(OR(MONTH(R166)=3,MONTH(R166)=6,MONTH(R166)=9,MONTH(R166)=12),"Y","N")</f>
        <v/>
      </c>
      <c r="AD166" s="21">
        <f>IF((Y166+AB166)=0,0,AB166/(Y166+AB166))</f>
        <v/>
      </c>
      <c r="AE166">
        <f>IF(AND(AC166="Y",OR(AD166&lt;CONFIG!$B$8,AD166&gt;CONFIG!$B$9)),"Y","N")</f>
        <v/>
      </c>
      <c r="AF166" s="19">
        <f>IF(AE166="Y",(Y166+AB166)*0.8,Y166)</f>
        <v/>
      </c>
      <c r="AG166" s="19">
        <f>IF(AE166="Y",(Y166+AB166)*0.2,AB166)</f>
        <v/>
      </c>
      <c r="AI166" s="18">
        <f>DATA!A166</f>
        <v/>
      </c>
      <c r="AJ166">
        <f>DATA!B166</f>
        <v/>
      </c>
      <c r="AK166" s="19">
        <f>AW165</f>
        <v/>
      </c>
      <c r="AL166" s="19">
        <f>AX165</f>
        <v/>
      </c>
      <c r="AM166" s="19">
        <f>AK166+AL166</f>
        <v/>
      </c>
      <c r="AN166" s="20">
        <f>DATA!E166</f>
        <v/>
      </c>
      <c r="AO166" s="20">
        <f>DATA!F166</f>
        <v/>
      </c>
      <c r="AP166" s="19">
        <f>AK166*(1+AN166)</f>
        <v/>
      </c>
      <c r="AQ166" s="19">
        <f>AL166*(1+AO166)</f>
        <v/>
      </c>
      <c r="AR166" s="19">
        <f>IF(AND(CONFIG!$B$11="Annual",MONTH(AI166)=7),(AP166+AQ166)*CONFIG!$B$6/12,AR165)</f>
        <v/>
      </c>
      <c r="AS166" s="19">
        <f>MAX(0,AQ166-AR166)</f>
        <v/>
      </c>
      <c r="AT166">
        <f>IF(OR(MONTH(AI166)=3,MONTH(AI166)=6,MONTH(AI166)=9,MONTH(AI166)=12),"Y","N")</f>
        <v/>
      </c>
      <c r="AU166" s="21">
        <f>IF((AP166+AS166)=0,0,AS166/(AP166+AS166))</f>
        <v/>
      </c>
      <c r="AV166">
        <f>IF(AND(AT166="Y",OR(AU166&lt;CONFIG!$B$8,AU166&gt;CONFIG!$B$9)),"Y","N")</f>
        <v/>
      </c>
      <c r="AW166" s="19">
        <f>IF(AV166="Y",(AP166+AS166)*0.8,AP166)</f>
        <v/>
      </c>
      <c r="AX166" s="19">
        <f>IF(AV166="Y",(AP166+AS166)*0.2,AS166)</f>
        <v/>
      </c>
    </row>
    <row r="167">
      <c r="A167" s="18">
        <f>DATA!A167</f>
        <v/>
      </c>
      <c r="B167">
        <f>DATA!B167</f>
        <v/>
      </c>
      <c r="C167" s="19">
        <f>O166</f>
        <v/>
      </c>
      <c r="D167" s="19">
        <f>P166</f>
        <v/>
      </c>
      <c r="E167" s="19">
        <f>C167+D167</f>
        <v/>
      </c>
      <c r="F167" s="20">
        <f>DATA!C167</f>
        <v/>
      </c>
      <c r="G167" s="20">
        <f>DATA!F167</f>
        <v/>
      </c>
      <c r="H167" s="19">
        <f>C167*(1+F167)</f>
        <v/>
      </c>
      <c r="I167" s="19">
        <f>D167*(1+G167)</f>
        <v/>
      </c>
      <c r="J167" s="19">
        <f>IF(AND(CONFIG!$B$11="Annual",MONTH(A167)=7),(H167+I167)*CONFIG!$B$6/12,J166)</f>
        <v/>
      </c>
      <c r="K167" s="19">
        <f>MAX(0,I167-J167)</f>
        <v/>
      </c>
      <c r="L167">
        <f>IF(OR(MONTH(A167)=3,MONTH(A167)=6,MONTH(A167)=9,MONTH(A167)=12),"Y","N")</f>
        <v/>
      </c>
      <c r="M167" s="21">
        <f>IF((H167+K167)=0,0,K167/(H167+K167))</f>
        <v/>
      </c>
      <c r="N167">
        <f>IF(AND(L167="Y",OR(M167&lt;CONFIG!$B$8,M167&gt;CONFIG!$B$9)),"Y","N")</f>
        <v/>
      </c>
      <c r="O167" s="19">
        <f>IF(N167="Y",(H167+K167)*0.8,H167)</f>
        <v/>
      </c>
      <c r="P167" s="19">
        <f>IF(N167="Y",(H167+K167)*0.2,K167)</f>
        <v/>
      </c>
      <c r="R167" s="18">
        <f>DATA!A167</f>
        <v/>
      </c>
      <c r="S167">
        <f>DATA!B167</f>
        <v/>
      </c>
      <c r="T167" s="19">
        <f>AF166</f>
        <v/>
      </c>
      <c r="U167" s="19">
        <f>AG166</f>
        <v/>
      </c>
      <c r="V167" s="19">
        <f>T167+U167</f>
        <v/>
      </c>
      <c r="W167" s="20">
        <f>DATA!D167</f>
        <v/>
      </c>
      <c r="X167" s="20">
        <f>DATA!F167</f>
        <v/>
      </c>
      <c r="Y167" s="19">
        <f>T167*(1+W167)</f>
        <v/>
      </c>
      <c r="Z167" s="19">
        <f>U167*(1+X167)</f>
        <v/>
      </c>
      <c r="AA167" s="19">
        <f>IF(AND(CONFIG!$B$11="Annual",MONTH(R167)=7),(Y167+Z167)*CONFIG!$B$6/12,AA166)</f>
        <v/>
      </c>
      <c r="AB167" s="19">
        <f>MAX(0,Z167-AA167)</f>
        <v/>
      </c>
      <c r="AC167">
        <f>IF(OR(MONTH(R167)=3,MONTH(R167)=6,MONTH(R167)=9,MONTH(R167)=12),"Y","N")</f>
        <v/>
      </c>
      <c r="AD167" s="21">
        <f>IF((Y167+AB167)=0,0,AB167/(Y167+AB167))</f>
        <v/>
      </c>
      <c r="AE167">
        <f>IF(AND(AC167="Y",OR(AD167&lt;CONFIG!$B$8,AD167&gt;CONFIG!$B$9)),"Y","N")</f>
        <v/>
      </c>
      <c r="AF167" s="19">
        <f>IF(AE167="Y",(Y167+AB167)*0.8,Y167)</f>
        <v/>
      </c>
      <c r="AG167" s="19">
        <f>IF(AE167="Y",(Y167+AB167)*0.2,AB167)</f>
        <v/>
      </c>
      <c r="AI167" s="18">
        <f>DATA!A167</f>
        <v/>
      </c>
      <c r="AJ167">
        <f>DATA!B167</f>
        <v/>
      </c>
      <c r="AK167" s="19">
        <f>AW166</f>
        <v/>
      </c>
      <c r="AL167" s="19">
        <f>AX166</f>
        <v/>
      </c>
      <c r="AM167" s="19">
        <f>AK167+AL167</f>
        <v/>
      </c>
      <c r="AN167" s="20">
        <f>DATA!E167</f>
        <v/>
      </c>
      <c r="AO167" s="20">
        <f>DATA!F167</f>
        <v/>
      </c>
      <c r="AP167" s="19">
        <f>AK167*(1+AN167)</f>
        <v/>
      </c>
      <c r="AQ167" s="19">
        <f>AL167*(1+AO167)</f>
        <v/>
      </c>
      <c r="AR167" s="19">
        <f>IF(AND(CONFIG!$B$11="Annual",MONTH(AI167)=7),(AP167+AQ167)*CONFIG!$B$6/12,AR166)</f>
        <v/>
      </c>
      <c r="AS167" s="19">
        <f>MAX(0,AQ167-AR167)</f>
        <v/>
      </c>
      <c r="AT167">
        <f>IF(OR(MONTH(AI167)=3,MONTH(AI167)=6,MONTH(AI167)=9,MONTH(AI167)=12),"Y","N")</f>
        <v/>
      </c>
      <c r="AU167" s="21">
        <f>IF((AP167+AS167)=0,0,AS167/(AP167+AS167))</f>
        <v/>
      </c>
      <c r="AV167">
        <f>IF(AND(AT167="Y",OR(AU167&lt;CONFIG!$B$8,AU167&gt;CONFIG!$B$9)),"Y","N")</f>
        <v/>
      </c>
      <c r="AW167" s="19">
        <f>IF(AV167="Y",(AP167+AS167)*0.8,AP167)</f>
        <v/>
      </c>
      <c r="AX167" s="19">
        <f>IF(AV167="Y",(AP167+AS167)*0.2,AS167)</f>
        <v/>
      </c>
    </row>
    <row r="168">
      <c r="A168" s="18">
        <f>DATA!A168</f>
        <v/>
      </c>
      <c r="B168">
        <f>DATA!B168</f>
        <v/>
      </c>
      <c r="C168" s="19">
        <f>O167</f>
        <v/>
      </c>
      <c r="D168" s="19">
        <f>P167</f>
        <v/>
      </c>
      <c r="E168" s="19">
        <f>C168+D168</f>
        <v/>
      </c>
      <c r="F168" s="20">
        <f>DATA!C168</f>
        <v/>
      </c>
      <c r="G168" s="20">
        <f>DATA!F168</f>
        <v/>
      </c>
      <c r="H168" s="19">
        <f>C168*(1+F168)</f>
        <v/>
      </c>
      <c r="I168" s="19">
        <f>D168*(1+G168)</f>
        <v/>
      </c>
      <c r="J168" s="19">
        <f>IF(AND(CONFIG!$B$11="Annual",MONTH(A168)=7),(H168+I168)*CONFIG!$B$6/12,J167)</f>
        <v/>
      </c>
      <c r="K168" s="19">
        <f>MAX(0,I168-J168)</f>
        <v/>
      </c>
      <c r="L168">
        <f>IF(OR(MONTH(A168)=3,MONTH(A168)=6,MONTH(A168)=9,MONTH(A168)=12),"Y","N")</f>
        <v/>
      </c>
      <c r="M168" s="21">
        <f>IF((H168+K168)=0,0,K168/(H168+K168))</f>
        <v/>
      </c>
      <c r="N168">
        <f>IF(AND(L168="Y",OR(M168&lt;CONFIG!$B$8,M168&gt;CONFIG!$B$9)),"Y","N")</f>
        <v/>
      </c>
      <c r="O168" s="19">
        <f>IF(N168="Y",(H168+K168)*0.8,H168)</f>
        <v/>
      </c>
      <c r="P168" s="19">
        <f>IF(N168="Y",(H168+K168)*0.2,K168)</f>
        <v/>
      </c>
      <c r="R168" s="18">
        <f>DATA!A168</f>
        <v/>
      </c>
      <c r="S168">
        <f>DATA!B168</f>
        <v/>
      </c>
      <c r="T168" s="19">
        <f>AF167</f>
        <v/>
      </c>
      <c r="U168" s="19">
        <f>AG167</f>
        <v/>
      </c>
      <c r="V168" s="19">
        <f>T168+U168</f>
        <v/>
      </c>
      <c r="W168" s="20">
        <f>DATA!D168</f>
        <v/>
      </c>
      <c r="X168" s="20">
        <f>DATA!F168</f>
        <v/>
      </c>
      <c r="Y168" s="19">
        <f>T168*(1+W168)</f>
        <v/>
      </c>
      <c r="Z168" s="19">
        <f>U168*(1+X168)</f>
        <v/>
      </c>
      <c r="AA168" s="19">
        <f>IF(AND(CONFIG!$B$11="Annual",MONTH(R168)=7),(Y168+Z168)*CONFIG!$B$6/12,AA167)</f>
        <v/>
      </c>
      <c r="AB168" s="19">
        <f>MAX(0,Z168-AA168)</f>
        <v/>
      </c>
      <c r="AC168">
        <f>IF(OR(MONTH(R168)=3,MONTH(R168)=6,MONTH(R168)=9,MONTH(R168)=12),"Y","N")</f>
        <v/>
      </c>
      <c r="AD168" s="21">
        <f>IF((Y168+AB168)=0,0,AB168/(Y168+AB168))</f>
        <v/>
      </c>
      <c r="AE168">
        <f>IF(AND(AC168="Y",OR(AD168&lt;CONFIG!$B$8,AD168&gt;CONFIG!$B$9)),"Y","N")</f>
        <v/>
      </c>
      <c r="AF168" s="19">
        <f>IF(AE168="Y",(Y168+AB168)*0.8,Y168)</f>
        <v/>
      </c>
      <c r="AG168" s="19">
        <f>IF(AE168="Y",(Y168+AB168)*0.2,AB168)</f>
        <v/>
      </c>
      <c r="AI168" s="18">
        <f>DATA!A168</f>
        <v/>
      </c>
      <c r="AJ168">
        <f>DATA!B168</f>
        <v/>
      </c>
      <c r="AK168" s="19">
        <f>AW167</f>
        <v/>
      </c>
      <c r="AL168" s="19">
        <f>AX167</f>
        <v/>
      </c>
      <c r="AM168" s="19">
        <f>AK168+AL168</f>
        <v/>
      </c>
      <c r="AN168" s="20">
        <f>DATA!E168</f>
        <v/>
      </c>
      <c r="AO168" s="20">
        <f>DATA!F168</f>
        <v/>
      </c>
      <c r="AP168" s="19">
        <f>AK168*(1+AN168)</f>
        <v/>
      </c>
      <c r="AQ168" s="19">
        <f>AL168*(1+AO168)</f>
        <v/>
      </c>
      <c r="AR168" s="19">
        <f>IF(AND(CONFIG!$B$11="Annual",MONTH(AI168)=7),(AP168+AQ168)*CONFIG!$B$6/12,AR167)</f>
        <v/>
      </c>
      <c r="AS168" s="19">
        <f>MAX(0,AQ168-AR168)</f>
        <v/>
      </c>
      <c r="AT168">
        <f>IF(OR(MONTH(AI168)=3,MONTH(AI168)=6,MONTH(AI168)=9,MONTH(AI168)=12),"Y","N")</f>
        <v/>
      </c>
      <c r="AU168" s="21">
        <f>IF((AP168+AS168)=0,0,AS168/(AP168+AS168))</f>
        <v/>
      </c>
      <c r="AV168">
        <f>IF(AND(AT168="Y",OR(AU168&lt;CONFIG!$B$8,AU168&gt;CONFIG!$B$9)),"Y","N")</f>
        <v/>
      </c>
      <c r="AW168" s="19">
        <f>IF(AV168="Y",(AP168+AS168)*0.8,AP168)</f>
        <v/>
      </c>
      <c r="AX168" s="19">
        <f>IF(AV168="Y",(AP168+AS168)*0.2,AS168)</f>
        <v/>
      </c>
    </row>
    <row r="169">
      <c r="A169" s="18">
        <f>DATA!A169</f>
        <v/>
      </c>
      <c r="B169">
        <f>DATA!B169</f>
        <v/>
      </c>
      <c r="C169" s="19">
        <f>O168</f>
        <v/>
      </c>
      <c r="D169" s="19">
        <f>P168</f>
        <v/>
      </c>
      <c r="E169" s="19">
        <f>C169+D169</f>
        <v/>
      </c>
      <c r="F169" s="20">
        <f>DATA!C169</f>
        <v/>
      </c>
      <c r="G169" s="20">
        <f>DATA!F169</f>
        <v/>
      </c>
      <c r="H169" s="19">
        <f>C169*(1+F169)</f>
        <v/>
      </c>
      <c r="I169" s="19">
        <f>D169*(1+G169)</f>
        <v/>
      </c>
      <c r="J169" s="19">
        <f>IF(AND(CONFIG!$B$11="Annual",MONTH(A169)=7),(H169+I169)*CONFIG!$B$6/12,J168)</f>
        <v/>
      </c>
      <c r="K169" s="19">
        <f>MAX(0,I169-J169)</f>
        <v/>
      </c>
      <c r="L169">
        <f>IF(OR(MONTH(A169)=3,MONTH(A169)=6,MONTH(A169)=9,MONTH(A169)=12),"Y","N")</f>
        <v/>
      </c>
      <c r="M169" s="21">
        <f>IF((H169+K169)=0,0,K169/(H169+K169))</f>
        <v/>
      </c>
      <c r="N169">
        <f>IF(AND(L169="Y",OR(M169&lt;CONFIG!$B$8,M169&gt;CONFIG!$B$9)),"Y","N")</f>
        <v/>
      </c>
      <c r="O169" s="19">
        <f>IF(N169="Y",(H169+K169)*0.8,H169)</f>
        <v/>
      </c>
      <c r="P169" s="19">
        <f>IF(N169="Y",(H169+K169)*0.2,K169)</f>
        <v/>
      </c>
      <c r="R169" s="18">
        <f>DATA!A169</f>
        <v/>
      </c>
      <c r="S169">
        <f>DATA!B169</f>
        <v/>
      </c>
      <c r="T169" s="19">
        <f>AF168</f>
        <v/>
      </c>
      <c r="U169" s="19">
        <f>AG168</f>
        <v/>
      </c>
      <c r="V169" s="19">
        <f>T169+U169</f>
        <v/>
      </c>
      <c r="W169" s="20">
        <f>DATA!D169</f>
        <v/>
      </c>
      <c r="X169" s="20">
        <f>DATA!F169</f>
        <v/>
      </c>
      <c r="Y169" s="19">
        <f>T169*(1+W169)</f>
        <v/>
      </c>
      <c r="Z169" s="19">
        <f>U169*(1+X169)</f>
        <v/>
      </c>
      <c r="AA169" s="19">
        <f>IF(AND(CONFIG!$B$11="Annual",MONTH(R169)=7),(Y169+Z169)*CONFIG!$B$6/12,AA168)</f>
        <v/>
      </c>
      <c r="AB169" s="19">
        <f>MAX(0,Z169-AA169)</f>
        <v/>
      </c>
      <c r="AC169">
        <f>IF(OR(MONTH(R169)=3,MONTH(R169)=6,MONTH(R169)=9,MONTH(R169)=12),"Y","N")</f>
        <v/>
      </c>
      <c r="AD169" s="21">
        <f>IF((Y169+AB169)=0,0,AB169/(Y169+AB169))</f>
        <v/>
      </c>
      <c r="AE169">
        <f>IF(AND(AC169="Y",OR(AD169&lt;CONFIG!$B$8,AD169&gt;CONFIG!$B$9)),"Y","N")</f>
        <v/>
      </c>
      <c r="AF169" s="19">
        <f>IF(AE169="Y",(Y169+AB169)*0.8,Y169)</f>
        <v/>
      </c>
      <c r="AG169" s="19">
        <f>IF(AE169="Y",(Y169+AB169)*0.2,AB169)</f>
        <v/>
      </c>
      <c r="AI169" s="18">
        <f>DATA!A169</f>
        <v/>
      </c>
      <c r="AJ169">
        <f>DATA!B169</f>
        <v/>
      </c>
      <c r="AK169" s="19">
        <f>AW168</f>
        <v/>
      </c>
      <c r="AL169" s="19">
        <f>AX168</f>
        <v/>
      </c>
      <c r="AM169" s="19">
        <f>AK169+AL169</f>
        <v/>
      </c>
      <c r="AN169" s="20">
        <f>DATA!E169</f>
        <v/>
      </c>
      <c r="AO169" s="20">
        <f>DATA!F169</f>
        <v/>
      </c>
      <c r="AP169" s="19">
        <f>AK169*(1+AN169)</f>
        <v/>
      </c>
      <c r="AQ169" s="19">
        <f>AL169*(1+AO169)</f>
        <v/>
      </c>
      <c r="AR169" s="19">
        <f>IF(AND(CONFIG!$B$11="Annual",MONTH(AI169)=7),(AP169+AQ169)*CONFIG!$B$6/12,AR168)</f>
        <v/>
      </c>
      <c r="AS169" s="19">
        <f>MAX(0,AQ169-AR169)</f>
        <v/>
      </c>
      <c r="AT169">
        <f>IF(OR(MONTH(AI169)=3,MONTH(AI169)=6,MONTH(AI169)=9,MONTH(AI169)=12),"Y","N")</f>
        <v/>
      </c>
      <c r="AU169" s="21">
        <f>IF((AP169+AS169)=0,0,AS169/(AP169+AS169))</f>
        <v/>
      </c>
      <c r="AV169">
        <f>IF(AND(AT169="Y",OR(AU169&lt;CONFIG!$B$8,AU169&gt;CONFIG!$B$9)),"Y","N")</f>
        <v/>
      </c>
      <c r="AW169" s="19">
        <f>IF(AV169="Y",(AP169+AS169)*0.8,AP169)</f>
        <v/>
      </c>
      <c r="AX169" s="19">
        <f>IF(AV169="Y",(AP169+AS169)*0.2,AS169)</f>
        <v/>
      </c>
    </row>
    <row r="170">
      <c r="A170" s="18">
        <f>DATA!A170</f>
        <v/>
      </c>
      <c r="B170">
        <f>DATA!B170</f>
        <v/>
      </c>
      <c r="C170" s="19">
        <f>O169</f>
        <v/>
      </c>
      <c r="D170" s="19">
        <f>P169</f>
        <v/>
      </c>
      <c r="E170" s="19">
        <f>C170+D170</f>
        <v/>
      </c>
      <c r="F170" s="20">
        <f>DATA!C170</f>
        <v/>
      </c>
      <c r="G170" s="20">
        <f>DATA!F170</f>
        <v/>
      </c>
      <c r="H170" s="19">
        <f>C170*(1+F170)</f>
        <v/>
      </c>
      <c r="I170" s="19">
        <f>D170*(1+G170)</f>
        <v/>
      </c>
      <c r="J170" s="19">
        <f>IF(AND(CONFIG!$B$11="Annual",MONTH(A170)=7),(H170+I170)*CONFIG!$B$6/12,J169)</f>
        <v/>
      </c>
      <c r="K170" s="19">
        <f>MAX(0,I170-J170)</f>
        <v/>
      </c>
      <c r="L170">
        <f>IF(OR(MONTH(A170)=3,MONTH(A170)=6,MONTH(A170)=9,MONTH(A170)=12),"Y","N")</f>
        <v/>
      </c>
      <c r="M170" s="21">
        <f>IF((H170+K170)=0,0,K170/(H170+K170))</f>
        <v/>
      </c>
      <c r="N170">
        <f>IF(AND(L170="Y",OR(M170&lt;CONFIG!$B$8,M170&gt;CONFIG!$B$9)),"Y","N")</f>
        <v/>
      </c>
      <c r="O170" s="19">
        <f>IF(N170="Y",(H170+K170)*0.8,H170)</f>
        <v/>
      </c>
      <c r="P170" s="19">
        <f>IF(N170="Y",(H170+K170)*0.2,K170)</f>
        <v/>
      </c>
      <c r="R170" s="18">
        <f>DATA!A170</f>
        <v/>
      </c>
      <c r="S170">
        <f>DATA!B170</f>
        <v/>
      </c>
      <c r="T170" s="19">
        <f>AF169</f>
        <v/>
      </c>
      <c r="U170" s="19">
        <f>AG169</f>
        <v/>
      </c>
      <c r="V170" s="19">
        <f>T170+U170</f>
        <v/>
      </c>
      <c r="W170" s="20">
        <f>DATA!D170</f>
        <v/>
      </c>
      <c r="X170" s="20">
        <f>DATA!F170</f>
        <v/>
      </c>
      <c r="Y170" s="19">
        <f>T170*(1+W170)</f>
        <v/>
      </c>
      <c r="Z170" s="19">
        <f>U170*(1+X170)</f>
        <v/>
      </c>
      <c r="AA170" s="19">
        <f>IF(AND(CONFIG!$B$11="Annual",MONTH(R170)=7),(Y170+Z170)*CONFIG!$B$6/12,AA169)</f>
        <v/>
      </c>
      <c r="AB170" s="19">
        <f>MAX(0,Z170-AA170)</f>
        <v/>
      </c>
      <c r="AC170">
        <f>IF(OR(MONTH(R170)=3,MONTH(R170)=6,MONTH(R170)=9,MONTH(R170)=12),"Y","N")</f>
        <v/>
      </c>
      <c r="AD170" s="21">
        <f>IF((Y170+AB170)=0,0,AB170/(Y170+AB170))</f>
        <v/>
      </c>
      <c r="AE170">
        <f>IF(AND(AC170="Y",OR(AD170&lt;CONFIG!$B$8,AD170&gt;CONFIG!$B$9)),"Y","N")</f>
        <v/>
      </c>
      <c r="AF170" s="19">
        <f>IF(AE170="Y",(Y170+AB170)*0.8,Y170)</f>
        <v/>
      </c>
      <c r="AG170" s="19">
        <f>IF(AE170="Y",(Y170+AB170)*0.2,AB170)</f>
        <v/>
      </c>
      <c r="AI170" s="18">
        <f>DATA!A170</f>
        <v/>
      </c>
      <c r="AJ170">
        <f>DATA!B170</f>
        <v/>
      </c>
      <c r="AK170" s="19">
        <f>AW169</f>
        <v/>
      </c>
      <c r="AL170" s="19">
        <f>AX169</f>
        <v/>
      </c>
      <c r="AM170" s="19">
        <f>AK170+AL170</f>
        <v/>
      </c>
      <c r="AN170" s="20">
        <f>DATA!E170</f>
        <v/>
      </c>
      <c r="AO170" s="20">
        <f>DATA!F170</f>
        <v/>
      </c>
      <c r="AP170" s="19">
        <f>AK170*(1+AN170)</f>
        <v/>
      </c>
      <c r="AQ170" s="19">
        <f>AL170*(1+AO170)</f>
        <v/>
      </c>
      <c r="AR170" s="19">
        <f>IF(AND(CONFIG!$B$11="Annual",MONTH(AI170)=7),(AP170+AQ170)*CONFIG!$B$6/12,AR169)</f>
        <v/>
      </c>
      <c r="AS170" s="19">
        <f>MAX(0,AQ170-AR170)</f>
        <v/>
      </c>
      <c r="AT170">
        <f>IF(OR(MONTH(AI170)=3,MONTH(AI170)=6,MONTH(AI170)=9,MONTH(AI170)=12),"Y","N")</f>
        <v/>
      </c>
      <c r="AU170" s="21">
        <f>IF((AP170+AS170)=0,0,AS170/(AP170+AS170))</f>
        <v/>
      </c>
      <c r="AV170">
        <f>IF(AND(AT170="Y",OR(AU170&lt;CONFIG!$B$8,AU170&gt;CONFIG!$B$9)),"Y","N")</f>
        <v/>
      </c>
      <c r="AW170" s="19">
        <f>IF(AV170="Y",(AP170+AS170)*0.8,AP170)</f>
        <v/>
      </c>
      <c r="AX170" s="19">
        <f>IF(AV170="Y",(AP170+AS170)*0.2,AS170)</f>
        <v/>
      </c>
    </row>
    <row r="171">
      <c r="A171" s="18">
        <f>DATA!A171</f>
        <v/>
      </c>
      <c r="B171">
        <f>DATA!B171</f>
        <v/>
      </c>
      <c r="C171" s="19">
        <f>O170</f>
        <v/>
      </c>
      <c r="D171" s="19">
        <f>P170</f>
        <v/>
      </c>
      <c r="E171" s="19">
        <f>C171+D171</f>
        <v/>
      </c>
      <c r="F171" s="20">
        <f>DATA!C171</f>
        <v/>
      </c>
      <c r="G171" s="20">
        <f>DATA!F171</f>
        <v/>
      </c>
      <c r="H171" s="19">
        <f>C171*(1+F171)</f>
        <v/>
      </c>
      <c r="I171" s="19">
        <f>D171*(1+G171)</f>
        <v/>
      </c>
      <c r="J171" s="19">
        <f>IF(AND(CONFIG!$B$11="Annual",MONTH(A171)=7),(H171+I171)*CONFIG!$B$6/12,J170)</f>
        <v/>
      </c>
      <c r="K171" s="19">
        <f>MAX(0,I171-J171)</f>
        <v/>
      </c>
      <c r="L171">
        <f>IF(OR(MONTH(A171)=3,MONTH(A171)=6,MONTH(A171)=9,MONTH(A171)=12),"Y","N")</f>
        <v/>
      </c>
      <c r="M171" s="21">
        <f>IF((H171+K171)=0,0,K171/(H171+K171))</f>
        <v/>
      </c>
      <c r="N171">
        <f>IF(AND(L171="Y",OR(M171&lt;CONFIG!$B$8,M171&gt;CONFIG!$B$9)),"Y","N")</f>
        <v/>
      </c>
      <c r="O171" s="19">
        <f>IF(N171="Y",(H171+K171)*0.8,H171)</f>
        <v/>
      </c>
      <c r="P171" s="19">
        <f>IF(N171="Y",(H171+K171)*0.2,K171)</f>
        <v/>
      </c>
      <c r="R171" s="18">
        <f>DATA!A171</f>
        <v/>
      </c>
      <c r="S171">
        <f>DATA!B171</f>
        <v/>
      </c>
      <c r="T171" s="19">
        <f>AF170</f>
        <v/>
      </c>
      <c r="U171" s="19">
        <f>AG170</f>
        <v/>
      </c>
      <c r="V171" s="19">
        <f>T171+U171</f>
        <v/>
      </c>
      <c r="W171" s="20">
        <f>DATA!D171</f>
        <v/>
      </c>
      <c r="X171" s="20">
        <f>DATA!F171</f>
        <v/>
      </c>
      <c r="Y171" s="19">
        <f>T171*(1+W171)</f>
        <v/>
      </c>
      <c r="Z171" s="19">
        <f>U171*(1+X171)</f>
        <v/>
      </c>
      <c r="AA171" s="19">
        <f>IF(AND(CONFIG!$B$11="Annual",MONTH(R171)=7),(Y171+Z171)*CONFIG!$B$6/12,AA170)</f>
        <v/>
      </c>
      <c r="AB171" s="19">
        <f>MAX(0,Z171-AA171)</f>
        <v/>
      </c>
      <c r="AC171">
        <f>IF(OR(MONTH(R171)=3,MONTH(R171)=6,MONTH(R171)=9,MONTH(R171)=12),"Y","N")</f>
        <v/>
      </c>
      <c r="AD171" s="21">
        <f>IF((Y171+AB171)=0,0,AB171/(Y171+AB171))</f>
        <v/>
      </c>
      <c r="AE171">
        <f>IF(AND(AC171="Y",OR(AD171&lt;CONFIG!$B$8,AD171&gt;CONFIG!$B$9)),"Y","N")</f>
        <v/>
      </c>
      <c r="AF171" s="19">
        <f>IF(AE171="Y",(Y171+AB171)*0.8,Y171)</f>
        <v/>
      </c>
      <c r="AG171" s="19">
        <f>IF(AE171="Y",(Y171+AB171)*0.2,AB171)</f>
        <v/>
      </c>
      <c r="AI171" s="18">
        <f>DATA!A171</f>
        <v/>
      </c>
      <c r="AJ171">
        <f>DATA!B171</f>
        <v/>
      </c>
      <c r="AK171" s="19">
        <f>AW170</f>
        <v/>
      </c>
      <c r="AL171" s="19">
        <f>AX170</f>
        <v/>
      </c>
      <c r="AM171" s="19">
        <f>AK171+AL171</f>
        <v/>
      </c>
      <c r="AN171" s="20">
        <f>DATA!E171</f>
        <v/>
      </c>
      <c r="AO171" s="20">
        <f>DATA!F171</f>
        <v/>
      </c>
      <c r="AP171" s="19">
        <f>AK171*(1+AN171)</f>
        <v/>
      </c>
      <c r="AQ171" s="19">
        <f>AL171*(1+AO171)</f>
        <v/>
      </c>
      <c r="AR171" s="19">
        <f>IF(AND(CONFIG!$B$11="Annual",MONTH(AI171)=7),(AP171+AQ171)*CONFIG!$B$6/12,AR170)</f>
        <v/>
      </c>
      <c r="AS171" s="19">
        <f>MAX(0,AQ171-AR171)</f>
        <v/>
      </c>
      <c r="AT171">
        <f>IF(OR(MONTH(AI171)=3,MONTH(AI171)=6,MONTH(AI171)=9,MONTH(AI171)=12),"Y","N")</f>
        <v/>
      </c>
      <c r="AU171" s="21">
        <f>IF((AP171+AS171)=0,0,AS171/(AP171+AS171))</f>
        <v/>
      </c>
      <c r="AV171">
        <f>IF(AND(AT171="Y",OR(AU171&lt;CONFIG!$B$8,AU171&gt;CONFIG!$B$9)),"Y","N")</f>
        <v/>
      </c>
      <c r="AW171" s="19">
        <f>IF(AV171="Y",(AP171+AS171)*0.8,AP171)</f>
        <v/>
      </c>
      <c r="AX171" s="19">
        <f>IF(AV171="Y",(AP171+AS171)*0.2,AS171)</f>
        <v/>
      </c>
    </row>
    <row r="172">
      <c r="A172" s="18">
        <f>DATA!A172</f>
        <v/>
      </c>
      <c r="B172">
        <f>DATA!B172</f>
        <v/>
      </c>
      <c r="C172" s="19">
        <f>O171</f>
        <v/>
      </c>
      <c r="D172" s="19">
        <f>P171</f>
        <v/>
      </c>
      <c r="E172" s="19">
        <f>C172+D172</f>
        <v/>
      </c>
      <c r="F172" s="20">
        <f>DATA!C172</f>
        <v/>
      </c>
      <c r="G172" s="20">
        <f>DATA!F172</f>
        <v/>
      </c>
      <c r="H172" s="19">
        <f>C172*(1+F172)</f>
        <v/>
      </c>
      <c r="I172" s="19">
        <f>D172*(1+G172)</f>
        <v/>
      </c>
      <c r="J172" s="19">
        <f>IF(AND(CONFIG!$B$11="Annual",MONTH(A172)=7),(H172+I172)*CONFIG!$B$6/12,J171)</f>
        <v/>
      </c>
      <c r="K172" s="19">
        <f>MAX(0,I172-J172)</f>
        <v/>
      </c>
      <c r="L172">
        <f>IF(OR(MONTH(A172)=3,MONTH(A172)=6,MONTH(A172)=9,MONTH(A172)=12),"Y","N")</f>
        <v/>
      </c>
      <c r="M172" s="21">
        <f>IF((H172+K172)=0,0,K172/(H172+K172))</f>
        <v/>
      </c>
      <c r="N172">
        <f>IF(AND(L172="Y",OR(M172&lt;CONFIG!$B$8,M172&gt;CONFIG!$B$9)),"Y","N")</f>
        <v/>
      </c>
      <c r="O172" s="19">
        <f>IF(N172="Y",(H172+K172)*0.8,H172)</f>
        <v/>
      </c>
      <c r="P172" s="19">
        <f>IF(N172="Y",(H172+K172)*0.2,K172)</f>
        <v/>
      </c>
      <c r="R172" s="18">
        <f>DATA!A172</f>
        <v/>
      </c>
      <c r="S172">
        <f>DATA!B172</f>
        <v/>
      </c>
      <c r="T172" s="19">
        <f>AF171</f>
        <v/>
      </c>
      <c r="U172" s="19">
        <f>AG171</f>
        <v/>
      </c>
      <c r="V172" s="19">
        <f>T172+U172</f>
        <v/>
      </c>
      <c r="W172" s="20">
        <f>DATA!D172</f>
        <v/>
      </c>
      <c r="X172" s="20">
        <f>DATA!F172</f>
        <v/>
      </c>
      <c r="Y172" s="19">
        <f>T172*(1+W172)</f>
        <v/>
      </c>
      <c r="Z172" s="19">
        <f>U172*(1+X172)</f>
        <v/>
      </c>
      <c r="AA172" s="19">
        <f>IF(AND(CONFIG!$B$11="Annual",MONTH(R172)=7),(Y172+Z172)*CONFIG!$B$6/12,AA171)</f>
        <v/>
      </c>
      <c r="AB172" s="19">
        <f>MAX(0,Z172-AA172)</f>
        <v/>
      </c>
      <c r="AC172">
        <f>IF(OR(MONTH(R172)=3,MONTH(R172)=6,MONTH(R172)=9,MONTH(R172)=12),"Y","N")</f>
        <v/>
      </c>
      <c r="AD172" s="21">
        <f>IF((Y172+AB172)=0,0,AB172/(Y172+AB172))</f>
        <v/>
      </c>
      <c r="AE172">
        <f>IF(AND(AC172="Y",OR(AD172&lt;CONFIG!$B$8,AD172&gt;CONFIG!$B$9)),"Y","N")</f>
        <v/>
      </c>
      <c r="AF172" s="19">
        <f>IF(AE172="Y",(Y172+AB172)*0.8,Y172)</f>
        <v/>
      </c>
      <c r="AG172" s="19">
        <f>IF(AE172="Y",(Y172+AB172)*0.2,AB172)</f>
        <v/>
      </c>
      <c r="AI172" s="18">
        <f>DATA!A172</f>
        <v/>
      </c>
      <c r="AJ172">
        <f>DATA!B172</f>
        <v/>
      </c>
      <c r="AK172" s="19">
        <f>AW171</f>
        <v/>
      </c>
      <c r="AL172" s="19">
        <f>AX171</f>
        <v/>
      </c>
      <c r="AM172" s="19">
        <f>AK172+AL172</f>
        <v/>
      </c>
      <c r="AN172" s="20">
        <f>DATA!E172</f>
        <v/>
      </c>
      <c r="AO172" s="20">
        <f>DATA!F172</f>
        <v/>
      </c>
      <c r="AP172" s="19">
        <f>AK172*(1+AN172)</f>
        <v/>
      </c>
      <c r="AQ172" s="19">
        <f>AL172*(1+AO172)</f>
        <v/>
      </c>
      <c r="AR172" s="19">
        <f>IF(AND(CONFIG!$B$11="Annual",MONTH(AI172)=7),(AP172+AQ172)*CONFIG!$B$6/12,AR171)</f>
        <v/>
      </c>
      <c r="AS172" s="19">
        <f>MAX(0,AQ172-AR172)</f>
        <v/>
      </c>
      <c r="AT172">
        <f>IF(OR(MONTH(AI172)=3,MONTH(AI172)=6,MONTH(AI172)=9,MONTH(AI172)=12),"Y","N")</f>
        <v/>
      </c>
      <c r="AU172" s="21">
        <f>IF((AP172+AS172)=0,0,AS172/(AP172+AS172))</f>
        <v/>
      </c>
      <c r="AV172">
        <f>IF(AND(AT172="Y",OR(AU172&lt;CONFIG!$B$8,AU172&gt;CONFIG!$B$9)),"Y","N")</f>
        <v/>
      </c>
      <c r="AW172" s="19">
        <f>IF(AV172="Y",(AP172+AS172)*0.8,AP172)</f>
        <v/>
      </c>
      <c r="AX172" s="19">
        <f>IF(AV172="Y",(AP172+AS172)*0.2,AS172)</f>
        <v/>
      </c>
    </row>
    <row r="173">
      <c r="A173" s="18">
        <f>DATA!A173</f>
        <v/>
      </c>
      <c r="B173">
        <f>DATA!B173</f>
        <v/>
      </c>
      <c r="C173" s="19">
        <f>O172</f>
        <v/>
      </c>
      <c r="D173" s="19">
        <f>P172</f>
        <v/>
      </c>
      <c r="E173" s="19">
        <f>C173+D173</f>
        <v/>
      </c>
      <c r="F173" s="20">
        <f>DATA!C173</f>
        <v/>
      </c>
      <c r="G173" s="20">
        <f>DATA!F173</f>
        <v/>
      </c>
      <c r="H173" s="19">
        <f>C173*(1+F173)</f>
        <v/>
      </c>
      <c r="I173" s="19">
        <f>D173*(1+G173)</f>
        <v/>
      </c>
      <c r="J173" s="19">
        <f>IF(AND(CONFIG!$B$11="Annual",MONTH(A173)=7),(H173+I173)*CONFIG!$B$6/12,J172)</f>
        <v/>
      </c>
      <c r="K173" s="19">
        <f>MAX(0,I173-J173)</f>
        <v/>
      </c>
      <c r="L173">
        <f>IF(OR(MONTH(A173)=3,MONTH(A173)=6,MONTH(A173)=9,MONTH(A173)=12),"Y","N")</f>
        <v/>
      </c>
      <c r="M173" s="21">
        <f>IF((H173+K173)=0,0,K173/(H173+K173))</f>
        <v/>
      </c>
      <c r="N173">
        <f>IF(AND(L173="Y",OR(M173&lt;CONFIG!$B$8,M173&gt;CONFIG!$B$9)),"Y","N")</f>
        <v/>
      </c>
      <c r="O173" s="19">
        <f>IF(N173="Y",(H173+K173)*0.8,H173)</f>
        <v/>
      </c>
      <c r="P173" s="19">
        <f>IF(N173="Y",(H173+K173)*0.2,K173)</f>
        <v/>
      </c>
      <c r="R173" s="18">
        <f>DATA!A173</f>
        <v/>
      </c>
      <c r="S173">
        <f>DATA!B173</f>
        <v/>
      </c>
      <c r="T173" s="19">
        <f>AF172</f>
        <v/>
      </c>
      <c r="U173" s="19">
        <f>AG172</f>
        <v/>
      </c>
      <c r="V173" s="19">
        <f>T173+U173</f>
        <v/>
      </c>
      <c r="W173" s="20">
        <f>DATA!D173</f>
        <v/>
      </c>
      <c r="X173" s="20">
        <f>DATA!F173</f>
        <v/>
      </c>
      <c r="Y173" s="19">
        <f>T173*(1+W173)</f>
        <v/>
      </c>
      <c r="Z173" s="19">
        <f>U173*(1+X173)</f>
        <v/>
      </c>
      <c r="AA173" s="19">
        <f>IF(AND(CONFIG!$B$11="Annual",MONTH(R173)=7),(Y173+Z173)*CONFIG!$B$6/12,AA172)</f>
        <v/>
      </c>
      <c r="AB173" s="19">
        <f>MAX(0,Z173-AA173)</f>
        <v/>
      </c>
      <c r="AC173">
        <f>IF(OR(MONTH(R173)=3,MONTH(R173)=6,MONTH(R173)=9,MONTH(R173)=12),"Y","N")</f>
        <v/>
      </c>
      <c r="AD173" s="21">
        <f>IF((Y173+AB173)=0,0,AB173/(Y173+AB173))</f>
        <v/>
      </c>
      <c r="AE173">
        <f>IF(AND(AC173="Y",OR(AD173&lt;CONFIG!$B$8,AD173&gt;CONFIG!$B$9)),"Y","N")</f>
        <v/>
      </c>
      <c r="AF173" s="19">
        <f>IF(AE173="Y",(Y173+AB173)*0.8,Y173)</f>
        <v/>
      </c>
      <c r="AG173" s="19">
        <f>IF(AE173="Y",(Y173+AB173)*0.2,AB173)</f>
        <v/>
      </c>
      <c r="AI173" s="18">
        <f>DATA!A173</f>
        <v/>
      </c>
      <c r="AJ173">
        <f>DATA!B173</f>
        <v/>
      </c>
      <c r="AK173" s="19">
        <f>AW172</f>
        <v/>
      </c>
      <c r="AL173" s="19">
        <f>AX172</f>
        <v/>
      </c>
      <c r="AM173" s="19">
        <f>AK173+AL173</f>
        <v/>
      </c>
      <c r="AN173" s="20">
        <f>DATA!E173</f>
        <v/>
      </c>
      <c r="AO173" s="20">
        <f>DATA!F173</f>
        <v/>
      </c>
      <c r="AP173" s="19">
        <f>AK173*(1+AN173)</f>
        <v/>
      </c>
      <c r="AQ173" s="19">
        <f>AL173*(1+AO173)</f>
        <v/>
      </c>
      <c r="AR173" s="19">
        <f>IF(AND(CONFIG!$B$11="Annual",MONTH(AI173)=7),(AP173+AQ173)*CONFIG!$B$6/12,AR172)</f>
        <v/>
      </c>
      <c r="AS173" s="19">
        <f>MAX(0,AQ173-AR173)</f>
        <v/>
      </c>
      <c r="AT173">
        <f>IF(OR(MONTH(AI173)=3,MONTH(AI173)=6,MONTH(AI173)=9,MONTH(AI173)=12),"Y","N")</f>
        <v/>
      </c>
      <c r="AU173" s="21">
        <f>IF((AP173+AS173)=0,0,AS173/(AP173+AS173))</f>
        <v/>
      </c>
      <c r="AV173">
        <f>IF(AND(AT173="Y",OR(AU173&lt;CONFIG!$B$8,AU173&gt;CONFIG!$B$9)),"Y","N")</f>
        <v/>
      </c>
      <c r="AW173" s="19">
        <f>IF(AV173="Y",(AP173+AS173)*0.8,AP173)</f>
        <v/>
      </c>
      <c r="AX173" s="19">
        <f>IF(AV173="Y",(AP173+AS173)*0.2,AS173)</f>
        <v/>
      </c>
    </row>
    <row r="174">
      <c r="A174" s="18">
        <f>DATA!A174</f>
        <v/>
      </c>
      <c r="B174">
        <f>DATA!B174</f>
        <v/>
      </c>
      <c r="C174" s="19">
        <f>O173</f>
        <v/>
      </c>
      <c r="D174" s="19">
        <f>P173</f>
        <v/>
      </c>
      <c r="E174" s="19">
        <f>C174+D174</f>
        <v/>
      </c>
      <c r="F174" s="20">
        <f>DATA!C174</f>
        <v/>
      </c>
      <c r="G174" s="20">
        <f>DATA!F174</f>
        <v/>
      </c>
      <c r="H174" s="19">
        <f>C174*(1+F174)</f>
        <v/>
      </c>
      <c r="I174" s="19">
        <f>D174*(1+G174)</f>
        <v/>
      </c>
      <c r="J174" s="19">
        <f>IF(AND(CONFIG!$B$11="Annual",MONTH(A174)=7),(H174+I174)*CONFIG!$B$6/12,J173)</f>
        <v/>
      </c>
      <c r="K174" s="19">
        <f>MAX(0,I174-J174)</f>
        <v/>
      </c>
      <c r="L174">
        <f>IF(OR(MONTH(A174)=3,MONTH(A174)=6,MONTH(A174)=9,MONTH(A174)=12),"Y","N")</f>
        <v/>
      </c>
      <c r="M174" s="21">
        <f>IF((H174+K174)=0,0,K174/(H174+K174))</f>
        <v/>
      </c>
      <c r="N174">
        <f>IF(AND(L174="Y",OR(M174&lt;CONFIG!$B$8,M174&gt;CONFIG!$B$9)),"Y","N")</f>
        <v/>
      </c>
      <c r="O174" s="19">
        <f>IF(N174="Y",(H174+K174)*0.8,H174)</f>
        <v/>
      </c>
      <c r="P174" s="19">
        <f>IF(N174="Y",(H174+K174)*0.2,K174)</f>
        <v/>
      </c>
      <c r="R174" s="18">
        <f>DATA!A174</f>
        <v/>
      </c>
      <c r="S174">
        <f>DATA!B174</f>
        <v/>
      </c>
      <c r="T174" s="19">
        <f>AF173</f>
        <v/>
      </c>
      <c r="U174" s="19">
        <f>AG173</f>
        <v/>
      </c>
      <c r="V174" s="19">
        <f>T174+U174</f>
        <v/>
      </c>
      <c r="W174" s="20">
        <f>DATA!D174</f>
        <v/>
      </c>
      <c r="X174" s="20">
        <f>DATA!F174</f>
        <v/>
      </c>
      <c r="Y174" s="19">
        <f>T174*(1+W174)</f>
        <v/>
      </c>
      <c r="Z174" s="19">
        <f>U174*(1+X174)</f>
        <v/>
      </c>
      <c r="AA174" s="19">
        <f>IF(AND(CONFIG!$B$11="Annual",MONTH(R174)=7),(Y174+Z174)*CONFIG!$B$6/12,AA173)</f>
        <v/>
      </c>
      <c r="AB174" s="19">
        <f>MAX(0,Z174-AA174)</f>
        <v/>
      </c>
      <c r="AC174">
        <f>IF(OR(MONTH(R174)=3,MONTH(R174)=6,MONTH(R174)=9,MONTH(R174)=12),"Y","N")</f>
        <v/>
      </c>
      <c r="AD174" s="21">
        <f>IF((Y174+AB174)=0,0,AB174/(Y174+AB174))</f>
        <v/>
      </c>
      <c r="AE174">
        <f>IF(AND(AC174="Y",OR(AD174&lt;CONFIG!$B$8,AD174&gt;CONFIG!$B$9)),"Y","N")</f>
        <v/>
      </c>
      <c r="AF174" s="19">
        <f>IF(AE174="Y",(Y174+AB174)*0.8,Y174)</f>
        <v/>
      </c>
      <c r="AG174" s="19">
        <f>IF(AE174="Y",(Y174+AB174)*0.2,AB174)</f>
        <v/>
      </c>
      <c r="AI174" s="18">
        <f>DATA!A174</f>
        <v/>
      </c>
      <c r="AJ174">
        <f>DATA!B174</f>
        <v/>
      </c>
      <c r="AK174" s="19">
        <f>AW173</f>
        <v/>
      </c>
      <c r="AL174" s="19">
        <f>AX173</f>
        <v/>
      </c>
      <c r="AM174" s="19">
        <f>AK174+AL174</f>
        <v/>
      </c>
      <c r="AN174" s="20">
        <f>DATA!E174</f>
        <v/>
      </c>
      <c r="AO174" s="20">
        <f>DATA!F174</f>
        <v/>
      </c>
      <c r="AP174" s="19">
        <f>AK174*(1+AN174)</f>
        <v/>
      </c>
      <c r="AQ174" s="19">
        <f>AL174*(1+AO174)</f>
        <v/>
      </c>
      <c r="AR174" s="19">
        <f>IF(AND(CONFIG!$B$11="Annual",MONTH(AI174)=7),(AP174+AQ174)*CONFIG!$B$6/12,AR173)</f>
        <v/>
      </c>
      <c r="AS174" s="19">
        <f>MAX(0,AQ174-AR174)</f>
        <v/>
      </c>
      <c r="AT174">
        <f>IF(OR(MONTH(AI174)=3,MONTH(AI174)=6,MONTH(AI174)=9,MONTH(AI174)=12),"Y","N")</f>
        <v/>
      </c>
      <c r="AU174" s="21">
        <f>IF((AP174+AS174)=0,0,AS174/(AP174+AS174))</f>
        <v/>
      </c>
      <c r="AV174">
        <f>IF(AND(AT174="Y",OR(AU174&lt;CONFIG!$B$8,AU174&gt;CONFIG!$B$9)),"Y","N")</f>
        <v/>
      </c>
      <c r="AW174" s="19">
        <f>IF(AV174="Y",(AP174+AS174)*0.8,AP174)</f>
        <v/>
      </c>
      <c r="AX174" s="19">
        <f>IF(AV174="Y",(AP174+AS174)*0.2,AS174)</f>
        <v/>
      </c>
    </row>
    <row r="175">
      <c r="A175" s="18">
        <f>DATA!A175</f>
        <v/>
      </c>
      <c r="B175">
        <f>DATA!B175</f>
        <v/>
      </c>
      <c r="C175" s="19">
        <f>O174</f>
        <v/>
      </c>
      <c r="D175" s="19">
        <f>P174</f>
        <v/>
      </c>
      <c r="E175" s="19">
        <f>C175+D175</f>
        <v/>
      </c>
      <c r="F175" s="20">
        <f>DATA!C175</f>
        <v/>
      </c>
      <c r="G175" s="20">
        <f>DATA!F175</f>
        <v/>
      </c>
      <c r="H175" s="19">
        <f>C175*(1+F175)</f>
        <v/>
      </c>
      <c r="I175" s="19">
        <f>D175*(1+G175)</f>
        <v/>
      </c>
      <c r="J175" s="19">
        <f>IF(AND(CONFIG!$B$11="Annual",MONTH(A175)=7),(H175+I175)*CONFIG!$B$6/12,J174)</f>
        <v/>
      </c>
      <c r="K175" s="19">
        <f>MAX(0,I175-J175)</f>
        <v/>
      </c>
      <c r="L175">
        <f>IF(OR(MONTH(A175)=3,MONTH(A175)=6,MONTH(A175)=9,MONTH(A175)=12),"Y","N")</f>
        <v/>
      </c>
      <c r="M175" s="21">
        <f>IF((H175+K175)=0,0,K175/(H175+K175))</f>
        <v/>
      </c>
      <c r="N175">
        <f>IF(AND(L175="Y",OR(M175&lt;CONFIG!$B$8,M175&gt;CONFIG!$B$9)),"Y","N")</f>
        <v/>
      </c>
      <c r="O175" s="19">
        <f>IF(N175="Y",(H175+K175)*0.8,H175)</f>
        <v/>
      </c>
      <c r="P175" s="19">
        <f>IF(N175="Y",(H175+K175)*0.2,K175)</f>
        <v/>
      </c>
      <c r="R175" s="18">
        <f>DATA!A175</f>
        <v/>
      </c>
      <c r="S175">
        <f>DATA!B175</f>
        <v/>
      </c>
      <c r="T175" s="19">
        <f>AF174</f>
        <v/>
      </c>
      <c r="U175" s="19">
        <f>AG174</f>
        <v/>
      </c>
      <c r="V175" s="19">
        <f>T175+U175</f>
        <v/>
      </c>
      <c r="W175" s="20">
        <f>DATA!D175</f>
        <v/>
      </c>
      <c r="X175" s="20">
        <f>DATA!F175</f>
        <v/>
      </c>
      <c r="Y175" s="19">
        <f>T175*(1+W175)</f>
        <v/>
      </c>
      <c r="Z175" s="19">
        <f>U175*(1+X175)</f>
        <v/>
      </c>
      <c r="AA175" s="19">
        <f>IF(AND(CONFIG!$B$11="Annual",MONTH(R175)=7),(Y175+Z175)*CONFIG!$B$6/12,AA174)</f>
        <v/>
      </c>
      <c r="AB175" s="19">
        <f>MAX(0,Z175-AA175)</f>
        <v/>
      </c>
      <c r="AC175">
        <f>IF(OR(MONTH(R175)=3,MONTH(R175)=6,MONTH(R175)=9,MONTH(R175)=12),"Y","N")</f>
        <v/>
      </c>
      <c r="AD175" s="21">
        <f>IF((Y175+AB175)=0,0,AB175/(Y175+AB175))</f>
        <v/>
      </c>
      <c r="AE175">
        <f>IF(AND(AC175="Y",OR(AD175&lt;CONFIG!$B$8,AD175&gt;CONFIG!$B$9)),"Y","N")</f>
        <v/>
      </c>
      <c r="AF175" s="19">
        <f>IF(AE175="Y",(Y175+AB175)*0.8,Y175)</f>
        <v/>
      </c>
      <c r="AG175" s="19">
        <f>IF(AE175="Y",(Y175+AB175)*0.2,AB175)</f>
        <v/>
      </c>
      <c r="AI175" s="18">
        <f>DATA!A175</f>
        <v/>
      </c>
      <c r="AJ175">
        <f>DATA!B175</f>
        <v/>
      </c>
      <c r="AK175" s="19">
        <f>AW174</f>
        <v/>
      </c>
      <c r="AL175" s="19">
        <f>AX174</f>
        <v/>
      </c>
      <c r="AM175" s="19">
        <f>AK175+AL175</f>
        <v/>
      </c>
      <c r="AN175" s="20">
        <f>DATA!E175</f>
        <v/>
      </c>
      <c r="AO175" s="20">
        <f>DATA!F175</f>
        <v/>
      </c>
      <c r="AP175" s="19">
        <f>AK175*(1+AN175)</f>
        <v/>
      </c>
      <c r="AQ175" s="19">
        <f>AL175*(1+AO175)</f>
        <v/>
      </c>
      <c r="AR175" s="19">
        <f>IF(AND(CONFIG!$B$11="Annual",MONTH(AI175)=7),(AP175+AQ175)*CONFIG!$B$6/12,AR174)</f>
        <v/>
      </c>
      <c r="AS175" s="19">
        <f>MAX(0,AQ175-AR175)</f>
        <v/>
      </c>
      <c r="AT175">
        <f>IF(OR(MONTH(AI175)=3,MONTH(AI175)=6,MONTH(AI175)=9,MONTH(AI175)=12),"Y","N")</f>
        <v/>
      </c>
      <c r="AU175" s="21">
        <f>IF((AP175+AS175)=0,0,AS175/(AP175+AS175))</f>
        <v/>
      </c>
      <c r="AV175">
        <f>IF(AND(AT175="Y",OR(AU175&lt;CONFIG!$B$8,AU175&gt;CONFIG!$B$9)),"Y","N")</f>
        <v/>
      </c>
      <c r="AW175" s="19">
        <f>IF(AV175="Y",(AP175+AS175)*0.8,AP175)</f>
        <v/>
      </c>
      <c r="AX175" s="19">
        <f>IF(AV175="Y",(AP175+AS175)*0.2,AS175)</f>
        <v/>
      </c>
    </row>
    <row r="176">
      <c r="A176" s="18">
        <f>DATA!A176</f>
        <v/>
      </c>
      <c r="B176">
        <f>DATA!B176</f>
        <v/>
      </c>
      <c r="C176" s="19">
        <f>O175</f>
        <v/>
      </c>
      <c r="D176" s="19">
        <f>P175</f>
        <v/>
      </c>
      <c r="E176" s="19">
        <f>C176+D176</f>
        <v/>
      </c>
      <c r="F176" s="20">
        <f>DATA!C176</f>
        <v/>
      </c>
      <c r="G176" s="20">
        <f>DATA!F176</f>
        <v/>
      </c>
      <c r="H176" s="19">
        <f>C176*(1+F176)</f>
        <v/>
      </c>
      <c r="I176" s="19">
        <f>D176*(1+G176)</f>
        <v/>
      </c>
      <c r="J176" s="19">
        <f>IF(AND(CONFIG!$B$11="Annual",MONTH(A176)=7),(H176+I176)*CONFIG!$B$6/12,J175)</f>
        <v/>
      </c>
      <c r="K176" s="19">
        <f>MAX(0,I176-J176)</f>
        <v/>
      </c>
      <c r="L176">
        <f>IF(OR(MONTH(A176)=3,MONTH(A176)=6,MONTH(A176)=9,MONTH(A176)=12),"Y","N")</f>
        <v/>
      </c>
      <c r="M176" s="21">
        <f>IF((H176+K176)=0,0,K176/(H176+K176))</f>
        <v/>
      </c>
      <c r="N176">
        <f>IF(AND(L176="Y",OR(M176&lt;CONFIG!$B$8,M176&gt;CONFIG!$B$9)),"Y","N")</f>
        <v/>
      </c>
      <c r="O176" s="19">
        <f>IF(N176="Y",(H176+K176)*0.8,H176)</f>
        <v/>
      </c>
      <c r="P176" s="19">
        <f>IF(N176="Y",(H176+K176)*0.2,K176)</f>
        <v/>
      </c>
      <c r="R176" s="18">
        <f>DATA!A176</f>
        <v/>
      </c>
      <c r="S176">
        <f>DATA!B176</f>
        <v/>
      </c>
      <c r="T176" s="19">
        <f>AF175</f>
        <v/>
      </c>
      <c r="U176" s="19">
        <f>AG175</f>
        <v/>
      </c>
      <c r="V176" s="19">
        <f>T176+U176</f>
        <v/>
      </c>
      <c r="W176" s="20">
        <f>DATA!D176</f>
        <v/>
      </c>
      <c r="X176" s="20">
        <f>DATA!F176</f>
        <v/>
      </c>
      <c r="Y176" s="19">
        <f>T176*(1+W176)</f>
        <v/>
      </c>
      <c r="Z176" s="19">
        <f>U176*(1+X176)</f>
        <v/>
      </c>
      <c r="AA176" s="19">
        <f>IF(AND(CONFIG!$B$11="Annual",MONTH(R176)=7),(Y176+Z176)*CONFIG!$B$6/12,AA175)</f>
        <v/>
      </c>
      <c r="AB176" s="19">
        <f>MAX(0,Z176-AA176)</f>
        <v/>
      </c>
      <c r="AC176">
        <f>IF(OR(MONTH(R176)=3,MONTH(R176)=6,MONTH(R176)=9,MONTH(R176)=12),"Y","N")</f>
        <v/>
      </c>
      <c r="AD176" s="21">
        <f>IF((Y176+AB176)=0,0,AB176/(Y176+AB176))</f>
        <v/>
      </c>
      <c r="AE176">
        <f>IF(AND(AC176="Y",OR(AD176&lt;CONFIG!$B$8,AD176&gt;CONFIG!$B$9)),"Y","N")</f>
        <v/>
      </c>
      <c r="AF176" s="19">
        <f>IF(AE176="Y",(Y176+AB176)*0.8,Y176)</f>
        <v/>
      </c>
      <c r="AG176" s="19">
        <f>IF(AE176="Y",(Y176+AB176)*0.2,AB176)</f>
        <v/>
      </c>
      <c r="AI176" s="18">
        <f>DATA!A176</f>
        <v/>
      </c>
      <c r="AJ176">
        <f>DATA!B176</f>
        <v/>
      </c>
      <c r="AK176" s="19">
        <f>AW175</f>
        <v/>
      </c>
      <c r="AL176" s="19">
        <f>AX175</f>
        <v/>
      </c>
      <c r="AM176" s="19">
        <f>AK176+AL176</f>
        <v/>
      </c>
      <c r="AN176" s="20">
        <f>DATA!E176</f>
        <v/>
      </c>
      <c r="AO176" s="20">
        <f>DATA!F176</f>
        <v/>
      </c>
      <c r="AP176" s="19">
        <f>AK176*(1+AN176)</f>
        <v/>
      </c>
      <c r="AQ176" s="19">
        <f>AL176*(1+AO176)</f>
        <v/>
      </c>
      <c r="AR176" s="19">
        <f>IF(AND(CONFIG!$B$11="Annual",MONTH(AI176)=7),(AP176+AQ176)*CONFIG!$B$6/12,AR175)</f>
        <v/>
      </c>
      <c r="AS176" s="19">
        <f>MAX(0,AQ176-AR176)</f>
        <v/>
      </c>
      <c r="AT176">
        <f>IF(OR(MONTH(AI176)=3,MONTH(AI176)=6,MONTH(AI176)=9,MONTH(AI176)=12),"Y","N")</f>
        <v/>
      </c>
      <c r="AU176" s="21">
        <f>IF((AP176+AS176)=0,0,AS176/(AP176+AS176))</f>
        <v/>
      </c>
      <c r="AV176">
        <f>IF(AND(AT176="Y",OR(AU176&lt;CONFIG!$B$8,AU176&gt;CONFIG!$B$9)),"Y","N")</f>
        <v/>
      </c>
      <c r="AW176" s="19">
        <f>IF(AV176="Y",(AP176+AS176)*0.8,AP176)</f>
        <v/>
      </c>
      <c r="AX176" s="19">
        <f>IF(AV176="Y",(AP176+AS176)*0.2,AS176)</f>
        <v/>
      </c>
    </row>
    <row r="177">
      <c r="A177" s="18">
        <f>DATA!A177</f>
        <v/>
      </c>
      <c r="B177">
        <f>DATA!B177</f>
        <v/>
      </c>
      <c r="C177" s="19">
        <f>O176</f>
        <v/>
      </c>
      <c r="D177" s="19">
        <f>P176</f>
        <v/>
      </c>
      <c r="E177" s="19">
        <f>C177+D177</f>
        <v/>
      </c>
      <c r="F177" s="20">
        <f>DATA!C177</f>
        <v/>
      </c>
      <c r="G177" s="20">
        <f>DATA!F177</f>
        <v/>
      </c>
      <c r="H177" s="19">
        <f>C177*(1+F177)</f>
        <v/>
      </c>
      <c r="I177" s="19">
        <f>D177*(1+G177)</f>
        <v/>
      </c>
      <c r="J177" s="19">
        <f>IF(AND(CONFIG!$B$11="Annual",MONTH(A177)=7),(H177+I177)*CONFIG!$B$6/12,J176)</f>
        <v/>
      </c>
      <c r="K177" s="19">
        <f>MAX(0,I177-J177)</f>
        <v/>
      </c>
      <c r="L177">
        <f>IF(OR(MONTH(A177)=3,MONTH(A177)=6,MONTH(A177)=9,MONTH(A177)=12),"Y","N")</f>
        <v/>
      </c>
      <c r="M177" s="21">
        <f>IF((H177+K177)=0,0,K177/(H177+K177))</f>
        <v/>
      </c>
      <c r="N177">
        <f>IF(AND(L177="Y",OR(M177&lt;CONFIG!$B$8,M177&gt;CONFIG!$B$9)),"Y","N")</f>
        <v/>
      </c>
      <c r="O177" s="19">
        <f>IF(N177="Y",(H177+K177)*0.8,H177)</f>
        <v/>
      </c>
      <c r="P177" s="19">
        <f>IF(N177="Y",(H177+K177)*0.2,K177)</f>
        <v/>
      </c>
      <c r="R177" s="18">
        <f>DATA!A177</f>
        <v/>
      </c>
      <c r="S177">
        <f>DATA!B177</f>
        <v/>
      </c>
      <c r="T177" s="19">
        <f>AF176</f>
        <v/>
      </c>
      <c r="U177" s="19">
        <f>AG176</f>
        <v/>
      </c>
      <c r="V177" s="19">
        <f>T177+U177</f>
        <v/>
      </c>
      <c r="W177" s="20">
        <f>DATA!D177</f>
        <v/>
      </c>
      <c r="X177" s="20">
        <f>DATA!F177</f>
        <v/>
      </c>
      <c r="Y177" s="19">
        <f>T177*(1+W177)</f>
        <v/>
      </c>
      <c r="Z177" s="19">
        <f>U177*(1+X177)</f>
        <v/>
      </c>
      <c r="AA177" s="19">
        <f>IF(AND(CONFIG!$B$11="Annual",MONTH(R177)=7),(Y177+Z177)*CONFIG!$B$6/12,AA176)</f>
        <v/>
      </c>
      <c r="AB177" s="19">
        <f>MAX(0,Z177-AA177)</f>
        <v/>
      </c>
      <c r="AC177">
        <f>IF(OR(MONTH(R177)=3,MONTH(R177)=6,MONTH(R177)=9,MONTH(R177)=12),"Y","N")</f>
        <v/>
      </c>
      <c r="AD177" s="21">
        <f>IF((Y177+AB177)=0,0,AB177/(Y177+AB177))</f>
        <v/>
      </c>
      <c r="AE177">
        <f>IF(AND(AC177="Y",OR(AD177&lt;CONFIG!$B$8,AD177&gt;CONFIG!$B$9)),"Y","N")</f>
        <v/>
      </c>
      <c r="AF177" s="19">
        <f>IF(AE177="Y",(Y177+AB177)*0.8,Y177)</f>
        <v/>
      </c>
      <c r="AG177" s="19">
        <f>IF(AE177="Y",(Y177+AB177)*0.2,AB177)</f>
        <v/>
      </c>
      <c r="AI177" s="18">
        <f>DATA!A177</f>
        <v/>
      </c>
      <c r="AJ177">
        <f>DATA!B177</f>
        <v/>
      </c>
      <c r="AK177" s="19">
        <f>AW176</f>
        <v/>
      </c>
      <c r="AL177" s="19">
        <f>AX176</f>
        <v/>
      </c>
      <c r="AM177" s="19">
        <f>AK177+AL177</f>
        <v/>
      </c>
      <c r="AN177" s="20">
        <f>DATA!E177</f>
        <v/>
      </c>
      <c r="AO177" s="20">
        <f>DATA!F177</f>
        <v/>
      </c>
      <c r="AP177" s="19">
        <f>AK177*(1+AN177)</f>
        <v/>
      </c>
      <c r="AQ177" s="19">
        <f>AL177*(1+AO177)</f>
        <v/>
      </c>
      <c r="AR177" s="19">
        <f>IF(AND(CONFIG!$B$11="Annual",MONTH(AI177)=7),(AP177+AQ177)*CONFIG!$B$6/12,AR176)</f>
        <v/>
      </c>
      <c r="AS177" s="19">
        <f>MAX(0,AQ177-AR177)</f>
        <v/>
      </c>
      <c r="AT177">
        <f>IF(OR(MONTH(AI177)=3,MONTH(AI177)=6,MONTH(AI177)=9,MONTH(AI177)=12),"Y","N")</f>
        <v/>
      </c>
      <c r="AU177" s="21">
        <f>IF((AP177+AS177)=0,0,AS177/(AP177+AS177))</f>
        <v/>
      </c>
      <c r="AV177">
        <f>IF(AND(AT177="Y",OR(AU177&lt;CONFIG!$B$8,AU177&gt;CONFIG!$B$9)),"Y","N")</f>
        <v/>
      </c>
      <c r="AW177" s="19">
        <f>IF(AV177="Y",(AP177+AS177)*0.8,AP177)</f>
        <v/>
      </c>
      <c r="AX177" s="19">
        <f>IF(AV177="Y",(AP177+AS177)*0.2,AS177)</f>
        <v/>
      </c>
    </row>
    <row r="178">
      <c r="A178" s="18">
        <f>DATA!A178</f>
        <v/>
      </c>
      <c r="B178">
        <f>DATA!B178</f>
        <v/>
      </c>
      <c r="C178" s="19">
        <f>O177</f>
        <v/>
      </c>
      <c r="D178" s="19">
        <f>P177</f>
        <v/>
      </c>
      <c r="E178" s="19">
        <f>C178+D178</f>
        <v/>
      </c>
      <c r="F178" s="20">
        <f>DATA!C178</f>
        <v/>
      </c>
      <c r="G178" s="20">
        <f>DATA!F178</f>
        <v/>
      </c>
      <c r="H178" s="19">
        <f>C178*(1+F178)</f>
        <v/>
      </c>
      <c r="I178" s="19">
        <f>D178*(1+G178)</f>
        <v/>
      </c>
      <c r="J178" s="19">
        <f>IF(AND(CONFIG!$B$11="Annual",MONTH(A178)=7),(H178+I178)*CONFIG!$B$6/12,J177)</f>
        <v/>
      </c>
      <c r="K178" s="19">
        <f>MAX(0,I178-J178)</f>
        <v/>
      </c>
      <c r="L178">
        <f>IF(OR(MONTH(A178)=3,MONTH(A178)=6,MONTH(A178)=9,MONTH(A178)=12),"Y","N")</f>
        <v/>
      </c>
      <c r="M178" s="21">
        <f>IF((H178+K178)=0,0,K178/(H178+K178))</f>
        <v/>
      </c>
      <c r="N178">
        <f>IF(AND(L178="Y",OR(M178&lt;CONFIG!$B$8,M178&gt;CONFIG!$B$9)),"Y","N")</f>
        <v/>
      </c>
      <c r="O178" s="19">
        <f>IF(N178="Y",(H178+K178)*0.8,H178)</f>
        <v/>
      </c>
      <c r="P178" s="19">
        <f>IF(N178="Y",(H178+K178)*0.2,K178)</f>
        <v/>
      </c>
      <c r="R178" s="18">
        <f>DATA!A178</f>
        <v/>
      </c>
      <c r="S178">
        <f>DATA!B178</f>
        <v/>
      </c>
      <c r="T178" s="19">
        <f>AF177</f>
        <v/>
      </c>
      <c r="U178" s="19">
        <f>AG177</f>
        <v/>
      </c>
      <c r="V178" s="19">
        <f>T178+U178</f>
        <v/>
      </c>
      <c r="W178" s="20">
        <f>DATA!D178</f>
        <v/>
      </c>
      <c r="X178" s="20">
        <f>DATA!F178</f>
        <v/>
      </c>
      <c r="Y178" s="19">
        <f>T178*(1+W178)</f>
        <v/>
      </c>
      <c r="Z178" s="19">
        <f>U178*(1+X178)</f>
        <v/>
      </c>
      <c r="AA178" s="19">
        <f>IF(AND(CONFIG!$B$11="Annual",MONTH(R178)=7),(Y178+Z178)*CONFIG!$B$6/12,AA177)</f>
        <v/>
      </c>
      <c r="AB178" s="19">
        <f>MAX(0,Z178-AA178)</f>
        <v/>
      </c>
      <c r="AC178">
        <f>IF(OR(MONTH(R178)=3,MONTH(R178)=6,MONTH(R178)=9,MONTH(R178)=12),"Y","N")</f>
        <v/>
      </c>
      <c r="AD178" s="21">
        <f>IF((Y178+AB178)=0,0,AB178/(Y178+AB178))</f>
        <v/>
      </c>
      <c r="AE178">
        <f>IF(AND(AC178="Y",OR(AD178&lt;CONFIG!$B$8,AD178&gt;CONFIG!$B$9)),"Y","N")</f>
        <v/>
      </c>
      <c r="AF178" s="19">
        <f>IF(AE178="Y",(Y178+AB178)*0.8,Y178)</f>
        <v/>
      </c>
      <c r="AG178" s="19">
        <f>IF(AE178="Y",(Y178+AB178)*0.2,AB178)</f>
        <v/>
      </c>
      <c r="AI178" s="18">
        <f>DATA!A178</f>
        <v/>
      </c>
      <c r="AJ178">
        <f>DATA!B178</f>
        <v/>
      </c>
      <c r="AK178" s="19">
        <f>AW177</f>
        <v/>
      </c>
      <c r="AL178" s="19">
        <f>AX177</f>
        <v/>
      </c>
      <c r="AM178" s="19">
        <f>AK178+AL178</f>
        <v/>
      </c>
      <c r="AN178" s="20">
        <f>DATA!E178</f>
        <v/>
      </c>
      <c r="AO178" s="20">
        <f>DATA!F178</f>
        <v/>
      </c>
      <c r="AP178" s="19">
        <f>AK178*(1+AN178)</f>
        <v/>
      </c>
      <c r="AQ178" s="19">
        <f>AL178*(1+AO178)</f>
        <v/>
      </c>
      <c r="AR178" s="19">
        <f>IF(AND(CONFIG!$B$11="Annual",MONTH(AI178)=7),(AP178+AQ178)*CONFIG!$B$6/12,AR177)</f>
        <v/>
      </c>
      <c r="AS178" s="19">
        <f>MAX(0,AQ178-AR178)</f>
        <v/>
      </c>
      <c r="AT178">
        <f>IF(OR(MONTH(AI178)=3,MONTH(AI178)=6,MONTH(AI178)=9,MONTH(AI178)=12),"Y","N")</f>
        <v/>
      </c>
      <c r="AU178" s="21">
        <f>IF((AP178+AS178)=0,0,AS178/(AP178+AS178))</f>
        <v/>
      </c>
      <c r="AV178">
        <f>IF(AND(AT178="Y",OR(AU178&lt;CONFIG!$B$8,AU178&gt;CONFIG!$B$9)),"Y","N")</f>
        <v/>
      </c>
      <c r="AW178" s="19">
        <f>IF(AV178="Y",(AP178+AS178)*0.8,AP178)</f>
        <v/>
      </c>
      <c r="AX178" s="19">
        <f>IF(AV178="Y",(AP178+AS178)*0.2,AS178)</f>
        <v/>
      </c>
    </row>
    <row r="179">
      <c r="A179" s="18">
        <f>DATA!A179</f>
        <v/>
      </c>
      <c r="B179">
        <f>DATA!B179</f>
        <v/>
      </c>
      <c r="C179" s="19">
        <f>O178</f>
        <v/>
      </c>
      <c r="D179" s="19">
        <f>P178</f>
        <v/>
      </c>
      <c r="E179" s="19">
        <f>C179+D179</f>
        <v/>
      </c>
      <c r="F179" s="20">
        <f>DATA!C179</f>
        <v/>
      </c>
      <c r="G179" s="20">
        <f>DATA!F179</f>
        <v/>
      </c>
      <c r="H179" s="19">
        <f>C179*(1+F179)</f>
        <v/>
      </c>
      <c r="I179" s="19">
        <f>D179*(1+G179)</f>
        <v/>
      </c>
      <c r="J179" s="19">
        <f>IF(AND(CONFIG!$B$11="Annual",MONTH(A179)=7),(H179+I179)*CONFIG!$B$6/12,J178)</f>
        <v/>
      </c>
      <c r="K179" s="19">
        <f>MAX(0,I179-J179)</f>
        <v/>
      </c>
      <c r="L179">
        <f>IF(OR(MONTH(A179)=3,MONTH(A179)=6,MONTH(A179)=9,MONTH(A179)=12),"Y","N")</f>
        <v/>
      </c>
      <c r="M179" s="21">
        <f>IF((H179+K179)=0,0,K179/(H179+K179))</f>
        <v/>
      </c>
      <c r="N179">
        <f>IF(AND(L179="Y",OR(M179&lt;CONFIG!$B$8,M179&gt;CONFIG!$B$9)),"Y","N")</f>
        <v/>
      </c>
      <c r="O179" s="19">
        <f>IF(N179="Y",(H179+K179)*0.8,H179)</f>
        <v/>
      </c>
      <c r="P179" s="19">
        <f>IF(N179="Y",(H179+K179)*0.2,K179)</f>
        <v/>
      </c>
      <c r="R179" s="18">
        <f>DATA!A179</f>
        <v/>
      </c>
      <c r="S179">
        <f>DATA!B179</f>
        <v/>
      </c>
      <c r="T179" s="19">
        <f>AF178</f>
        <v/>
      </c>
      <c r="U179" s="19">
        <f>AG178</f>
        <v/>
      </c>
      <c r="V179" s="19">
        <f>T179+U179</f>
        <v/>
      </c>
      <c r="W179" s="20">
        <f>DATA!D179</f>
        <v/>
      </c>
      <c r="X179" s="20">
        <f>DATA!F179</f>
        <v/>
      </c>
      <c r="Y179" s="19">
        <f>T179*(1+W179)</f>
        <v/>
      </c>
      <c r="Z179" s="19">
        <f>U179*(1+X179)</f>
        <v/>
      </c>
      <c r="AA179" s="19">
        <f>IF(AND(CONFIG!$B$11="Annual",MONTH(R179)=7),(Y179+Z179)*CONFIG!$B$6/12,AA178)</f>
        <v/>
      </c>
      <c r="AB179" s="19">
        <f>MAX(0,Z179-AA179)</f>
        <v/>
      </c>
      <c r="AC179">
        <f>IF(OR(MONTH(R179)=3,MONTH(R179)=6,MONTH(R179)=9,MONTH(R179)=12),"Y","N")</f>
        <v/>
      </c>
      <c r="AD179" s="21">
        <f>IF((Y179+AB179)=0,0,AB179/(Y179+AB179))</f>
        <v/>
      </c>
      <c r="AE179">
        <f>IF(AND(AC179="Y",OR(AD179&lt;CONFIG!$B$8,AD179&gt;CONFIG!$B$9)),"Y","N")</f>
        <v/>
      </c>
      <c r="AF179" s="19">
        <f>IF(AE179="Y",(Y179+AB179)*0.8,Y179)</f>
        <v/>
      </c>
      <c r="AG179" s="19">
        <f>IF(AE179="Y",(Y179+AB179)*0.2,AB179)</f>
        <v/>
      </c>
      <c r="AI179" s="18">
        <f>DATA!A179</f>
        <v/>
      </c>
      <c r="AJ179">
        <f>DATA!B179</f>
        <v/>
      </c>
      <c r="AK179" s="19">
        <f>AW178</f>
        <v/>
      </c>
      <c r="AL179" s="19">
        <f>AX178</f>
        <v/>
      </c>
      <c r="AM179" s="19">
        <f>AK179+AL179</f>
        <v/>
      </c>
      <c r="AN179" s="20">
        <f>DATA!E179</f>
        <v/>
      </c>
      <c r="AO179" s="20">
        <f>DATA!F179</f>
        <v/>
      </c>
      <c r="AP179" s="19">
        <f>AK179*(1+AN179)</f>
        <v/>
      </c>
      <c r="AQ179" s="19">
        <f>AL179*(1+AO179)</f>
        <v/>
      </c>
      <c r="AR179" s="19">
        <f>IF(AND(CONFIG!$B$11="Annual",MONTH(AI179)=7),(AP179+AQ179)*CONFIG!$B$6/12,AR178)</f>
        <v/>
      </c>
      <c r="AS179" s="19">
        <f>MAX(0,AQ179-AR179)</f>
        <v/>
      </c>
      <c r="AT179">
        <f>IF(OR(MONTH(AI179)=3,MONTH(AI179)=6,MONTH(AI179)=9,MONTH(AI179)=12),"Y","N")</f>
        <v/>
      </c>
      <c r="AU179" s="21">
        <f>IF((AP179+AS179)=0,0,AS179/(AP179+AS179))</f>
        <v/>
      </c>
      <c r="AV179">
        <f>IF(AND(AT179="Y",OR(AU179&lt;CONFIG!$B$8,AU179&gt;CONFIG!$B$9)),"Y","N")</f>
        <v/>
      </c>
      <c r="AW179" s="19">
        <f>IF(AV179="Y",(AP179+AS179)*0.8,AP179)</f>
        <v/>
      </c>
      <c r="AX179" s="19">
        <f>IF(AV179="Y",(AP179+AS179)*0.2,AS179)</f>
        <v/>
      </c>
    </row>
    <row r="180">
      <c r="A180" s="18">
        <f>DATA!A180</f>
        <v/>
      </c>
      <c r="B180">
        <f>DATA!B180</f>
        <v/>
      </c>
      <c r="C180" s="19">
        <f>O179</f>
        <v/>
      </c>
      <c r="D180" s="19">
        <f>P179</f>
        <v/>
      </c>
      <c r="E180" s="19">
        <f>C180+D180</f>
        <v/>
      </c>
      <c r="F180" s="20">
        <f>DATA!C180</f>
        <v/>
      </c>
      <c r="G180" s="20">
        <f>DATA!F180</f>
        <v/>
      </c>
      <c r="H180" s="19">
        <f>C180*(1+F180)</f>
        <v/>
      </c>
      <c r="I180" s="19">
        <f>D180*(1+G180)</f>
        <v/>
      </c>
      <c r="J180" s="19">
        <f>IF(AND(CONFIG!$B$11="Annual",MONTH(A180)=7),(H180+I180)*CONFIG!$B$6/12,J179)</f>
        <v/>
      </c>
      <c r="K180" s="19">
        <f>MAX(0,I180-J180)</f>
        <v/>
      </c>
      <c r="L180">
        <f>IF(OR(MONTH(A180)=3,MONTH(A180)=6,MONTH(A180)=9,MONTH(A180)=12),"Y","N")</f>
        <v/>
      </c>
      <c r="M180" s="21">
        <f>IF((H180+K180)=0,0,K180/(H180+K180))</f>
        <v/>
      </c>
      <c r="N180">
        <f>IF(AND(L180="Y",OR(M180&lt;CONFIG!$B$8,M180&gt;CONFIG!$B$9)),"Y","N")</f>
        <v/>
      </c>
      <c r="O180" s="19">
        <f>IF(N180="Y",(H180+K180)*0.8,H180)</f>
        <v/>
      </c>
      <c r="P180" s="19">
        <f>IF(N180="Y",(H180+K180)*0.2,K180)</f>
        <v/>
      </c>
      <c r="R180" s="18">
        <f>DATA!A180</f>
        <v/>
      </c>
      <c r="S180">
        <f>DATA!B180</f>
        <v/>
      </c>
      <c r="T180" s="19">
        <f>AF179</f>
        <v/>
      </c>
      <c r="U180" s="19">
        <f>AG179</f>
        <v/>
      </c>
      <c r="V180" s="19">
        <f>T180+U180</f>
        <v/>
      </c>
      <c r="W180" s="20">
        <f>DATA!D180</f>
        <v/>
      </c>
      <c r="X180" s="20">
        <f>DATA!F180</f>
        <v/>
      </c>
      <c r="Y180" s="19">
        <f>T180*(1+W180)</f>
        <v/>
      </c>
      <c r="Z180" s="19">
        <f>U180*(1+X180)</f>
        <v/>
      </c>
      <c r="AA180" s="19">
        <f>IF(AND(CONFIG!$B$11="Annual",MONTH(R180)=7),(Y180+Z180)*CONFIG!$B$6/12,AA179)</f>
        <v/>
      </c>
      <c r="AB180" s="19">
        <f>MAX(0,Z180-AA180)</f>
        <v/>
      </c>
      <c r="AC180">
        <f>IF(OR(MONTH(R180)=3,MONTH(R180)=6,MONTH(R180)=9,MONTH(R180)=12),"Y","N")</f>
        <v/>
      </c>
      <c r="AD180" s="21">
        <f>IF((Y180+AB180)=0,0,AB180/(Y180+AB180))</f>
        <v/>
      </c>
      <c r="AE180">
        <f>IF(AND(AC180="Y",OR(AD180&lt;CONFIG!$B$8,AD180&gt;CONFIG!$B$9)),"Y","N")</f>
        <v/>
      </c>
      <c r="AF180" s="19">
        <f>IF(AE180="Y",(Y180+AB180)*0.8,Y180)</f>
        <v/>
      </c>
      <c r="AG180" s="19">
        <f>IF(AE180="Y",(Y180+AB180)*0.2,AB180)</f>
        <v/>
      </c>
      <c r="AI180" s="18">
        <f>DATA!A180</f>
        <v/>
      </c>
      <c r="AJ180">
        <f>DATA!B180</f>
        <v/>
      </c>
      <c r="AK180" s="19">
        <f>AW179</f>
        <v/>
      </c>
      <c r="AL180" s="19">
        <f>AX179</f>
        <v/>
      </c>
      <c r="AM180" s="19">
        <f>AK180+AL180</f>
        <v/>
      </c>
      <c r="AN180" s="20">
        <f>DATA!E180</f>
        <v/>
      </c>
      <c r="AO180" s="20">
        <f>DATA!F180</f>
        <v/>
      </c>
      <c r="AP180" s="19">
        <f>AK180*(1+AN180)</f>
        <v/>
      </c>
      <c r="AQ180" s="19">
        <f>AL180*(1+AO180)</f>
        <v/>
      </c>
      <c r="AR180" s="19">
        <f>IF(AND(CONFIG!$B$11="Annual",MONTH(AI180)=7),(AP180+AQ180)*CONFIG!$B$6/12,AR179)</f>
        <v/>
      </c>
      <c r="AS180" s="19">
        <f>MAX(0,AQ180-AR180)</f>
        <v/>
      </c>
      <c r="AT180">
        <f>IF(OR(MONTH(AI180)=3,MONTH(AI180)=6,MONTH(AI180)=9,MONTH(AI180)=12),"Y","N")</f>
        <v/>
      </c>
      <c r="AU180" s="21">
        <f>IF((AP180+AS180)=0,0,AS180/(AP180+AS180))</f>
        <v/>
      </c>
      <c r="AV180">
        <f>IF(AND(AT180="Y",OR(AU180&lt;CONFIG!$B$8,AU180&gt;CONFIG!$B$9)),"Y","N")</f>
        <v/>
      </c>
      <c r="AW180" s="19">
        <f>IF(AV180="Y",(AP180+AS180)*0.8,AP180)</f>
        <v/>
      </c>
      <c r="AX180" s="19">
        <f>IF(AV180="Y",(AP180+AS180)*0.2,AS180)</f>
        <v/>
      </c>
    </row>
    <row r="181">
      <c r="A181" s="18">
        <f>DATA!A181</f>
        <v/>
      </c>
      <c r="B181">
        <f>DATA!B181</f>
        <v/>
      </c>
      <c r="C181" s="19">
        <f>O180</f>
        <v/>
      </c>
      <c r="D181" s="19">
        <f>P180</f>
        <v/>
      </c>
      <c r="E181" s="19">
        <f>C181+D181</f>
        <v/>
      </c>
      <c r="F181" s="20">
        <f>DATA!C181</f>
        <v/>
      </c>
      <c r="G181" s="20">
        <f>DATA!F181</f>
        <v/>
      </c>
      <c r="H181" s="19">
        <f>C181*(1+F181)</f>
        <v/>
      </c>
      <c r="I181" s="19">
        <f>D181*(1+G181)</f>
        <v/>
      </c>
      <c r="J181" s="19">
        <f>IF(AND(CONFIG!$B$11="Annual",MONTH(A181)=7),(H181+I181)*CONFIG!$B$6/12,J180)</f>
        <v/>
      </c>
      <c r="K181" s="19">
        <f>MAX(0,I181-J181)</f>
        <v/>
      </c>
      <c r="L181">
        <f>IF(OR(MONTH(A181)=3,MONTH(A181)=6,MONTH(A181)=9,MONTH(A181)=12),"Y","N")</f>
        <v/>
      </c>
      <c r="M181" s="21">
        <f>IF((H181+K181)=0,0,K181/(H181+K181))</f>
        <v/>
      </c>
      <c r="N181">
        <f>IF(AND(L181="Y",OR(M181&lt;CONFIG!$B$8,M181&gt;CONFIG!$B$9)),"Y","N")</f>
        <v/>
      </c>
      <c r="O181" s="19">
        <f>IF(N181="Y",(H181+K181)*0.8,H181)</f>
        <v/>
      </c>
      <c r="P181" s="19">
        <f>IF(N181="Y",(H181+K181)*0.2,K181)</f>
        <v/>
      </c>
      <c r="R181" s="18">
        <f>DATA!A181</f>
        <v/>
      </c>
      <c r="S181">
        <f>DATA!B181</f>
        <v/>
      </c>
      <c r="T181" s="19">
        <f>AF180</f>
        <v/>
      </c>
      <c r="U181" s="19">
        <f>AG180</f>
        <v/>
      </c>
      <c r="V181" s="19">
        <f>T181+U181</f>
        <v/>
      </c>
      <c r="W181" s="20">
        <f>DATA!D181</f>
        <v/>
      </c>
      <c r="X181" s="20">
        <f>DATA!F181</f>
        <v/>
      </c>
      <c r="Y181" s="19">
        <f>T181*(1+W181)</f>
        <v/>
      </c>
      <c r="Z181" s="19">
        <f>U181*(1+X181)</f>
        <v/>
      </c>
      <c r="AA181" s="19">
        <f>IF(AND(CONFIG!$B$11="Annual",MONTH(R181)=7),(Y181+Z181)*CONFIG!$B$6/12,AA180)</f>
        <v/>
      </c>
      <c r="AB181" s="19">
        <f>MAX(0,Z181-AA181)</f>
        <v/>
      </c>
      <c r="AC181">
        <f>IF(OR(MONTH(R181)=3,MONTH(R181)=6,MONTH(R181)=9,MONTH(R181)=12),"Y","N")</f>
        <v/>
      </c>
      <c r="AD181" s="21">
        <f>IF((Y181+AB181)=0,0,AB181/(Y181+AB181))</f>
        <v/>
      </c>
      <c r="AE181">
        <f>IF(AND(AC181="Y",OR(AD181&lt;CONFIG!$B$8,AD181&gt;CONFIG!$B$9)),"Y","N")</f>
        <v/>
      </c>
      <c r="AF181" s="19">
        <f>IF(AE181="Y",(Y181+AB181)*0.8,Y181)</f>
        <v/>
      </c>
      <c r="AG181" s="19">
        <f>IF(AE181="Y",(Y181+AB181)*0.2,AB181)</f>
        <v/>
      </c>
      <c r="AI181" s="18">
        <f>DATA!A181</f>
        <v/>
      </c>
      <c r="AJ181">
        <f>DATA!B181</f>
        <v/>
      </c>
      <c r="AK181" s="19">
        <f>AW180</f>
        <v/>
      </c>
      <c r="AL181" s="19">
        <f>AX180</f>
        <v/>
      </c>
      <c r="AM181" s="19">
        <f>AK181+AL181</f>
        <v/>
      </c>
      <c r="AN181" s="20">
        <f>DATA!E181</f>
        <v/>
      </c>
      <c r="AO181" s="20">
        <f>DATA!F181</f>
        <v/>
      </c>
      <c r="AP181" s="19">
        <f>AK181*(1+AN181)</f>
        <v/>
      </c>
      <c r="AQ181" s="19">
        <f>AL181*(1+AO181)</f>
        <v/>
      </c>
      <c r="AR181" s="19">
        <f>IF(AND(CONFIG!$B$11="Annual",MONTH(AI181)=7),(AP181+AQ181)*CONFIG!$B$6/12,AR180)</f>
        <v/>
      </c>
      <c r="AS181" s="19">
        <f>MAX(0,AQ181-AR181)</f>
        <v/>
      </c>
      <c r="AT181">
        <f>IF(OR(MONTH(AI181)=3,MONTH(AI181)=6,MONTH(AI181)=9,MONTH(AI181)=12),"Y","N")</f>
        <v/>
      </c>
      <c r="AU181" s="21">
        <f>IF((AP181+AS181)=0,0,AS181/(AP181+AS181))</f>
        <v/>
      </c>
      <c r="AV181">
        <f>IF(AND(AT181="Y",OR(AU181&lt;CONFIG!$B$8,AU181&gt;CONFIG!$B$9)),"Y","N")</f>
        <v/>
      </c>
      <c r="AW181" s="19">
        <f>IF(AV181="Y",(AP181+AS181)*0.8,AP181)</f>
        <v/>
      </c>
      <c r="AX181" s="19">
        <f>IF(AV181="Y",(AP181+AS181)*0.2,AS181)</f>
        <v/>
      </c>
    </row>
    <row r="182">
      <c r="A182" s="18">
        <f>DATA!A182</f>
        <v/>
      </c>
      <c r="B182">
        <f>DATA!B182</f>
        <v/>
      </c>
      <c r="C182" s="19">
        <f>O181</f>
        <v/>
      </c>
      <c r="D182" s="19">
        <f>P181</f>
        <v/>
      </c>
      <c r="E182" s="19">
        <f>C182+D182</f>
        <v/>
      </c>
      <c r="F182" s="20">
        <f>DATA!C182</f>
        <v/>
      </c>
      <c r="G182" s="20">
        <f>DATA!F182</f>
        <v/>
      </c>
      <c r="H182" s="19">
        <f>C182*(1+F182)</f>
        <v/>
      </c>
      <c r="I182" s="19">
        <f>D182*(1+G182)</f>
        <v/>
      </c>
      <c r="J182" s="19">
        <f>IF(AND(CONFIG!$B$11="Annual",MONTH(A182)=7),(H182+I182)*CONFIG!$B$6/12,J181)</f>
        <v/>
      </c>
      <c r="K182" s="19">
        <f>MAX(0,I182-J182)</f>
        <v/>
      </c>
      <c r="L182">
        <f>IF(OR(MONTH(A182)=3,MONTH(A182)=6,MONTH(A182)=9,MONTH(A182)=12),"Y","N")</f>
        <v/>
      </c>
      <c r="M182" s="21">
        <f>IF((H182+K182)=0,0,K182/(H182+K182))</f>
        <v/>
      </c>
      <c r="N182">
        <f>IF(AND(L182="Y",OR(M182&lt;CONFIG!$B$8,M182&gt;CONFIG!$B$9)),"Y","N")</f>
        <v/>
      </c>
      <c r="O182" s="19">
        <f>IF(N182="Y",(H182+K182)*0.8,H182)</f>
        <v/>
      </c>
      <c r="P182" s="19">
        <f>IF(N182="Y",(H182+K182)*0.2,K182)</f>
        <v/>
      </c>
      <c r="R182" s="18">
        <f>DATA!A182</f>
        <v/>
      </c>
      <c r="S182">
        <f>DATA!B182</f>
        <v/>
      </c>
      <c r="T182" s="19">
        <f>AF181</f>
        <v/>
      </c>
      <c r="U182" s="19">
        <f>AG181</f>
        <v/>
      </c>
      <c r="V182" s="19">
        <f>T182+U182</f>
        <v/>
      </c>
      <c r="W182" s="20">
        <f>DATA!D182</f>
        <v/>
      </c>
      <c r="X182" s="20">
        <f>DATA!F182</f>
        <v/>
      </c>
      <c r="Y182" s="19">
        <f>T182*(1+W182)</f>
        <v/>
      </c>
      <c r="Z182" s="19">
        <f>U182*(1+X182)</f>
        <v/>
      </c>
      <c r="AA182" s="19">
        <f>IF(AND(CONFIG!$B$11="Annual",MONTH(R182)=7),(Y182+Z182)*CONFIG!$B$6/12,AA181)</f>
        <v/>
      </c>
      <c r="AB182" s="19">
        <f>MAX(0,Z182-AA182)</f>
        <v/>
      </c>
      <c r="AC182">
        <f>IF(OR(MONTH(R182)=3,MONTH(R182)=6,MONTH(R182)=9,MONTH(R182)=12),"Y","N")</f>
        <v/>
      </c>
      <c r="AD182" s="21">
        <f>IF((Y182+AB182)=0,0,AB182/(Y182+AB182))</f>
        <v/>
      </c>
      <c r="AE182">
        <f>IF(AND(AC182="Y",OR(AD182&lt;CONFIG!$B$8,AD182&gt;CONFIG!$B$9)),"Y","N")</f>
        <v/>
      </c>
      <c r="AF182" s="19">
        <f>IF(AE182="Y",(Y182+AB182)*0.8,Y182)</f>
        <v/>
      </c>
      <c r="AG182" s="19">
        <f>IF(AE182="Y",(Y182+AB182)*0.2,AB182)</f>
        <v/>
      </c>
      <c r="AI182" s="18">
        <f>DATA!A182</f>
        <v/>
      </c>
      <c r="AJ182">
        <f>DATA!B182</f>
        <v/>
      </c>
      <c r="AK182" s="19">
        <f>AW181</f>
        <v/>
      </c>
      <c r="AL182" s="19">
        <f>AX181</f>
        <v/>
      </c>
      <c r="AM182" s="19">
        <f>AK182+AL182</f>
        <v/>
      </c>
      <c r="AN182" s="20">
        <f>DATA!E182</f>
        <v/>
      </c>
      <c r="AO182" s="20">
        <f>DATA!F182</f>
        <v/>
      </c>
      <c r="AP182" s="19">
        <f>AK182*(1+AN182)</f>
        <v/>
      </c>
      <c r="AQ182" s="19">
        <f>AL182*(1+AO182)</f>
        <v/>
      </c>
      <c r="AR182" s="19">
        <f>IF(AND(CONFIG!$B$11="Annual",MONTH(AI182)=7),(AP182+AQ182)*CONFIG!$B$6/12,AR181)</f>
        <v/>
      </c>
      <c r="AS182" s="19">
        <f>MAX(0,AQ182-AR182)</f>
        <v/>
      </c>
      <c r="AT182">
        <f>IF(OR(MONTH(AI182)=3,MONTH(AI182)=6,MONTH(AI182)=9,MONTH(AI182)=12),"Y","N")</f>
        <v/>
      </c>
      <c r="AU182" s="21">
        <f>IF((AP182+AS182)=0,0,AS182/(AP182+AS182))</f>
        <v/>
      </c>
      <c r="AV182">
        <f>IF(AND(AT182="Y",OR(AU182&lt;CONFIG!$B$8,AU182&gt;CONFIG!$B$9)),"Y","N")</f>
        <v/>
      </c>
      <c r="AW182" s="19">
        <f>IF(AV182="Y",(AP182+AS182)*0.8,AP182)</f>
        <v/>
      </c>
      <c r="AX182" s="19">
        <f>IF(AV182="Y",(AP182+AS182)*0.2,AS182)</f>
        <v/>
      </c>
    </row>
    <row r="183">
      <c r="A183" s="18">
        <f>DATA!A183</f>
        <v/>
      </c>
      <c r="B183">
        <f>DATA!B183</f>
        <v/>
      </c>
      <c r="C183" s="19">
        <f>O182</f>
        <v/>
      </c>
      <c r="D183" s="19">
        <f>P182</f>
        <v/>
      </c>
      <c r="E183" s="19">
        <f>C183+D183</f>
        <v/>
      </c>
      <c r="F183" s="20">
        <f>DATA!C183</f>
        <v/>
      </c>
      <c r="G183" s="20">
        <f>DATA!F183</f>
        <v/>
      </c>
      <c r="H183" s="19">
        <f>C183*(1+F183)</f>
        <v/>
      </c>
      <c r="I183" s="19">
        <f>D183*(1+G183)</f>
        <v/>
      </c>
      <c r="J183" s="19">
        <f>IF(AND(CONFIG!$B$11="Annual",MONTH(A183)=7),(H183+I183)*CONFIG!$B$6/12,J182)</f>
        <v/>
      </c>
      <c r="K183" s="19">
        <f>MAX(0,I183-J183)</f>
        <v/>
      </c>
      <c r="L183">
        <f>IF(OR(MONTH(A183)=3,MONTH(A183)=6,MONTH(A183)=9,MONTH(A183)=12),"Y","N")</f>
        <v/>
      </c>
      <c r="M183" s="21">
        <f>IF((H183+K183)=0,0,K183/(H183+K183))</f>
        <v/>
      </c>
      <c r="N183">
        <f>IF(AND(L183="Y",OR(M183&lt;CONFIG!$B$8,M183&gt;CONFIG!$B$9)),"Y","N")</f>
        <v/>
      </c>
      <c r="O183" s="19">
        <f>IF(N183="Y",(H183+K183)*0.8,H183)</f>
        <v/>
      </c>
      <c r="P183" s="19">
        <f>IF(N183="Y",(H183+K183)*0.2,K183)</f>
        <v/>
      </c>
      <c r="R183" s="18">
        <f>DATA!A183</f>
        <v/>
      </c>
      <c r="S183">
        <f>DATA!B183</f>
        <v/>
      </c>
      <c r="T183" s="19">
        <f>AF182</f>
        <v/>
      </c>
      <c r="U183" s="19">
        <f>AG182</f>
        <v/>
      </c>
      <c r="V183" s="19">
        <f>T183+U183</f>
        <v/>
      </c>
      <c r="W183" s="20">
        <f>DATA!D183</f>
        <v/>
      </c>
      <c r="X183" s="20">
        <f>DATA!F183</f>
        <v/>
      </c>
      <c r="Y183" s="19">
        <f>T183*(1+W183)</f>
        <v/>
      </c>
      <c r="Z183" s="19">
        <f>U183*(1+X183)</f>
        <v/>
      </c>
      <c r="AA183" s="19">
        <f>IF(AND(CONFIG!$B$11="Annual",MONTH(R183)=7),(Y183+Z183)*CONFIG!$B$6/12,AA182)</f>
        <v/>
      </c>
      <c r="AB183" s="19">
        <f>MAX(0,Z183-AA183)</f>
        <v/>
      </c>
      <c r="AC183">
        <f>IF(OR(MONTH(R183)=3,MONTH(R183)=6,MONTH(R183)=9,MONTH(R183)=12),"Y","N")</f>
        <v/>
      </c>
      <c r="AD183" s="21">
        <f>IF((Y183+AB183)=0,0,AB183/(Y183+AB183))</f>
        <v/>
      </c>
      <c r="AE183">
        <f>IF(AND(AC183="Y",OR(AD183&lt;CONFIG!$B$8,AD183&gt;CONFIG!$B$9)),"Y","N")</f>
        <v/>
      </c>
      <c r="AF183" s="19">
        <f>IF(AE183="Y",(Y183+AB183)*0.8,Y183)</f>
        <v/>
      </c>
      <c r="AG183" s="19">
        <f>IF(AE183="Y",(Y183+AB183)*0.2,AB183)</f>
        <v/>
      </c>
      <c r="AI183" s="18">
        <f>DATA!A183</f>
        <v/>
      </c>
      <c r="AJ183">
        <f>DATA!B183</f>
        <v/>
      </c>
      <c r="AK183" s="19">
        <f>AW182</f>
        <v/>
      </c>
      <c r="AL183" s="19">
        <f>AX182</f>
        <v/>
      </c>
      <c r="AM183" s="19">
        <f>AK183+AL183</f>
        <v/>
      </c>
      <c r="AN183" s="20">
        <f>DATA!E183</f>
        <v/>
      </c>
      <c r="AO183" s="20">
        <f>DATA!F183</f>
        <v/>
      </c>
      <c r="AP183" s="19">
        <f>AK183*(1+AN183)</f>
        <v/>
      </c>
      <c r="AQ183" s="19">
        <f>AL183*(1+AO183)</f>
        <v/>
      </c>
      <c r="AR183" s="19">
        <f>IF(AND(CONFIG!$B$11="Annual",MONTH(AI183)=7),(AP183+AQ183)*CONFIG!$B$6/12,AR182)</f>
        <v/>
      </c>
      <c r="AS183" s="19">
        <f>MAX(0,AQ183-AR183)</f>
        <v/>
      </c>
      <c r="AT183">
        <f>IF(OR(MONTH(AI183)=3,MONTH(AI183)=6,MONTH(AI183)=9,MONTH(AI183)=12),"Y","N")</f>
        <v/>
      </c>
      <c r="AU183" s="21">
        <f>IF((AP183+AS183)=0,0,AS183/(AP183+AS183))</f>
        <v/>
      </c>
      <c r="AV183">
        <f>IF(AND(AT183="Y",OR(AU183&lt;CONFIG!$B$8,AU183&gt;CONFIG!$B$9)),"Y","N")</f>
        <v/>
      </c>
      <c r="AW183" s="19">
        <f>IF(AV183="Y",(AP183+AS183)*0.8,AP183)</f>
        <v/>
      </c>
      <c r="AX183" s="19">
        <f>IF(AV183="Y",(AP183+AS183)*0.2,AS183)</f>
        <v/>
      </c>
    </row>
    <row r="184">
      <c r="A184" s="18">
        <f>DATA!A184</f>
        <v/>
      </c>
      <c r="B184">
        <f>DATA!B184</f>
        <v/>
      </c>
      <c r="C184" s="19">
        <f>O183</f>
        <v/>
      </c>
      <c r="D184" s="19">
        <f>P183</f>
        <v/>
      </c>
      <c r="E184" s="19">
        <f>C184+D184</f>
        <v/>
      </c>
      <c r="F184" s="20">
        <f>DATA!C184</f>
        <v/>
      </c>
      <c r="G184" s="20">
        <f>DATA!F184</f>
        <v/>
      </c>
      <c r="H184" s="19">
        <f>C184*(1+F184)</f>
        <v/>
      </c>
      <c r="I184" s="19">
        <f>D184*(1+G184)</f>
        <v/>
      </c>
      <c r="J184" s="19">
        <f>IF(AND(CONFIG!$B$11="Annual",MONTH(A184)=7),(H184+I184)*CONFIG!$B$6/12,J183)</f>
        <v/>
      </c>
      <c r="K184" s="19">
        <f>MAX(0,I184-J184)</f>
        <v/>
      </c>
      <c r="L184">
        <f>IF(OR(MONTH(A184)=3,MONTH(A184)=6,MONTH(A184)=9,MONTH(A184)=12),"Y","N")</f>
        <v/>
      </c>
      <c r="M184" s="21">
        <f>IF((H184+K184)=0,0,K184/(H184+K184))</f>
        <v/>
      </c>
      <c r="N184">
        <f>IF(AND(L184="Y",OR(M184&lt;CONFIG!$B$8,M184&gt;CONFIG!$B$9)),"Y","N")</f>
        <v/>
      </c>
      <c r="O184" s="19">
        <f>IF(N184="Y",(H184+K184)*0.8,H184)</f>
        <v/>
      </c>
      <c r="P184" s="19">
        <f>IF(N184="Y",(H184+K184)*0.2,K184)</f>
        <v/>
      </c>
      <c r="R184" s="18">
        <f>DATA!A184</f>
        <v/>
      </c>
      <c r="S184">
        <f>DATA!B184</f>
        <v/>
      </c>
      <c r="T184" s="19">
        <f>AF183</f>
        <v/>
      </c>
      <c r="U184" s="19">
        <f>AG183</f>
        <v/>
      </c>
      <c r="V184" s="19">
        <f>T184+U184</f>
        <v/>
      </c>
      <c r="W184" s="20">
        <f>DATA!D184</f>
        <v/>
      </c>
      <c r="X184" s="20">
        <f>DATA!F184</f>
        <v/>
      </c>
      <c r="Y184" s="19">
        <f>T184*(1+W184)</f>
        <v/>
      </c>
      <c r="Z184" s="19">
        <f>U184*(1+X184)</f>
        <v/>
      </c>
      <c r="AA184" s="19">
        <f>IF(AND(CONFIG!$B$11="Annual",MONTH(R184)=7),(Y184+Z184)*CONFIG!$B$6/12,AA183)</f>
        <v/>
      </c>
      <c r="AB184" s="19">
        <f>MAX(0,Z184-AA184)</f>
        <v/>
      </c>
      <c r="AC184">
        <f>IF(OR(MONTH(R184)=3,MONTH(R184)=6,MONTH(R184)=9,MONTH(R184)=12),"Y","N")</f>
        <v/>
      </c>
      <c r="AD184" s="21">
        <f>IF((Y184+AB184)=0,0,AB184/(Y184+AB184))</f>
        <v/>
      </c>
      <c r="AE184">
        <f>IF(AND(AC184="Y",OR(AD184&lt;CONFIG!$B$8,AD184&gt;CONFIG!$B$9)),"Y","N")</f>
        <v/>
      </c>
      <c r="AF184" s="19">
        <f>IF(AE184="Y",(Y184+AB184)*0.8,Y184)</f>
        <v/>
      </c>
      <c r="AG184" s="19">
        <f>IF(AE184="Y",(Y184+AB184)*0.2,AB184)</f>
        <v/>
      </c>
      <c r="AI184" s="18">
        <f>DATA!A184</f>
        <v/>
      </c>
      <c r="AJ184">
        <f>DATA!B184</f>
        <v/>
      </c>
      <c r="AK184" s="19">
        <f>AW183</f>
        <v/>
      </c>
      <c r="AL184" s="19">
        <f>AX183</f>
        <v/>
      </c>
      <c r="AM184" s="19">
        <f>AK184+AL184</f>
        <v/>
      </c>
      <c r="AN184" s="20">
        <f>DATA!E184</f>
        <v/>
      </c>
      <c r="AO184" s="20">
        <f>DATA!F184</f>
        <v/>
      </c>
      <c r="AP184" s="19">
        <f>AK184*(1+AN184)</f>
        <v/>
      </c>
      <c r="AQ184" s="19">
        <f>AL184*(1+AO184)</f>
        <v/>
      </c>
      <c r="AR184" s="19">
        <f>IF(AND(CONFIG!$B$11="Annual",MONTH(AI184)=7),(AP184+AQ184)*CONFIG!$B$6/12,AR183)</f>
        <v/>
      </c>
      <c r="AS184" s="19">
        <f>MAX(0,AQ184-AR184)</f>
        <v/>
      </c>
      <c r="AT184">
        <f>IF(OR(MONTH(AI184)=3,MONTH(AI184)=6,MONTH(AI184)=9,MONTH(AI184)=12),"Y","N")</f>
        <v/>
      </c>
      <c r="AU184" s="21">
        <f>IF((AP184+AS184)=0,0,AS184/(AP184+AS184))</f>
        <v/>
      </c>
      <c r="AV184">
        <f>IF(AND(AT184="Y",OR(AU184&lt;CONFIG!$B$8,AU184&gt;CONFIG!$B$9)),"Y","N")</f>
        <v/>
      </c>
      <c r="AW184" s="19">
        <f>IF(AV184="Y",(AP184+AS184)*0.8,AP184)</f>
        <v/>
      </c>
      <c r="AX184" s="19">
        <f>IF(AV184="Y",(AP184+AS184)*0.2,AS184)</f>
        <v/>
      </c>
    </row>
    <row r="185">
      <c r="A185" s="18">
        <f>DATA!A185</f>
        <v/>
      </c>
      <c r="B185">
        <f>DATA!B185</f>
        <v/>
      </c>
      <c r="C185" s="19">
        <f>O184</f>
        <v/>
      </c>
      <c r="D185" s="19">
        <f>P184</f>
        <v/>
      </c>
      <c r="E185" s="19">
        <f>C185+D185</f>
        <v/>
      </c>
      <c r="F185" s="20">
        <f>DATA!C185</f>
        <v/>
      </c>
      <c r="G185" s="20">
        <f>DATA!F185</f>
        <v/>
      </c>
      <c r="H185" s="19">
        <f>C185*(1+F185)</f>
        <v/>
      </c>
      <c r="I185" s="19">
        <f>D185*(1+G185)</f>
        <v/>
      </c>
      <c r="J185" s="19">
        <f>IF(AND(CONFIG!$B$11="Annual",MONTH(A185)=7),(H185+I185)*CONFIG!$B$6/12,J184)</f>
        <v/>
      </c>
      <c r="K185" s="19">
        <f>MAX(0,I185-J185)</f>
        <v/>
      </c>
      <c r="L185">
        <f>IF(OR(MONTH(A185)=3,MONTH(A185)=6,MONTH(A185)=9,MONTH(A185)=12),"Y","N")</f>
        <v/>
      </c>
      <c r="M185" s="21">
        <f>IF((H185+K185)=0,0,K185/(H185+K185))</f>
        <v/>
      </c>
      <c r="N185">
        <f>IF(AND(L185="Y",OR(M185&lt;CONFIG!$B$8,M185&gt;CONFIG!$B$9)),"Y","N")</f>
        <v/>
      </c>
      <c r="O185" s="19">
        <f>IF(N185="Y",(H185+K185)*0.8,H185)</f>
        <v/>
      </c>
      <c r="P185" s="19">
        <f>IF(N185="Y",(H185+K185)*0.2,K185)</f>
        <v/>
      </c>
      <c r="R185" s="18">
        <f>DATA!A185</f>
        <v/>
      </c>
      <c r="S185">
        <f>DATA!B185</f>
        <v/>
      </c>
      <c r="T185" s="19">
        <f>AF184</f>
        <v/>
      </c>
      <c r="U185" s="19">
        <f>AG184</f>
        <v/>
      </c>
      <c r="V185" s="19">
        <f>T185+U185</f>
        <v/>
      </c>
      <c r="W185" s="20">
        <f>DATA!D185</f>
        <v/>
      </c>
      <c r="X185" s="20">
        <f>DATA!F185</f>
        <v/>
      </c>
      <c r="Y185" s="19">
        <f>T185*(1+W185)</f>
        <v/>
      </c>
      <c r="Z185" s="19">
        <f>U185*(1+X185)</f>
        <v/>
      </c>
      <c r="AA185" s="19">
        <f>IF(AND(CONFIG!$B$11="Annual",MONTH(R185)=7),(Y185+Z185)*CONFIG!$B$6/12,AA184)</f>
        <v/>
      </c>
      <c r="AB185" s="19">
        <f>MAX(0,Z185-AA185)</f>
        <v/>
      </c>
      <c r="AC185">
        <f>IF(OR(MONTH(R185)=3,MONTH(R185)=6,MONTH(R185)=9,MONTH(R185)=12),"Y","N")</f>
        <v/>
      </c>
      <c r="AD185" s="21">
        <f>IF((Y185+AB185)=0,0,AB185/(Y185+AB185))</f>
        <v/>
      </c>
      <c r="AE185">
        <f>IF(AND(AC185="Y",OR(AD185&lt;CONFIG!$B$8,AD185&gt;CONFIG!$B$9)),"Y","N")</f>
        <v/>
      </c>
      <c r="AF185" s="19">
        <f>IF(AE185="Y",(Y185+AB185)*0.8,Y185)</f>
        <v/>
      </c>
      <c r="AG185" s="19">
        <f>IF(AE185="Y",(Y185+AB185)*0.2,AB185)</f>
        <v/>
      </c>
      <c r="AI185" s="18">
        <f>DATA!A185</f>
        <v/>
      </c>
      <c r="AJ185">
        <f>DATA!B185</f>
        <v/>
      </c>
      <c r="AK185" s="19">
        <f>AW184</f>
        <v/>
      </c>
      <c r="AL185" s="19">
        <f>AX184</f>
        <v/>
      </c>
      <c r="AM185" s="19">
        <f>AK185+AL185</f>
        <v/>
      </c>
      <c r="AN185" s="20">
        <f>DATA!E185</f>
        <v/>
      </c>
      <c r="AO185" s="20">
        <f>DATA!F185</f>
        <v/>
      </c>
      <c r="AP185" s="19">
        <f>AK185*(1+AN185)</f>
        <v/>
      </c>
      <c r="AQ185" s="19">
        <f>AL185*(1+AO185)</f>
        <v/>
      </c>
      <c r="AR185" s="19">
        <f>IF(AND(CONFIG!$B$11="Annual",MONTH(AI185)=7),(AP185+AQ185)*CONFIG!$B$6/12,AR184)</f>
        <v/>
      </c>
      <c r="AS185" s="19">
        <f>MAX(0,AQ185-AR185)</f>
        <v/>
      </c>
      <c r="AT185">
        <f>IF(OR(MONTH(AI185)=3,MONTH(AI185)=6,MONTH(AI185)=9,MONTH(AI185)=12),"Y","N")</f>
        <v/>
      </c>
      <c r="AU185" s="21">
        <f>IF((AP185+AS185)=0,0,AS185/(AP185+AS185))</f>
        <v/>
      </c>
      <c r="AV185">
        <f>IF(AND(AT185="Y",OR(AU185&lt;CONFIG!$B$8,AU185&gt;CONFIG!$B$9)),"Y","N")</f>
        <v/>
      </c>
      <c r="AW185" s="19">
        <f>IF(AV185="Y",(AP185+AS185)*0.8,AP185)</f>
        <v/>
      </c>
      <c r="AX185" s="19">
        <f>IF(AV185="Y",(AP185+AS185)*0.2,AS185)</f>
        <v/>
      </c>
    </row>
    <row r="186">
      <c r="A186" s="18">
        <f>DATA!A186</f>
        <v/>
      </c>
      <c r="B186">
        <f>DATA!B186</f>
        <v/>
      </c>
      <c r="C186" s="19">
        <f>O185</f>
        <v/>
      </c>
      <c r="D186" s="19">
        <f>P185</f>
        <v/>
      </c>
      <c r="E186" s="19">
        <f>C186+D186</f>
        <v/>
      </c>
      <c r="F186" s="20">
        <f>DATA!C186</f>
        <v/>
      </c>
      <c r="G186" s="20">
        <f>DATA!F186</f>
        <v/>
      </c>
      <c r="H186" s="19">
        <f>C186*(1+F186)</f>
        <v/>
      </c>
      <c r="I186" s="19">
        <f>D186*(1+G186)</f>
        <v/>
      </c>
      <c r="J186" s="19">
        <f>IF(AND(CONFIG!$B$11="Annual",MONTH(A186)=7),(H186+I186)*CONFIG!$B$6/12,J185)</f>
        <v/>
      </c>
      <c r="K186" s="19">
        <f>MAX(0,I186-J186)</f>
        <v/>
      </c>
      <c r="L186">
        <f>IF(OR(MONTH(A186)=3,MONTH(A186)=6,MONTH(A186)=9,MONTH(A186)=12),"Y","N")</f>
        <v/>
      </c>
      <c r="M186" s="21">
        <f>IF((H186+K186)=0,0,K186/(H186+K186))</f>
        <v/>
      </c>
      <c r="N186">
        <f>IF(AND(L186="Y",OR(M186&lt;CONFIG!$B$8,M186&gt;CONFIG!$B$9)),"Y","N")</f>
        <v/>
      </c>
      <c r="O186" s="19">
        <f>IF(N186="Y",(H186+K186)*0.8,H186)</f>
        <v/>
      </c>
      <c r="P186" s="19">
        <f>IF(N186="Y",(H186+K186)*0.2,K186)</f>
        <v/>
      </c>
      <c r="R186" s="18">
        <f>DATA!A186</f>
        <v/>
      </c>
      <c r="S186">
        <f>DATA!B186</f>
        <v/>
      </c>
      <c r="T186" s="19">
        <f>AF185</f>
        <v/>
      </c>
      <c r="U186" s="19">
        <f>AG185</f>
        <v/>
      </c>
      <c r="V186" s="19">
        <f>T186+U186</f>
        <v/>
      </c>
      <c r="W186" s="20">
        <f>DATA!D186</f>
        <v/>
      </c>
      <c r="X186" s="20">
        <f>DATA!F186</f>
        <v/>
      </c>
      <c r="Y186" s="19">
        <f>T186*(1+W186)</f>
        <v/>
      </c>
      <c r="Z186" s="19">
        <f>U186*(1+X186)</f>
        <v/>
      </c>
      <c r="AA186" s="19">
        <f>IF(AND(CONFIG!$B$11="Annual",MONTH(R186)=7),(Y186+Z186)*CONFIG!$B$6/12,AA185)</f>
        <v/>
      </c>
      <c r="AB186" s="19">
        <f>MAX(0,Z186-AA186)</f>
        <v/>
      </c>
      <c r="AC186">
        <f>IF(OR(MONTH(R186)=3,MONTH(R186)=6,MONTH(R186)=9,MONTH(R186)=12),"Y","N")</f>
        <v/>
      </c>
      <c r="AD186" s="21">
        <f>IF((Y186+AB186)=0,0,AB186/(Y186+AB186))</f>
        <v/>
      </c>
      <c r="AE186">
        <f>IF(AND(AC186="Y",OR(AD186&lt;CONFIG!$B$8,AD186&gt;CONFIG!$B$9)),"Y","N")</f>
        <v/>
      </c>
      <c r="AF186" s="19">
        <f>IF(AE186="Y",(Y186+AB186)*0.8,Y186)</f>
        <v/>
      </c>
      <c r="AG186" s="19">
        <f>IF(AE186="Y",(Y186+AB186)*0.2,AB186)</f>
        <v/>
      </c>
      <c r="AI186" s="18">
        <f>DATA!A186</f>
        <v/>
      </c>
      <c r="AJ186">
        <f>DATA!B186</f>
        <v/>
      </c>
      <c r="AK186" s="19">
        <f>AW185</f>
        <v/>
      </c>
      <c r="AL186" s="19">
        <f>AX185</f>
        <v/>
      </c>
      <c r="AM186" s="19">
        <f>AK186+AL186</f>
        <v/>
      </c>
      <c r="AN186" s="20">
        <f>DATA!E186</f>
        <v/>
      </c>
      <c r="AO186" s="20">
        <f>DATA!F186</f>
        <v/>
      </c>
      <c r="AP186" s="19">
        <f>AK186*(1+AN186)</f>
        <v/>
      </c>
      <c r="AQ186" s="19">
        <f>AL186*(1+AO186)</f>
        <v/>
      </c>
      <c r="AR186" s="19">
        <f>IF(AND(CONFIG!$B$11="Annual",MONTH(AI186)=7),(AP186+AQ186)*CONFIG!$B$6/12,AR185)</f>
        <v/>
      </c>
      <c r="AS186" s="19">
        <f>MAX(0,AQ186-AR186)</f>
        <v/>
      </c>
      <c r="AT186">
        <f>IF(OR(MONTH(AI186)=3,MONTH(AI186)=6,MONTH(AI186)=9,MONTH(AI186)=12),"Y","N")</f>
        <v/>
      </c>
      <c r="AU186" s="21">
        <f>IF((AP186+AS186)=0,0,AS186/(AP186+AS186))</f>
        <v/>
      </c>
      <c r="AV186">
        <f>IF(AND(AT186="Y",OR(AU186&lt;CONFIG!$B$8,AU186&gt;CONFIG!$B$9)),"Y","N")</f>
        <v/>
      </c>
      <c r="AW186" s="19">
        <f>IF(AV186="Y",(AP186+AS186)*0.8,AP186)</f>
        <v/>
      </c>
      <c r="AX186" s="19">
        <f>IF(AV186="Y",(AP186+AS186)*0.2,AS186)</f>
        <v/>
      </c>
    </row>
    <row r="187">
      <c r="A187" s="18">
        <f>DATA!A187</f>
        <v/>
      </c>
      <c r="B187">
        <f>DATA!B187</f>
        <v/>
      </c>
      <c r="C187" s="19">
        <f>O186</f>
        <v/>
      </c>
      <c r="D187" s="19">
        <f>P186</f>
        <v/>
      </c>
      <c r="E187" s="19">
        <f>C187+D187</f>
        <v/>
      </c>
      <c r="F187" s="20">
        <f>DATA!C187</f>
        <v/>
      </c>
      <c r="G187" s="20">
        <f>DATA!F187</f>
        <v/>
      </c>
      <c r="H187" s="19">
        <f>C187*(1+F187)</f>
        <v/>
      </c>
      <c r="I187" s="19">
        <f>D187*(1+G187)</f>
        <v/>
      </c>
      <c r="J187" s="19">
        <f>IF(AND(CONFIG!$B$11="Annual",MONTH(A187)=7),(H187+I187)*CONFIG!$B$6/12,J186)</f>
        <v/>
      </c>
      <c r="K187" s="19">
        <f>MAX(0,I187-J187)</f>
        <v/>
      </c>
      <c r="L187">
        <f>IF(OR(MONTH(A187)=3,MONTH(A187)=6,MONTH(A187)=9,MONTH(A187)=12),"Y","N")</f>
        <v/>
      </c>
      <c r="M187" s="21">
        <f>IF((H187+K187)=0,0,K187/(H187+K187))</f>
        <v/>
      </c>
      <c r="N187">
        <f>IF(AND(L187="Y",OR(M187&lt;CONFIG!$B$8,M187&gt;CONFIG!$B$9)),"Y","N")</f>
        <v/>
      </c>
      <c r="O187" s="19">
        <f>IF(N187="Y",(H187+K187)*0.8,H187)</f>
        <v/>
      </c>
      <c r="P187" s="19">
        <f>IF(N187="Y",(H187+K187)*0.2,K187)</f>
        <v/>
      </c>
      <c r="R187" s="18">
        <f>DATA!A187</f>
        <v/>
      </c>
      <c r="S187">
        <f>DATA!B187</f>
        <v/>
      </c>
      <c r="T187" s="19">
        <f>AF186</f>
        <v/>
      </c>
      <c r="U187" s="19">
        <f>AG186</f>
        <v/>
      </c>
      <c r="V187" s="19">
        <f>T187+U187</f>
        <v/>
      </c>
      <c r="W187" s="20">
        <f>DATA!D187</f>
        <v/>
      </c>
      <c r="X187" s="20">
        <f>DATA!F187</f>
        <v/>
      </c>
      <c r="Y187" s="19">
        <f>T187*(1+W187)</f>
        <v/>
      </c>
      <c r="Z187" s="19">
        <f>U187*(1+X187)</f>
        <v/>
      </c>
      <c r="AA187" s="19">
        <f>IF(AND(CONFIG!$B$11="Annual",MONTH(R187)=7),(Y187+Z187)*CONFIG!$B$6/12,AA186)</f>
        <v/>
      </c>
      <c r="AB187" s="19">
        <f>MAX(0,Z187-AA187)</f>
        <v/>
      </c>
      <c r="AC187">
        <f>IF(OR(MONTH(R187)=3,MONTH(R187)=6,MONTH(R187)=9,MONTH(R187)=12),"Y","N")</f>
        <v/>
      </c>
      <c r="AD187" s="21">
        <f>IF((Y187+AB187)=0,0,AB187/(Y187+AB187))</f>
        <v/>
      </c>
      <c r="AE187">
        <f>IF(AND(AC187="Y",OR(AD187&lt;CONFIG!$B$8,AD187&gt;CONFIG!$B$9)),"Y","N")</f>
        <v/>
      </c>
      <c r="AF187" s="19">
        <f>IF(AE187="Y",(Y187+AB187)*0.8,Y187)</f>
        <v/>
      </c>
      <c r="AG187" s="19">
        <f>IF(AE187="Y",(Y187+AB187)*0.2,AB187)</f>
        <v/>
      </c>
      <c r="AI187" s="18">
        <f>DATA!A187</f>
        <v/>
      </c>
      <c r="AJ187">
        <f>DATA!B187</f>
        <v/>
      </c>
      <c r="AK187" s="19">
        <f>AW186</f>
        <v/>
      </c>
      <c r="AL187" s="19">
        <f>AX186</f>
        <v/>
      </c>
      <c r="AM187" s="19">
        <f>AK187+AL187</f>
        <v/>
      </c>
      <c r="AN187" s="20">
        <f>DATA!E187</f>
        <v/>
      </c>
      <c r="AO187" s="20">
        <f>DATA!F187</f>
        <v/>
      </c>
      <c r="AP187" s="19">
        <f>AK187*(1+AN187)</f>
        <v/>
      </c>
      <c r="AQ187" s="19">
        <f>AL187*(1+AO187)</f>
        <v/>
      </c>
      <c r="AR187" s="19">
        <f>IF(AND(CONFIG!$B$11="Annual",MONTH(AI187)=7),(AP187+AQ187)*CONFIG!$B$6/12,AR186)</f>
        <v/>
      </c>
      <c r="AS187" s="19">
        <f>MAX(0,AQ187-AR187)</f>
        <v/>
      </c>
      <c r="AT187">
        <f>IF(OR(MONTH(AI187)=3,MONTH(AI187)=6,MONTH(AI187)=9,MONTH(AI187)=12),"Y","N")</f>
        <v/>
      </c>
      <c r="AU187" s="21">
        <f>IF((AP187+AS187)=0,0,AS187/(AP187+AS187))</f>
        <v/>
      </c>
      <c r="AV187">
        <f>IF(AND(AT187="Y",OR(AU187&lt;CONFIG!$B$8,AU187&gt;CONFIG!$B$9)),"Y","N")</f>
        <v/>
      </c>
      <c r="AW187" s="19">
        <f>IF(AV187="Y",(AP187+AS187)*0.8,AP187)</f>
        <v/>
      </c>
      <c r="AX187" s="19">
        <f>IF(AV187="Y",(AP187+AS187)*0.2,AS187)</f>
        <v/>
      </c>
    </row>
    <row r="188">
      <c r="A188" s="18">
        <f>DATA!A188</f>
        <v/>
      </c>
      <c r="B188">
        <f>DATA!B188</f>
        <v/>
      </c>
      <c r="C188" s="19">
        <f>O187</f>
        <v/>
      </c>
      <c r="D188" s="19">
        <f>P187</f>
        <v/>
      </c>
      <c r="E188" s="19">
        <f>C188+D188</f>
        <v/>
      </c>
      <c r="F188" s="20">
        <f>DATA!C188</f>
        <v/>
      </c>
      <c r="G188" s="20">
        <f>DATA!F188</f>
        <v/>
      </c>
      <c r="H188" s="19">
        <f>C188*(1+F188)</f>
        <v/>
      </c>
      <c r="I188" s="19">
        <f>D188*(1+G188)</f>
        <v/>
      </c>
      <c r="J188" s="19">
        <f>IF(AND(CONFIG!$B$11="Annual",MONTH(A188)=7),(H188+I188)*CONFIG!$B$6/12,J187)</f>
        <v/>
      </c>
      <c r="K188" s="19">
        <f>MAX(0,I188-J188)</f>
        <v/>
      </c>
      <c r="L188">
        <f>IF(OR(MONTH(A188)=3,MONTH(A188)=6,MONTH(A188)=9,MONTH(A188)=12),"Y","N")</f>
        <v/>
      </c>
      <c r="M188" s="21">
        <f>IF((H188+K188)=0,0,K188/(H188+K188))</f>
        <v/>
      </c>
      <c r="N188">
        <f>IF(AND(L188="Y",OR(M188&lt;CONFIG!$B$8,M188&gt;CONFIG!$B$9)),"Y","N")</f>
        <v/>
      </c>
      <c r="O188" s="19">
        <f>IF(N188="Y",(H188+K188)*0.8,H188)</f>
        <v/>
      </c>
      <c r="P188" s="19">
        <f>IF(N188="Y",(H188+K188)*0.2,K188)</f>
        <v/>
      </c>
      <c r="R188" s="18">
        <f>DATA!A188</f>
        <v/>
      </c>
      <c r="S188">
        <f>DATA!B188</f>
        <v/>
      </c>
      <c r="T188" s="19">
        <f>AF187</f>
        <v/>
      </c>
      <c r="U188" s="19">
        <f>AG187</f>
        <v/>
      </c>
      <c r="V188" s="19">
        <f>T188+U188</f>
        <v/>
      </c>
      <c r="W188" s="20">
        <f>DATA!D188</f>
        <v/>
      </c>
      <c r="X188" s="20">
        <f>DATA!F188</f>
        <v/>
      </c>
      <c r="Y188" s="19">
        <f>T188*(1+W188)</f>
        <v/>
      </c>
      <c r="Z188" s="19">
        <f>U188*(1+X188)</f>
        <v/>
      </c>
      <c r="AA188" s="19">
        <f>IF(AND(CONFIG!$B$11="Annual",MONTH(R188)=7),(Y188+Z188)*CONFIG!$B$6/12,AA187)</f>
        <v/>
      </c>
      <c r="AB188" s="19">
        <f>MAX(0,Z188-AA188)</f>
        <v/>
      </c>
      <c r="AC188">
        <f>IF(OR(MONTH(R188)=3,MONTH(R188)=6,MONTH(R188)=9,MONTH(R188)=12),"Y","N")</f>
        <v/>
      </c>
      <c r="AD188" s="21">
        <f>IF((Y188+AB188)=0,0,AB188/(Y188+AB188))</f>
        <v/>
      </c>
      <c r="AE188">
        <f>IF(AND(AC188="Y",OR(AD188&lt;CONFIG!$B$8,AD188&gt;CONFIG!$B$9)),"Y","N")</f>
        <v/>
      </c>
      <c r="AF188" s="19">
        <f>IF(AE188="Y",(Y188+AB188)*0.8,Y188)</f>
        <v/>
      </c>
      <c r="AG188" s="19">
        <f>IF(AE188="Y",(Y188+AB188)*0.2,AB188)</f>
        <v/>
      </c>
      <c r="AI188" s="18">
        <f>DATA!A188</f>
        <v/>
      </c>
      <c r="AJ188">
        <f>DATA!B188</f>
        <v/>
      </c>
      <c r="AK188" s="19">
        <f>AW187</f>
        <v/>
      </c>
      <c r="AL188" s="19">
        <f>AX187</f>
        <v/>
      </c>
      <c r="AM188" s="19">
        <f>AK188+AL188</f>
        <v/>
      </c>
      <c r="AN188" s="20">
        <f>DATA!E188</f>
        <v/>
      </c>
      <c r="AO188" s="20">
        <f>DATA!F188</f>
        <v/>
      </c>
      <c r="AP188" s="19">
        <f>AK188*(1+AN188)</f>
        <v/>
      </c>
      <c r="AQ188" s="19">
        <f>AL188*(1+AO188)</f>
        <v/>
      </c>
      <c r="AR188" s="19">
        <f>IF(AND(CONFIG!$B$11="Annual",MONTH(AI188)=7),(AP188+AQ188)*CONFIG!$B$6/12,AR187)</f>
        <v/>
      </c>
      <c r="AS188" s="19">
        <f>MAX(0,AQ188-AR188)</f>
        <v/>
      </c>
      <c r="AT188">
        <f>IF(OR(MONTH(AI188)=3,MONTH(AI188)=6,MONTH(AI188)=9,MONTH(AI188)=12),"Y","N")</f>
        <v/>
      </c>
      <c r="AU188" s="21">
        <f>IF((AP188+AS188)=0,0,AS188/(AP188+AS188))</f>
        <v/>
      </c>
      <c r="AV188">
        <f>IF(AND(AT188="Y",OR(AU188&lt;CONFIG!$B$8,AU188&gt;CONFIG!$B$9)),"Y","N")</f>
        <v/>
      </c>
      <c r="AW188" s="19">
        <f>IF(AV188="Y",(AP188+AS188)*0.8,AP188)</f>
        <v/>
      </c>
      <c r="AX188" s="19">
        <f>IF(AV188="Y",(AP188+AS188)*0.2,AS188)</f>
        <v/>
      </c>
    </row>
    <row r="189">
      <c r="A189" s="18">
        <f>DATA!A189</f>
        <v/>
      </c>
      <c r="B189">
        <f>DATA!B189</f>
        <v/>
      </c>
      <c r="C189" s="19">
        <f>O188</f>
        <v/>
      </c>
      <c r="D189" s="19">
        <f>P188</f>
        <v/>
      </c>
      <c r="E189" s="19">
        <f>C189+D189</f>
        <v/>
      </c>
      <c r="F189" s="20">
        <f>DATA!C189</f>
        <v/>
      </c>
      <c r="G189" s="20">
        <f>DATA!F189</f>
        <v/>
      </c>
      <c r="H189" s="19">
        <f>C189*(1+F189)</f>
        <v/>
      </c>
      <c r="I189" s="19">
        <f>D189*(1+G189)</f>
        <v/>
      </c>
      <c r="J189" s="19">
        <f>IF(AND(CONFIG!$B$11="Annual",MONTH(A189)=7),(H189+I189)*CONFIG!$B$6/12,J188)</f>
        <v/>
      </c>
      <c r="K189" s="19">
        <f>MAX(0,I189-J189)</f>
        <v/>
      </c>
      <c r="L189">
        <f>IF(OR(MONTH(A189)=3,MONTH(A189)=6,MONTH(A189)=9,MONTH(A189)=12),"Y","N")</f>
        <v/>
      </c>
      <c r="M189" s="21">
        <f>IF((H189+K189)=0,0,K189/(H189+K189))</f>
        <v/>
      </c>
      <c r="N189">
        <f>IF(AND(L189="Y",OR(M189&lt;CONFIG!$B$8,M189&gt;CONFIG!$B$9)),"Y","N")</f>
        <v/>
      </c>
      <c r="O189" s="19">
        <f>IF(N189="Y",(H189+K189)*0.8,H189)</f>
        <v/>
      </c>
      <c r="P189" s="19">
        <f>IF(N189="Y",(H189+K189)*0.2,K189)</f>
        <v/>
      </c>
      <c r="R189" s="18">
        <f>DATA!A189</f>
        <v/>
      </c>
      <c r="S189">
        <f>DATA!B189</f>
        <v/>
      </c>
      <c r="T189" s="19">
        <f>AF188</f>
        <v/>
      </c>
      <c r="U189" s="19">
        <f>AG188</f>
        <v/>
      </c>
      <c r="V189" s="19">
        <f>T189+U189</f>
        <v/>
      </c>
      <c r="W189" s="20">
        <f>DATA!D189</f>
        <v/>
      </c>
      <c r="X189" s="20">
        <f>DATA!F189</f>
        <v/>
      </c>
      <c r="Y189" s="19">
        <f>T189*(1+W189)</f>
        <v/>
      </c>
      <c r="Z189" s="19">
        <f>U189*(1+X189)</f>
        <v/>
      </c>
      <c r="AA189" s="19">
        <f>IF(AND(CONFIG!$B$11="Annual",MONTH(R189)=7),(Y189+Z189)*CONFIG!$B$6/12,AA188)</f>
        <v/>
      </c>
      <c r="AB189" s="19">
        <f>MAX(0,Z189-AA189)</f>
        <v/>
      </c>
      <c r="AC189">
        <f>IF(OR(MONTH(R189)=3,MONTH(R189)=6,MONTH(R189)=9,MONTH(R189)=12),"Y","N")</f>
        <v/>
      </c>
      <c r="AD189" s="21">
        <f>IF((Y189+AB189)=0,0,AB189/(Y189+AB189))</f>
        <v/>
      </c>
      <c r="AE189">
        <f>IF(AND(AC189="Y",OR(AD189&lt;CONFIG!$B$8,AD189&gt;CONFIG!$B$9)),"Y","N")</f>
        <v/>
      </c>
      <c r="AF189" s="19">
        <f>IF(AE189="Y",(Y189+AB189)*0.8,Y189)</f>
        <v/>
      </c>
      <c r="AG189" s="19">
        <f>IF(AE189="Y",(Y189+AB189)*0.2,AB189)</f>
        <v/>
      </c>
      <c r="AI189" s="18">
        <f>DATA!A189</f>
        <v/>
      </c>
      <c r="AJ189">
        <f>DATA!B189</f>
        <v/>
      </c>
      <c r="AK189" s="19">
        <f>AW188</f>
        <v/>
      </c>
      <c r="AL189" s="19">
        <f>AX188</f>
        <v/>
      </c>
      <c r="AM189" s="19">
        <f>AK189+AL189</f>
        <v/>
      </c>
      <c r="AN189" s="20">
        <f>DATA!E189</f>
        <v/>
      </c>
      <c r="AO189" s="20">
        <f>DATA!F189</f>
        <v/>
      </c>
      <c r="AP189" s="19">
        <f>AK189*(1+AN189)</f>
        <v/>
      </c>
      <c r="AQ189" s="19">
        <f>AL189*(1+AO189)</f>
        <v/>
      </c>
      <c r="AR189" s="19">
        <f>IF(AND(CONFIG!$B$11="Annual",MONTH(AI189)=7),(AP189+AQ189)*CONFIG!$B$6/12,AR188)</f>
        <v/>
      </c>
      <c r="AS189" s="19">
        <f>MAX(0,AQ189-AR189)</f>
        <v/>
      </c>
      <c r="AT189">
        <f>IF(OR(MONTH(AI189)=3,MONTH(AI189)=6,MONTH(AI189)=9,MONTH(AI189)=12),"Y","N")</f>
        <v/>
      </c>
      <c r="AU189" s="21">
        <f>IF((AP189+AS189)=0,0,AS189/(AP189+AS189))</f>
        <v/>
      </c>
      <c r="AV189">
        <f>IF(AND(AT189="Y",OR(AU189&lt;CONFIG!$B$8,AU189&gt;CONFIG!$B$9)),"Y","N")</f>
        <v/>
      </c>
      <c r="AW189" s="19">
        <f>IF(AV189="Y",(AP189+AS189)*0.8,AP189)</f>
        <v/>
      </c>
      <c r="AX189" s="19">
        <f>IF(AV189="Y",(AP189+AS189)*0.2,AS189)</f>
        <v/>
      </c>
    </row>
    <row r="190">
      <c r="A190" s="18">
        <f>DATA!A190</f>
        <v/>
      </c>
      <c r="B190">
        <f>DATA!B190</f>
        <v/>
      </c>
      <c r="C190" s="19">
        <f>O189</f>
        <v/>
      </c>
      <c r="D190" s="19">
        <f>P189</f>
        <v/>
      </c>
      <c r="E190" s="19">
        <f>C190+D190</f>
        <v/>
      </c>
      <c r="F190" s="20">
        <f>DATA!C190</f>
        <v/>
      </c>
      <c r="G190" s="20">
        <f>DATA!F190</f>
        <v/>
      </c>
      <c r="H190" s="19">
        <f>C190*(1+F190)</f>
        <v/>
      </c>
      <c r="I190" s="19">
        <f>D190*(1+G190)</f>
        <v/>
      </c>
      <c r="J190" s="19">
        <f>IF(AND(CONFIG!$B$11="Annual",MONTH(A190)=7),(H190+I190)*CONFIG!$B$6/12,J189)</f>
        <v/>
      </c>
      <c r="K190" s="19">
        <f>MAX(0,I190-J190)</f>
        <v/>
      </c>
      <c r="L190">
        <f>IF(OR(MONTH(A190)=3,MONTH(A190)=6,MONTH(A190)=9,MONTH(A190)=12),"Y","N")</f>
        <v/>
      </c>
      <c r="M190" s="21">
        <f>IF((H190+K190)=0,0,K190/(H190+K190))</f>
        <v/>
      </c>
      <c r="N190">
        <f>IF(AND(L190="Y",OR(M190&lt;CONFIG!$B$8,M190&gt;CONFIG!$B$9)),"Y","N")</f>
        <v/>
      </c>
      <c r="O190" s="19">
        <f>IF(N190="Y",(H190+K190)*0.8,H190)</f>
        <v/>
      </c>
      <c r="P190" s="19">
        <f>IF(N190="Y",(H190+K190)*0.2,K190)</f>
        <v/>
      </c>
      <c r="R190" s="18">
        <f>DATA!A190</f>
        <v/>
      </c>
      <c r="S190">
        <f>DATA!B190</f>
        <v/>
      </c>
      <c r="T190" s="19">
        <f>AF189</f>
        <v/>
      </c>
      <c r="U190" s="19">
        <f>AG189</f>
        <v/>
      </c>
      <c r="V190" s="19">
        <f>T190+U190</f>
        <v/>
      </c>
      <c r="W190" s="20">
        <f>DATA!D190</f>
        <v/>
      </c>
      <c r="X190" s="20">
        <f>DATA!F190</f>
        <v/>
      </c>
      <c r="Y190" s="19">
        <f>T190*(1+W190)</f>
        <v/>
      </c>
      <c r="Z190" s="19">
        <f>U190*(1+X190)</f>
        <v/>
      </c>
      <c r="AA190" s="19">
        <f>IF(AND(CONFIG!$B$11="Annual",MONTH(R190)=7),(Y190+Z190)*CONFIG!$B$6/12,AA189)</f>
        <v/>
      </c>
      <c r="AB190" s="19">
        <f>MAX(0,Z190-AA190)</f>
        <v/>
      </c>
      <c r="AC190">
        <f>IF(OR(MONTH(R190)=3,MONTH(R190)=6,MONTH(R190)=9,MONTH(R190)=12),"Y","N")</f>
        <v/>
      </c>
      <c r="AD190" s="21">
        <f>IF((Y190+AB190)=0,0,AB190/(Y190+AB190))</f>
        <v/>
      </c>
      <c r="AE190">
        <f>IF(AND(AC190="Y",OR(AD190&lt;CONFIG!$B$8,AD190&gt;CONFIG!$B$9)),"Y","N")</f>
        <v/>
      </c>
      <c r="AF190" s="19">
        <f>IF(AE190="Y",(Y190+AB190)*0.8,Y190)</f>
        <v/>
      </c>
      <c r="AG190" s="19">
        <f>IF(AE190="Y",(Y190+AB190)*0.2,AB190)</f>
        <v/>
      </c>
      <c r="AI190" s="18">
        <f>DATA!A190</f>
        <v/>
      </c>
      <c r="AJ190">
        <f>DATA!B190</f>
        <v/>
      </c>
      <c r="AK190" s="19">
        <f>AW189</f>
        <v/>
      </c>
      <c r="AL190" s="19">
        <f>AX189</f>
        <v/>
      </c>
      <c r="AM190" s="19">
        <f>AK190+AL190</f>
        <v/>
      </c>
      <c r="AN190" s="20">
        <f>DATA!E190</f>
        <v/>
      </c>
      <c r="AO190" s="20">
        <f>DATA!F190</f>
        <v/>
      </c>
      <c r="AP190" s="19">
        <f>AK190*(1+AN190)</f>
        <v/>
      </c>
      <c r="AQ190" s="19">
        <f>AL190*(1+AO190)</f>
        <v/>
      </c>
      <c r="AR190" s="19">
        <f>IF(AND(CONFIG!$B$11="Annual",MONTH(AI190)=7),(AP190+AQ190)*CONFIG!$B$6/12,AR189)</f>
        <v/>
      </c>
      <c r="AS190" s="19">
        <f>MAX(0,AQ190-AR190)</f>
        <v/>
      </c>
      <c r="AT190">
        <f>IF(OR(MONTH(AI190)=3,MONTH(AI190)=6,MONTH(AI190)=9,MONTH(AI190)=12),"Y","N")</f>
        <v/>
      </c>
      <c r="AU190" s="21">
        <f>IF((AP190+AS190)=0,0,AS190/(AP190+AS190))</f>
        <v/>
      </c>
      <c r="AV190">
        <f>IF(AND(AT190="Y",OR(AU190&lt;CONFIG!$B$8,AU190&gt;CONFIG!$B$9)),"Y","N")</f>
        <v/>
      </c>
      <c r="AW190" s="19">
        <f>IF(AV190="Y",(AP190+AS190)*0.8,AP190)</f>
        <v/>
      </c>
      <c r="AX190" s="19">
        <f>IF(AV190="Y",(AP190+AS190)*0.2,AS190)</f>
        <v/>
      </c>
    </row>
    <row r="191">
      <c r="A191" s="18">
        <f>DATA!A191</f>
        <v/>
      </c>
      <c r="B191">
        <f>DATA!B191</f>
        <v/>
      </c>
      <c r="C191" s="19">
        <f>O190</f>
        <v/>
      </c>
      <c r="D191" s="19">
        <f>P190</f>
        <v/>
      </c>
      <c r="E191" s="19">
        <f>C191+D191</f>
        <v/>
      </c>
      <c r="F191" s="20">
        <f>DATA!C191</f>
        <v/>
      </c>
      <c r="G191" s="20">
        <f>DATA!F191</f>
        <v/>
      </c>
      <c r="H191" s="19">
        <f>C191*(1+F191)</f>
        <v/>
      </c>
      <c r="I191" s="19">
        <f>D191*(1+G191)</f>
        <v/>
      </c>
      <c r="J191" s="19">
        <f>IF(AND(CONFIG!$B$11="Annual",MONTH(A191)=7),(H191+I191)*CONFIG!$B$6/12,J190)</f>
        <v/>
      </c>
      <c r="K191" s="19">
        <f>MAX(0,I191-J191)</f>
        <v/>
      </c>
      <c r="L191">
        <f>IF(OR(MONTH(A191)=3,MONTH(A191)=6,MONTH(A191)=9,MONTH(A191)=12),"Y","N")</f>
        <v/>
      </c>
      <c r="M191" s="21">
        <f>IF((H191+K191)=0,0,K191/(H191+K191))</f>
        <v/>
      </c>
      <c r="N191">
        <f>IF(AND(L191="Y",OR(M191&lt;CONFIG!$B$8,M191&gt;CONFIG!$B$9)),"Y","N")</f>
        <v/>
      </c>
      <c r="O191" s="19">
        <f>IF(N191="Y",(H191+K191)*0.8,H191)</f>
        <v/>
      </c>
      <c r="P191" s="19">
        <f>IF(N191="Y",(H191+K191)*0.2,K191)</f>
        <v/>
      </c>
      <c r="R191" s="18">
        <f>DATA!A191</f>
        <v/>
      </c>
      <c r="S191">
        <f>DATA!B191</f>
        <v/>
      </c>
      <c r="T191" s="19">
        <f>AF190</f>
        <v/>
      </c>
      <c r="U191" s="19">
        <f>AG190</f>
        <v/>
      </c>
      <c r="V191" s="19">
        <f>T191+U191</f>
        <v/>
      </c>
      <c r="W191" s="20">
        <f>DATA!D191</f>
        <v/>
      </c>
      <c r="X191" s="20">
        <f>DATA!F191</f>
        <v/>
      </c>
      <c r="Y191" s="19">
        <f>T191*(1+W191)</f>
        <v/>
      </c>
      <c r="Z191" s="19">
        <f>U191*(1+X191)</f>
        <v/>
      </c>
      <c r="AA191" s="19">
        <f>IF(AND(CONFIG!$B$11="Annual",MONTH(R191)=7),(Y191+Z191)*CONFIG!$B$6/12,AA190)</f>
        <v/>
      </c>
      <c r="AB191" s="19">
        <f>MAX(0,Z191-AA191)</f>
        <v/>
      </c>
      <c r="AC191">
        <f>IF(OR(MONTH(R191)=3,MONTH(R191)=6,MONTH(R191)=9,MONTH(R191)=12),"Y","N")</f>
        <v/>
      </c>
      <c r="AD191" s="21">
        <f>IF((Y191+AB191)=0,0,AB191/(Y191+AB191))</f>
        <v/>
      </c>
      <c r="AE191">
        <f>IF(AND(AC191="Y",OR(AD191&lt;CONFIG!$B$8,AD191&gt;CONFIG!$B$9)),"Y","N")</f>
        <v/>
      </c>
      <c r="AF191" s="19">
        <f>IF(AE191="Y",(Y191+AB191)*0.8,Y191)</f>
        <v/>
      </c>
      <c r="AG191" s="19">
        <f>IF(AE191="Y",(Y191+AB191)*0.2,AB191)</f>
        <v/>
      </c>
      <c r="AI191" s="18">
        <f>DATA!A191</f>
        <v/>
      </c>
      <c r="AJ191">
        <f>DATA!B191</f>
        <v/>
      </c>
      <c r="AK191" s="19">
        <f>AW190</f>
        <v/>
      </c>
      <c r="AL191" s="19">
        <f>AX190</f>
        <v/>
      </c>
      <c r="AM191" s="19">
        <f>AK191+AL191</f>
        <v/>
      </c>
      <c r="AN191" s="20">
        <f>DATA!E191</f>
        <v/>
      </c>
      <c r="AO191" s="20">
        <f>DATA!F191</f>
        <v/>
      </c>
      <c r="AP191" s="19">
        <f>AK191*(1+AN191)</f>
        <v/>
      </c>
      <c r="AQ191" s="19">
        <f>AL191*(1+AO191)</f>
        <v/>
      </c>
      <c r="AR191" s="19">
        <f>IF(AND(CONFIG!$B$11="Annual",MONTH(AI191)=7),(AP191+AQ191)*CONFIG!$B$6/12,AR190)</f>
        <v/>
      </c>
      <c r="AS191" s="19">
        <f>MAX(0,AQ191-AR191)</f>
        <v/>
      </c>
      <c r="AT191">
        <f>IF(OR(MONTH(AI191)=3,MONTH(AI191)=6,MONTH(AI191)=9,MONTH(AI191)=12),"Y","N")</f>
        <v/>
      </c>
      <c r="AU191" s="21">
        <f>IF((AP191+AS191)=0,0,AS191/(AP191+AS191))</f>
        <v/>
      </c>
      <c r="AV191">
        <f>IF(AND(AT191="Y",OR(AU191&lt;CONFIG!$B$8,AU191&gt;CONFIG!$B$9)),"Y","N")</f>
        <v/>
      </c>
      <c r="AW191" s="19">
        <f>IF(AV191="Y",(AP191+AS191)*0.8,AP191)</f>
        <v/>
      </c>
      <c r="AX191" s="19">
        <f>IF(AV191="Y",(AP191+AS191)*0.2,AS191)</f>
        <v/>
      </c>
    </row>
    <row r="192">
      <c r="A192" s="18">
        <f>DATA!A192</f>
        <v/>
      </c>
      <c r="B192">
        <f>DATA!B192</f>
        <v/>
      </c>
      <c r="C192" s="19">
        <f>O191</f>
        <v/>
      </c>
      <c r="D192" s="19">
        <f>P191</f>
        <v/>
      </c>
      <c r="E192" s="19">
        <f>C192+D192</f>
        <v/>
      </c>
      <c r="F192" s="20">
        <f>DATA!C192</f>
        <v/>
      </c>
      <c r="G192" s="20">
        <f>DATA!F192</f>
        <v/>
      </c>
      <c r="H192" s="19">
        <f>C192*(1+F192)</f>
        <v/>
      </c>
      <c r="I192" s="19">
        <f>D192*(1+G192)</f>
        <v/>
      </c>
      <c r="J192" s="19">
        <f>IF(AND(CONFIG!$B$11="Annual",MONTH(A192)=7),(H192+I192)*CONFIG!$B$6/12,J191)</f>
        <v/>
      </c>
      <c r="K192" s="19">
        <f>MAX(0,I192-J192)</f>
        <v/>
      </c>
      <c r="L192">
        <f>IF(OR(MONTH(A192)=3,MONTH(A192)=6,MONTH(A192)=9,MONTH(A192)=12),"Y","N")</f>
        <v/>
      </c>
      <c r="M192" s="21">
        <f>IF((H192+K192)=0,0,K192/(H192+K192))</f>
        <v/>
      </c>
      <c r="N192">
        <f>IF(AND(L192="Y",OR(M192&lt;CONFIG!$B$8,M192&gt;CONFIG!$B$9)),"Y","N")</f>
        <v/>
      </c>
      <c r="O192" s="19">
        <f>IF(N192="Y",(H192+K192)*0.8,H192)</f>
        <v/>
      </c>
      <c r="P192" s="19">
        <f>IF(N192="Y",(H192+K192)*0.2,K192)</f>
        <v/>
      </c>
      <c r="R192" s="18">
        <f>DATA!A192</f>
        <v/>
      </c>
      <c r="S192">
        <f>DATA!B192</f>
        <v/>
      </c>
      <c r="T192" s="19">
        <f>AF191</f>
        <v/>
      </c>
      <c r="U192" s="19">
        <f>AG191</f>
        <v/>
      </c>
      <c r="V192" s="19">
        <f>T192+U192</f>
        <v/>
      </c>
      <c r="W192" s="20">
        <f>DATA!D192</f>
        <v/>
      </c>
      <c r="X192" s="20">
        <f>DATA!F192</f>
        <v/>
      </c>
      <c r="Y192" s="19">
        <f>T192*(1+W192)</f>
        <v/>
      </c>
      <c r="Z192" s="19">
        <f>U192*(1+X192)</f>
        <v/>
      </c>
      <c r="AA192" s="19">
        <f>IF(AND(CONFIG!$B$11="Annual",MONTH(R192)=7),(Y192+Z192)*CONFIG!$B$6/12,AA191)</f>
        <v/>
      </c>
      <c r="AB192" s="19">
        <f>MAX(0,Z192-AA192)</f>
        <v/>
      </c>
      <c r="AC192">
        <f>IF(OR(MONTH(R192)=3,MONTH(R192)=6,MONTH(R192)=9,MONTH(R192)=12),"Y","N")</f>
        <v/>
      </c>
      <c r="AD192" s="21">
        <f>IF((Y192+AB192)=0,0,AB192/(Y192+AB192))</f>
        <v/>
      </c>
      <c r="AE192">
        <f>IF(AND(AC192="Y",OR(AD192&lt;CONFIG!$B$8,AD192&gt;CONFIG!$B$9)),"Y","N")</f>
        <v/>
      </c>
      <c r="AF192" s="19">
        <f>IF(AE192="Y",(Y192+AB192)*0.8,Y192)</f>
        <v/>
      </c>
      <c r="AG192" s="19">
        <f>IF(AE192="Y",(Y192+AB192)*0.2,AB192)</f>
        <v/>
      </c>
      <c r="AI192" s="18">
        <f>DATA!A192</f>
        <v/>
      </c>
      <c r="AJ192">
        <f>DATA!B192</f>
        <v/>
      </c>
      <c r="AK192" s="19">
        <f>AW191</f>
        <v/>
      </c>
      <c r="AL192" s="19">
        <f>AX191</f>
        <v/>
      </c>
      <c r="AM192" s="19">
        <f>AK192+AL192</f>
        <v/>
      </c>
      <c r="AN192" s="20">
        <f>DATA!E192</f>
        <v/>
      </c>
      <c r="AO192" s="20">
        <f>DATA!F192</f>
        <v/>
      </c>
      <c r="AP192" s="19">
        <f>AK192*(1+AN192)</f>
        <v/>
      </c>
      <c r="AQ192" s="19">
        <f>AL192*(1+AO192)</f>
        <v/>
      </c>
      <c r="AR192" s="19">
        <f>IF(AND(CONFIG!$B$11="Annual",MONTH(AI192)=7),(AP192+AQ192)*CONFIG!$B$6/12,AR191)</f>
        <v/>
      </c>
      <c r="AS192" s="19">
        <f>MAX(0,AQ192-AR192)</f>
        <v/>
      </c>
      <c r="AT192">
        <f>IF(OR(MONTH(AI192)=3,MONTH(AI192)=6,MONTH(AI192)=9,MONTH(AI192)=12),"Y","N")</f>
        <v/>
      </c>
      <c r="AU192" s="21">
        <f>IF((AP192+AS192)=0,0,AS192/(AP192+AS192))</f>
        <v/>
      </c>
      <c r="AV192">
        <f>IF(AND(AT192="Y",OR(AU192&lt;CONFIG!$B$8,AU192&gt;CONFIG!$B$9)),"Y","N")</f>
        <v/>
      </c>
      <c r="AW192" s="19">
        <f>IF(AV192="Y",(AP192+AS192)*0.8,AP192)</f>
        <v/>
      </c>
      <c r="AX192" s="19">
        <f>IF(AV192="Y",(AP192+AS192)*0.2,AS192)</f>
        <v/>
      </c>
    </row>
    <row r="193">
      <c r="A193" s="18">
        <f>DATA!A193</f>
        <v/>
      </c>
      <c r="B193">
        <f>DATA!B193</f>
        <v/>
      </c>
      <c r="C193" s="19">
        <f>O192</f>
        <v/>
      </c>
      <c r="D193" s="19">
        <f>P192</f>
        <v/>
      </c>
      <c r="E193" s="19">
        <f>C193+D193</f>
        <v/>
      </c>
      <c r="F193" s="20">
        <f>DATA!C193</f>
        <v/>
      </c>
      <c r="G193" s="20">
        <f>DATA!F193</f>
        <v/>
      </c>
      <c r="H193" s="19">
        <f>C193*(1+F193)</f>
        <v/>
      </c>
      <c r="I193" s="19">
        <f>D193*(1+G193)</f>
        <v/>
      </c>
      <c r="J193" s="19">
        <f>IF(AND(CONFIG!$B$11="Annual",MONTH(A193)=7),(H193+I193)*CONFIG!$B$6/12,J192)</f>
        <v/>
      </c>
      <c r="K193" s="19">
        <f>MAX(0,I193-J193)</f>
        <v/>
      </c>
      <c r="L193">
        <f>IF(OR(MONTH(A193)=3,MONTH(A193)=6,MONTH(A193)=9,MONTH(A193)=12),"Y","N")</f>
        <v/>
      </c>
      <c r="M193" s="21">
        <f>IF((H193+K193)=0,0,K193/(H193+K193))</f>
        <v/>
      </c>
      <c r="N193">
        <f>IF(AND(L193="Y",OR(M193&lt;CONFIG!$B$8,M193&gt;CONFIG!$B$9)),"Y","N")</f>
        <v/>
      </c>
      <c r="O193" s="19">
        <f>IF(N193="Y",(H193+K193)*0.8,H193)</f>
        <v/>
      </c>
      <c r="P193" s="19">
        <f>IF(N193="Y",(H193+K193)*0.2,K193)</f>
        <v/>
      </c>
      <c r="R193" s="18">
        <f>DATA!A193</f>
        <v/>
      </c>
      <c r="S193">
        <f>DATA!B193</f>
        <v/>
      </c>
      <c r="T193" s="19">
        <f>AF192</f>
        <v/>
      </c>
      <c r="U193" s="19">
        <f>AG192</f>
        <v/>
      </c>
      <c r="V193" s="19">
        <f>T193+U193</f>
        <v/>
      </c>
      <c r="W193" s="20">
        <f>DATA!D193</f>
        <v/>
      </c>
      <c r="X193" s="20">
        <f>DATA!F193</f>
        <v/>
      </c>
      <c r="Y193" s="19">
        <f>T193*(1+W193)</f>
        <v/>
      </c>
      <c r="Z193" s="19">
        <f>U193*(1+X193)</f>
        <v/>
      </c>
      <c r="AA193" s="19">
        <f>IF(AND(CONFIG!$B$11="Annual",MONTH(R193)=7),(Y193+Z193)*CONFIG!$B$6/12,AA192)</f>
        <v/>
      </c>
      <c r="AB193" s="19">
        <f>MAX(0,Z193-AA193)</f>
        <v/>
      </c>
      <c r="AC193">
        <f>IF(OR(MONTH(R193)=3,MONTH(R193)=6,MONTH(R193)=9,MONTH(R193)=12),"Y","N")</f>
        <v/>
      </c>
      <c r="AD193" s="21">
        <f>IF((Y193+AB193)=0,0,AB193/(Y193+AB193))</f>
        <v/>
      </c>
      <c r="AE193">
        <f>IF(AND(AC193="Y",OR(AD193&lt;CONFIG!$B$8,AD193&gt;CONFIG!$B$9)),"Y","N")</f>
        <v/>
      </c>
      <c r="AF193" s="19">
        <f>IF(AE193="Y",(Y193+AB193)*0.8,Y193)</f>
        <v/>
      </c>
      <c r="AG193" s="19">
        <f>IF(AE193="Y",(Y193+AB193)*0.2,AB193)</f>
        <v/>
      </c>
      <c r="AI193" s="18">
        <f>DATA!A193</f>
        <v/>
      </c>
      <c r="AJ193">
        <f>DATA!B193</f>
        <v/>
      </c>
      <c r="AK193" s="19">
        <f>AW192</f>
        <v/>
      </c>
      <c r="AL193" s="19">
        <f>AX192</f>
        <v/>
      </c>
      <c r="AM193" s="19">
        <f>AK193+AL193</f>
        <v/>
      </c>
      <c r="AN193" s="20">
        <f>DATA!E193</f>
        <v/>
      </c>
      <c r="AO193" s="20">
        <f>DATA!F193</f>
        <v/>
      </c>
      <c r="AP193" s="19">
        <f>AK193*(1+AN193)</f>
        <v/>
      </c>
      <c r="AQ193" s="19">
        <f>AL193*(1+AO193)</f>
        <v/>
      </c>
      <c r="AR193" s="19">
        <f>IF(AND(CONFIG!$B$11="Annual",MONTH(AI193)=7),(AP193+AQ193)*CONFIG!$B$6/12,AR192)</f>
        <v/>
      </c>
      <c r="AS193" s="19">
        <f>MAX(0,AQ193-AR193)</f>
        <v/>
      </c>
      <c r="AT193">
        <f>IF(OR(MONTH(AI193)=3,MONTH(AI193)=6,MONTH(AI193)=9,MONTH(AI193)=12),"Y","N")</f>
        <v/>
      </c>
      <c r="AU193" s="21">
        <f>IF((AP193+AS193)=0,0,AS193/(AP193+AS193))</f>
        <v/>
      </c>
      <c r="AV193">
        <f>IF(AND(AT193="Y",OR(AU193&lt;CONFIG!$B$8,AU193&gt;CONFIG!$B$9)),"Y","N")</f>
        <v/>
      </c>
      <c r="AW193" s="19">
        <f>IF(AV193="Y",(AP193+AS193)*0.8,AP193)</f>
        <v/>
      </c>
      <c r="AX193" s="19">
        <f>IF(AV193="Y",(AP193+AS193)*0.2,AS193)</f>
        <v/>
      </c>
    </row>
    <row r="194">
      <c r="A194" s="18">
        <f>DATA!A194</f>
        <v/>
      </c>
      <c r="B194">
        <f>DATA!B194</f>
        <v/>
      </c>
      <c r="C194" s="19">
        <f>O193</f>
        <v/>
      </c>
      <c r="D194" s="19">
        <f>P193</f>
        <v/>
      </c>
      <c r="E194" s="19">
        <f>C194+D194</f>
        <v/>
      </c>
      <c r="F194" s="20">
        <f>DATA!C194</f>
        <v/>
      </c>
      <c r="G194" s="20">
        <f>DATA!F194</f>
        <v/>
      </c>
      <c r="H194" s="19">
        <f>C194*(1+F194)</f>
        <v/>
      </c>
      <c r="I194" s="19">
        <f>D194*(1+G194)</f>
        <v/>
      </c>
      <c r="J194" s="19">
        <f>IF(AND(CONFIG!$B$11="Annual",MONTH(A194)=7),(H194+I194)*CONFIG!$B$6/12,J193)</f>
        <v/>
      </c>
      <c r="K194" s="19">
        <f>MAX(0,I194-J194)</f>
        <v/>
      </c>
      <c r="L194">
        <f>IF(OR(MONTH(A194)=3,MONTH(A194)=6,MONTH(A194)=9,MONTH(A194)=12),"Y","N")</f>
        <v/>
      </c>
      <c r="M194" s="21">
        <f>IF((H194+K194)=0,0,K194/(H194+K194))</f>
        <v/>
      </c>
      <c r="N194">
        <f>IF(AND(L194="Y",OR(M194&lt;CONFIG!$B$8,M194&gt;CONFIG!$B$9)),"Y","N")</f>
        <v/>
      </c>
      <c r="O194" s="19">
        <f>IF(N194="Y",(H194+K194)*0.8,H194)</f>
        <v/>
      </c>
      <c r="P194" s="19">
        <f>IF(N194="Y",(H194+K194)*0.2,K194)</f>
        <v/>
      </c>
      <c r="R194" s="18">
        <f>DATA!A194</f>
        <v/>
      </c>
      <c r="S194">
        <f>DATA!B194</f>
        <v/>
      </c>
      <c r="T194" s="19">
        <f>AF193</f>
        <v/>
      </c>
      <c r="U194" s="19">
        <f>AG193</f>
        <v/>
      </c>
      <c r="V194" s="19">
        <f>T194+U194</f>
        <v/>
      </c>
      <c r="W194" s="20">
        <f>DATA!D194</f>
        <v/>
      </c>
      <c r="X194" s="20">
        <f>DATA!F194</f>
        <v/>
      </c>
      <c r="Y194" s="19">
        <f>T194*(1+W194)</f>
        <v/>
      </c>
      <c r="Z194" s="19">
        <f>U194*(1+X194)</f>
        <v/>
      </c>
      <c r="AA194" s="19">
        <f>IF(AND(CONFIG!$B$11="Annual",MONTH(R194)=7),(Y194+Z194)*CONFIG!$B$6/12,AA193)</f>
        <v/>
      </c>
      <c r="AB194" s="19">
        <f>MAX(0,Z194-AA194)</f>
        <v/>
      </c>
      <c r="AC194">
        <f>IF(OR(MONTH(R194)=3,MONTH(R194)=6,MONTH(R194)=9,MONTH(R194)=12),"Y","N")</f>
        <v/>
      </c>
      <c r="AD194" s="21">
        <f>IF((Y194+AB194)=0,0,AB194/(Y194+AB194))</f>
        <v/>
      </c>
      <c r="AE194">
        <f>IF(AND(AC194="Y",OR(AD194&lt;CONFIG!$B$8,AD194&gt;CONFIG!$B$9)),"Y","N")</f>
        <v/>
      </c>
      <c r="AF194" s="19">
        <f>IF(AE194="Y",(Y194+AB194)*0.8,Y194)</f>
        <v/>
      </c>
      <c r="AG194" s="19">
        <f>IF(AE194="Y",(Y194+AB194)*0.2,AB194)</f>
        <v/>
      </c>
      <c r="AI194" s="18">
        <f>DATA!A194</f>
        <v/>
      </c>
      <c r="AJ194">
        <f>DATA!B194</f>
        <v/>
      </c>
      <c r="AK194" s="19">
        <f>AW193</f>
        <v/>
      </c>
      <c r="AL194" s="19">
        <f>AX193</f>
        <v/>
      </c>
      <c r="AM194" s="19">
        <f>AK194+AL194</f>
        <v/>
      </c>
      <c r="AN194" s="20">
        <f>DATA!E194</f>
        <v/>
      </c>
      <c r="AO194" s="20">
        <f>DATA!F194</f>
        <v/>
      </c>
      <c r="AP194" s="19">
        <f>AK194*(1+AN194)</f>
        <v/>
      </c>
      <c r="AQ194" s="19">
        <f>AL194*(1+AO194)</f>
        <v/>
      </c>
      <c r="AR194" s="19">
        <f>IF(AND(CONFIG!$B$11="Annual",MONTH(AI194)=7),(AP194+AQ194)*CONFIG!$B$6/12,AR193)</f>
        <v/>
      </c>
      <c r="AS194" s="19">
        <f>MAX(0,AQ194-AR194)</f>
        <v/>
      </c>
      <c r="AT194">
        <f>IF(OR(MONTH(AI194)=3,MONTH(AI194)=6,MONTH(AI194)=9,MONTH(AI194)=12),"Y","N")</f>
        <v/>
      </c>
      <c r="AU194" s="21">
        <f>IF((AP194+AS194)=0,0,AS194/(AP194+AS194))</f>
        <v/>
      </c>
      <c r="AV194">
        <f>IF(AND(AT194="Y",OR(AU194&lt;CONFIG!$B$8,AU194&gt;CONFIG!$B$9)),"Y","N")</f>
        <v/>
      </c>
      <c r="AW194" s="19">
        <f>IF(AV194="Y",(AP194+AS194)*0.8,AP194)</f>
        <v/>
      </c>
      <c r="AX194" s="19">
        <f>IF(AV194="Y",(AP194+AS194)*0.2,AS194)</f>
        <v/>
      </c>
    </row>
    <row r="195">
      <c r="A195" s="18">
        <f>DATA!A195</f>
        <v/>
      </c>
      <c r="B195">
        <f>DATA!B195</f>
        <v/>
      </c>
      <c r="C195" s="19">
        <f>O194</f>
        <v/>
      </c>
      <c r="D195" s="19">
        <f>P194</f>
        <v/>
      </c>
      <c r="E195" s="19">
        <f>C195+D195</f>
        <v/>
      </c>
      <c r="F195" s="20">
        <f>DATA!C195</f>
        <v/>
      </c>
      <c r="G195" s="20">
        <f>DATA!F195</f>
        <v/>
      </c>
      <c r="H195" s="19">
        <f>C195*(1+F195)</f>
        <v/>
      </c>
      <c r="I195" s="19">
        <f>D195*(1+G195)</f>
        <v/>
      </c>
      <c r="J195" s="19">
        <f>IF(AND(CONFIG!$B$11="Annual",MONTH(A195)=7),(H195+I195)*CONFIG!$B$6/12,J194)</f>
        <v/>
      </c>
      <c r="K195" s="19">
        <f>MAX(0,I195-J195)</f>
        <v/>
      </c>
      <c r="L195">
        <f>IF(OR(MONTH(A195)=3,MONTH(A195)=6,MONTH(A195)=9,MONTH(A195)=12),"Y","N")</f>
        <v/>
      </c>
      <c r="M195" s="21">
        <f>IF((H195+K195)=0,0,K195/(H195+K195))</f>
        <v/>
      </c>
      <c r="N195">
        <f>IF(AND(L195="Y",OR(M195&lt;CONFIG!$B$8,M195&gt;CONFIG!$B$9)),"Y","N")</f>
        <v/>
      </c>
      <c r="O195" s="19">
        <f>IF(N195="Y",(H195+K195)*0.8,H195)</f>
        <v/>
      </c>
      <c r="P195" s="19">
        <f>IF(N195="Y",(H195+K195)*0.2,K195)</f>
        <v/>
      </c>
      <c r="R195" s="18">
        <f>DATA!A195</f>
        <v/>
      </c>
      <c r="S195">
        <f>DATA!B195</f>
        <v/>
      </c>
      <c r="T195" s="19">
        <f>AF194</f>
        <v/>
      </c>
      <c r="U195" s="19">
        <f>AG194</f>
        <v/>
      </c>
      <c r="V195" s="19">
        <f>T195+U195</f>
        <v/>
      </c>
      <c r="W195" s="20">
        <f>DATA!D195</f>
        <v/>
      </c>
      <c r="X195" s="20">
        <f>DATA!F195</f>
        <v/>
      </c>
      <c r="Y195" s="19">
        <f>T195*(1+W195)</f>
        <v/>
      </c>
      <c r="Z195" s="19">
        <f>U195*(1+X195)</f>
        <v/>
      </c>
      <c r="AA195" s="19">
        <f>IF(AND(CONFIG!$B$11="Annual",MONTH(R195)=7),(Y195+Z195)*CONFIG!$B$6/12,AA194)</f>
        <v/>
      </c>
      <c r="AB195" s="19">
        <f>MAX(0,Z195-AA195)</f>
        <v/>
      </c>
      <c r="AC195">
        <f>IF(OR(MONTH(R195)=3,MONTH(R195)=6,MONTH(R195)=9,MONTH(R195)=12),"Y","N")</f>
        <v/>
      </c>
      <c r="AD195" s="21">
        <f>IF((Y195+AB195)=0,0,AB195/(Y195+AB195))</f>
        <v/>
      </c>
      <c r="AE195">
        <f>IF(AND(AC195="Y",OR(AD195&lt;CONFIG!$B$8,AD195&gt;CONFIG!$B$9)),"Y","N")</f>
        <v/>
      </c>
      <c r="AF195" s="19">
        <f>IF(AE195="Y",(Y195+AB195)*0.8,Y195)</f>
        <v/>
      </c>
      <c r="AG195" s="19">
        <f>IF(AE195="Y",(Y195+AB195)*0.2,AB195)</f>
        <v/>
      </c>
      <c r="AI195" s="18">
        <f>DATA!A195</f>
        <v/>
      </c>
      <c r="AJ195">
        <f>DATA!B195</f>
        <v/>
      </c>
      <c r="AK195" s="19">
        <f>AW194</f>
        <v/>
      </c>
      <c r="AL195" s="19">
        <f>AX194</f>
        <v/>
      </c>
      <c r="AM195" s="19">
        <f>AK195+AL195</f>
        <v/>
      </c>
      <c r="AN195" s="20">
        <f>DATA!E195</f>
        <v/>
      </c>
      <c r="AO195" s="20">
        <f>DATA!F195</f>
        <v/>
      </c>
      <c r="AP195" s="19">
        <f>AK195*(1+AN195)</f>
        <v/>
      </c>
      <c r="AQ195" s="19">
        <f>AL195*(1+AO195)</f>
        <v/>
      </c>
      <c r="AR195" s="19">
        <f>IF(AND(CONFIG!$B$11="Annual",MONTH(AI195)=7),(AP195+AQ195)*CONFIG!$B$6/12,AR194)</f>
        <v/>
      </c>
      <c r="AS195" s="19">
        <f>MAX(0,AQ195-AR195)</f>
        <v/>
      </c>
      <c r="AT195">
        <f>IF(OR(MONTH(AI195)=3,MONTH(AI195)=6,MONTH(AI195)=9,MONTH(AI195)=12),"Y","N")</f>
        <v/>
      </c>
      <c r="AU195" s="21">
        <f>IF((AP195+AS195)=0,0,AS195/(AP195+AS195))</f>
        <v/>
      </c>
      <c r="AV195">
        <f>IF(AND(AT195="Y",OR(AU195&lt;CONFIG!$B$8,AU195&gt;CONFIG!$B$9)),"Y","N")</f>
        <v/>
      </c>
      <c r="AW195" s="19">
        <f>IF(AV195="Y",(AP195+AS195)*0.8,AP195)</f>
        <v/>
      </c>
      <c r="AX195" s="19">
        <f>IF(AV195="Y",(AP195+AS195)*0.2,AS195)</f>
        <v/>
      </c>
    </row>
    <row r="196">
      <c r="A196" s="18">
        <f>DATA!A196</f>
        <v/>
      </c>
      <c r="B196">
        <f>DATA!B196</f>
        <v/>
      </c>
      <c r="C196" s="19">
        <f>O195</f>
        <v/>
      </c>
      <c r="D196" s="19">
        <f>P195</f>
        <v/>
      </c>
      <c r="E196" s="19">
        <f>C196+D196</f>
        <v/>
      </c>
      <c r="F196" s="20">
        <f>DATA!C196</f>
        <v/>
      </c>
      <c r="G196" s="20">
        <f>DATA!F196</f>
        <v/>
      </c>
      <c r="H196" s="19">
        <f>C196*(1+F196)</f>
        <v/>
      </c>
      <c r="I196" s="19">
        <f>D196*(1+G196)</f>
        <v/>
      </c>
      <c r="J196" s="19">
        <f>IF(AND(CONFIG!$B$11="Annual",MONTH(A196)=7),(H196+I196)*CONFIG!$B$6/12,J195)</f>
        <v/>
      </c>
      <c r="K196" s="19">
        <f>MAX(0,I196-J196)</f>
        <v/>
      </c>
      <c r="L196">
        <f>IF(OR(MONTH(A196)=3,MONTH(A196)=6,MONTH(A196)=9,MONTH(A196)=12),"Y","N")</f>
        <v/>
      </c>
      <c r="M196" s="21">
        <f>IF((H196+K196)=0,0,K196/(H196+K196))</f>
        <v/>
      </c>
      <c r="N196">
        <f>IF(AND(L196="Y",OR(M196&lt;CONFIG!$B$8,M196&gt;CONFIG!$B$9)),"Y","N")</f>
        <v/>
      </c>
      <c r="O196" s="19">
        <f>IF(N196="Y",(H196+K196)*0.8,H196)</f>
        <v/>
      </c>
      <c r="P196" s="19">
        <f>IF(N196="Y",(H196+K196)*0.2,K196)</f>
        <v/>
      </c>
      <c r="R196" s="18">
        <f>DATA!A196</f>
        <v/>
      </c>
      <c r="S196">
        <f>DATA!B196</f>
        <v/>
      </c>
      <c r="T196" s="19">
        <f>AF195</f>
        <v/>
      </c>
      <c r="U196" s="19">
        <f>AG195</f>
        <v/>
      </c>
      <c r="V196" s="19">
        <f>T196+U196</f>
        <v/>
      </c>
      <c r="W196" s="20">
        <f>DATA!D196</f>
        <v/>
      </c>
      <c r="X196" s="20">
        <f>DATA!F196</f>
        <v/>
      </c>
      <c r="Y196" s="19">
        <f>T196*(1+W196)</f>
        <v/>
      </c>
      <c r="Z196" s="19">
        <f>U196*(1+X196)</f>
        <v/>
      </c>
      <c r="AA196" s="19">
        <f>IF(AND(CONFIG!$B$11="Annual",MONTH(R196)=7),(Y196+Z196)*CONFIG!$B$6/12,AA195)</f>
        <v/>
      </c>
      <c r="AB196" s="19">
        <f>MAX(0,Z196-AA196)</f>
        <v/>
      </c>
      <c r="AC196">
        <f>IF(OR(MONTH(R196)=3,MONTH(R196)=6,MONTH(R196)=9,MONTH(R196)=12),"Y","N")</f>
        <v/>
      </c>
      <c r="AD196" s="21">
        <f>IF((Y196+AB196)=0,0,AB196/(Y196+AB196))</f>
        <v/>
      </c>
      <c r="AE196">
        <f>IF(AND(AC196="Y",OR(AD196&lt;CONFIG!$B$8,AD196&gt;CONFIG!$B$9)),"Y","N")</f>
        <v/>
      </c>
      <c r="AF196" s="19">
        <f>IF(AE196="Y",(Y196+AB196)*0.8,Y196)</f>
        <v/>
      </c>
      <c r="AG196" s="19">
        <f>IF(AE196="Y",(Y196+AB196)*0.2,AB196)</f>
        <v/>
      </c>
      <c r="AI196" s="18">
        <f>DATA!A196</f>
        <v/>
      </c>
      <c r="AJ196">
        <f>DATA!B196</f>
        <v/>
      </c>
      <c r="AK196" s="19">
        <f>AW195</f>
        <v/>
      </c>
      <c r="AL196" s="19">
        <f>AX195</f>
        <v/>
      </c>
      <c r="AM196" s="19">
        <f>AK196+AL196</f>
        <v/>
      </c>
      <c r="AN196" s="20">
        <f>DATA!E196</f>
        <v/>
      </c>
      <c r="AO196" s="20">
        <f>DATA!F196</f>
        <v/>
      </c>
      <c r="AP196" s="19">
        <f>AK196*(1+AN196)</f>
        <v/>
      </c>
      <c r="AQ196" s="19">
        <f>AL196*(1+AO196)</f>
        <v/>
      </c>
      <c r="AR196" s="19">
        <f>IF(AND(CONFIG!$B$11="Annual",MONTH(AI196)=7),(AP196+AQ196)*CONFIG!$B$6/12,AR195)</f>
        <v/>
      </c>
      <c r="AS196" s="19">
        <f>MAX(0,AQ196-AR196)</f>
        <v/>
      </c>
      <c r="AT196">
        <f>IF(OR(MONTH(AI196)=3,MONTH(AI196)=6,MONTH(AI196)=9,MONTH(AI196)=12),"Y","N")</f>
        <v/>
      </c>
      <c r="AU196" s="21">
        <f>IF((AP196+AS196)=0,0,AS196/(AP196+AS196))</f>
        <v/>
      </c>
      <c r="AV196">
        <f>IF(AND(AT196="Y",OR(AU196&lt;CONFIG!$B$8,AU196&gt;CONFIG!$B$9)),"Y","N")</f>
        <v/>
      </c>
      <c r="AW196" s="19">
        <f>IF(AV196="Y",(AP196+AS196)*0.8,AP196)</f>
        <v/>
      </c>
      <c r="AX196" s="19">
        <f>IF(AV196="Y",(AP196+AS196)*0.2,AS196)</f>
        <v/>
      </c>
    </row>
    <row r="197">
      <c r="A197" s="18">
        <f>DATA!A197</f>
        <v/>
      </c>
      <c r="B197">
        <f>DATA!B197</f>
        <v/>
      </c>
      <c r="C197" s="19">
        <f>O196</f>
        <v/>
      </c>
      <c r="D197" s="19">
        <f>P196</f>
        <v/>
      </c>
      <c r="E197" s="19">
        <f>C197+D197</f>
        <v/>
      </c>
      <c r="F197" s="20">
        <f>DATA!C197</f>
        <v/>
      </c>
      <c r="G197" s="20">
        <f>DATA!F197</f>
        <v/>
      </c>
      <c r="H197" s="19">
        <f>C197*(1+F197)</f>
        <v/>
      </c>
      <c r="I197" s="19">
        <f>D197*(1+G197)</f>
        <v/>
      </c>
      <c r="J197" s="19">
        <f>IF(AND(CONFIG!$B$11="Annual",MONTH(A197)=7),(H197+I197)*CONFIG!$B$6/12,J196)</f>
        <v/>
      </c>
      <c r="K197" s="19">
        <f>MAX(0,I197-J197)</f>
        <v/>
      </c>
      <c r="L197">
        <f>IF(OR(MONTH(A197)=3,MONTH(A197)=6,MONTH(A197)=9,MONTH(A197)=12),"Y","N")</f>
        <v/>
      </c>
      <c r="M197" s="21">
        <f>IF((H197+K197)=0,0,K197/(H197+K197))</f>
        <v/>
      </c>
      <c r="N197">
        <f>IF(AND(L197="Y",OR(M197&lt;CONFIG!$B$8,M197&gt;CONFIG!$B$9)),"Y","N")</f>
        <v/>
      </c>
      <c r="O197" s="19">
        <f>IF(N197="Y",(H197+K197)*0.8,H197)</f>
        <v/>
      </c>
      <c r="P197" s="19">
        <f>IF(N197="Y",(H197+K197)*0.2,K197)</f>
        <v/>
      </c>
      <c r="R197" s="18">
        <f>DATA!A197</f>
        <v/>
      </c>
      <c r="S197">
        <f>DATA!B197</f>
        <v/>
      </c>
      <c r="T197" s="19">
        <f>AF196</f>
        <v/>
      </c>
      <c r="U197" s="19">
        <f>AG196</f>
        <v/>
      </c>
      <c r="V197" s="19">
        <f>T197+U197</f>
        <v/>
      </c>
      <c r="W197" s="20">
        <f>DATA!D197</f>
        <v/>
      </c>
      <c r="X197" s="20">
        <f>DATA!F197</f>
        <v/>
      </c>
      <c r="Y197" s="19">
        <f>T197*(1+W197)</f>
        <v/>
      </c>
      <c r="Z197" s="19">
        <f>U197*(1+X197)</f>
        <v/>
      </c>
      <c r="AA197" s="19">
        <f>IF(AND(CONFIG!$B$11="Annual",MONTH(R197)=7),(Y197+Z197)*CONFIG!$B$6/12,AA196)</f>
        <v/>
      </c>
      <c r="AB197" s="19">
        <f>MAX(0,Z197-AA197)</f>
        <v/>
      </c>
      <c r="AC197">
        <f>IF(OR(MONTH(R197)=3,MONTH(R197)=6,MONTH(R197)=9,MONTH(R197)=12),"Y","N")</f>
        <v/>
      </c>
      <c r="AD197" s="21">
        <f>IF((Y197+AB197)=0,0,AB197/(Y197+AB197))</f>
        <v/>
      </c>
      <c r="AE197">
        <f>IF(AND(AC197="Y",OR(AD197&lt;CONFIG!$B$8,AD197&gt;CONFIG!$B$9)),"Y","N")</f>
        <v/>
      </c>
      <c r="AF197" s="19">
        <f>IF(AE197="Y",(Y197+AB197)*0.8,Y197)</f>
        <v/>
      </c>
      <c r="AG197" s="19">
        <f>IF(AE197="Y",(Y197+AB197)*0.2,AB197)</f>
        <v/>
      </c>
      <c r="AI197" s="18">
        <f>DATA!A197</f>
        <v/>
      </c>
      <c r="AJ197">
        <f>DATA!B197</f>
        <v/>
      </c>
      <c r="AK197" s="19">
        <f>AW196</f>
        <v/>
      </c>
      <c r="AL197" s="19">
        <f>AX196</f>
        <v/>
      </c>
      <c r="AM197" s="19">
        <f>AK197+AL197</f>
        <v/>
      </c>
      <c r="AN197" s="20">
        <f>DATA!E197</f>
        <v/>
      </c>
      <c r="AO197" s="20">
        <f>DATA!F197</f>
        <v/>
      </c>
      <c r="AP197" s="19">
        <f>AK197*(1+AN197)</f>
        <v/>
      </c>
      <c r="AQ197" s="19">
        <f>AL197*(1+AO197)</f>
        <v/>
      </c>
      <c r="AR197" s="19">
        <f>IF(AND(CONFIG!$B$11="Annual",MONTH(AI197)=7),(AP197+AQ197)*CONFIG!$B$6/12,AR196)</f>
        <v/>
      </c>
      <c r="AS197" s="19">
        <f>MAX(0,AQ197-AR197)</f>
        <v/>
      </c>
      <c r="AT197">
        <f>IF(OR(MONTH(AI197)=3,MONTH(AI197)=6,MONTH(AI197)=9,MONTH(AI197)=12),"Y","N")</f>
        <v/>
      </c>
      <c r="AU197" s="21">
        <f>IF((AP197+AS197)=0,0,AS197/(AP197+AS197))</f>
        <v/>
      </c>
      <c r="AV197">
        <f>IF(AND(AT197="Y",OR(AU197&lt;CONFIG!$B$8,AU197&gt;CONFIG!$B$9)),"Y","N")</f>
        <v/>
      </c>
      <c r="AW197" s="19">
        <f>IF(AV197="Y",(AP197+AS197)*0.8,AP197)</f>
        <v/>
      </c>
      <c r="AX197" s="19">
        <f>IF(AV197="Y",(AP197+AS197)*0.2,AS197)</f>
        <v/>
      </c>
    </row>
    <row r="198">
      <c r="A198" s="18">
        <f>DATA!A198</f>
        <v/>
      </c>
      <c r="B198">
        <f>DATA!B198</f>
        <v/>
      </c>
      <c r="C198" s="19">
        <f>O197</f>
        <v/>
      </c>
      <c r="D198" s="19">
        <f>P197</f>
        <v/>
      </c>
      <c r="E198" s="19">
        <f>C198+D198</f>
        <v/>
      </c>
      <c r="F198" s="20">
        <f>DATA!C198</f>
        <v/>
      </c>
      <c r="G198" s="20">
        <f>DATA!F198</f>
        <v/>
      </c>
      <c r="H198" s="19">
        <f>C198*(1+F198)</f>
        <v/>
      </c>
      <c r="I198" s="19">
        <f>D198*(1+G198)</f>
        <v/>
      </c>
      <c r="J198" s="19">
        <f>IF(AND(CONFIG!$B$11="Annual",MONTH(A198)=7),(H198+I198)*CONFIG!$B$6/12,J197)</f>
        <v/>
      </c>
      <c r="K198" s="19">
        <f>MAX(0,I198-J198)</f>
        <v/>
      </c>
      <c r="L198">
        <f>IF(OR(MONTH(A198)=3,MONTH(A198)=6,MONTH(A198)=9,MONTH(A198)=12),"Y","N")</f>
        <v/>
      </c>
      <c r="M198" s="21">
        <f>IF((H198+K198)=0,0,K198/(H198+K198))</f>
        <v/>
      </c>
      <c r="N198">
        <f>IF(AND(L198="Y",OR(M198&lt;CONFIG!$B$8,M198&gt;CONFIG!$B$9)),"Y","N")</f>
        <v/>
      </c>
      <c r="O198" s="19">
        <f>IF(N198="Y",(H198+K198)*0.8,H198)</f>
        <v/>
      </c>
      <c r="P198" s="19">
        <f>IF(N198="Y",(H198+K198)*0.2,K198)</f>
        <v/>
      </c>
      <c r="R198" s="18">
        <f>DATA!A198</f>
        <v/>
      </c>
      <c r="S198">
        <f>DATA!B198</f>
        <v/>
      </c>
      <c r="T198" s="19">
        <f>AF197</f>
        <v/>
      </c>
      <c r="U198" s="19">
        <f>AG197</f>
        <v/>
      </c>
      <c r="V198" s="19">
        <f>T198+U198</f>
        <v/>
      </c>
      <c r="W198" s="20">
        <f>DATA!D198</f>
        <v/>
      </c>
      <c r="X198" s="20">
        <f>DATA!F198</f>
        <v/>
      </c>
      <c r="Y198" s="19">
        <f>T198*(1+W198)</f>
        <v/>
      </c>
      <c r="Z198" s="19">
        <f>U198*(1+X198)</f>
        <v/>
      </c>
      <c r="AA198" s="19">
        <f>IF(AND(CONFIG!$B$11="Annual",MONTH(R198)=7),(Y198+Z198)*CONFIG!$B$6/12,AA197)</f>
        <v/>
      </c>
      <c r="AB198" s="19">
        <f>MAX(0,Z198-AA198)</f>
        <v/>
      </c>
      <c r="AC198">
        <f>IF(OR(MONTH(R198)=3,MONTH(R198)=6,MONTH(R198)=9,MONTH(R198)=12),"Y","N")</f>
        <v/>
      </c>
      <c r="AD198" s="21">
        <f>IF((Y198+AB198)=0,0,AB198/(Y198+AB198))</f>
        <v/>
      </c>
      <c r="AE198">
        <f>IF(AND(AC198="Y",OR(AD198&lt;CONFIG!$B$8,AD198&gt;CONFIG!$B$9)),"Y","N")</f>
        <v/>
      </c>
      <c r="AF198" s="19">
        <f>IF(AE198="Y",(Y198+AB198)*0.8,Y198)</f>
        <v/>
      </c>
      <c r="AG198" s="19">
        <f>IF(AE198="Y",(Y198+AB198)*0.2,AB198)</f>
        <v/>
      </c>
      <c r="AI198" s="18">
        <f>DATA!A198</f>
        <v/>
      </c>
      <c r="AJ198">
        <f>DATA!B198</f>
        <v/>
      </c>
      <c r="AK198" s="19">
        <f>AW197</f>
        <v/>
      </c>
      <c r="AL198" s="19">
        <f>AX197</f>
        <v/>
      </c>
      <c r="AM198" s="19">
        <f>AK198+AL198</f>
        <v/>
      </c>
      <c r="AN198" s="20">
        <f>DATA!E198</f>
        <v/>
      </c>
      <c r="AO198" s="20">
        <f>DATA!F198</f>
        <v/>
      </c>
      <c r="AP198" s="19">
        <f>AK198*(1+AN198)</f>
        <v/>
      </c>
      <c r="AQ198" s="19">
        <f>AL198*(1+AO198)</f>
        <v/>
      </c>
      <c r="AR198" s="19">
        <f>IF(AND(CONFIG!$B$11="Annual",MONTH(AI198)=7),(AP198+AQ198)*CONFIG!$B$6/12,AR197)</f>
        <v/>
      </c>
      <c r="AS198" s="19">
        <f>MAX(0,AQ198-AR198)</f>
        <v/>
      </c>
      <c r="AT198">
        <f>IF(OR(MONTH(AI198)=3,MONTH(AI198)=6,MONTH(AI198)=9,MONTH(AI198)=12),"Y","N")</f>
        <v/>
      </c>
      <c r="AU198" s="21">
        <f>IF((AP198+AS198)=0,0,AS198/(AP198+AS198))</f>
        <v/>
      </c>
      <c r="AV198">
        <f>IF(AND(AT198="Y",OR(AU198&lt;CONFIG!$B$8,AU198&gt;CONFIG!$B$9)),"Y","N")</f>
        <v/>
      </c>
      <c r="AW198" s="19">
        <f>IF(AV198="Y",(AP198+AS198)*0.8,AP198)</f>
        <v/>
      </c>
      <c r="AX198" s="19">
        <f>IF(AV198="Y",(AP198+AS198)*0.2,AS198)</f>
        <v/>
      </c>
    </row>
    <row r="199">
      <c r="A199" s="18">
        <f>DATA!A199</f>
        <v/>
      </c>
      <c r="B199">
        <f>DATA!B199</f>
        <v/>
      </c>
      <c r="C199" s="19">
        <f>O198</f>
        <v/>
      </c>
      <c r="D199" s="19">
        <f>P198</f>
        <v/>
      </c>
      <c r="E199" s="19">
        <f>C199+D199</f>
        <v/>
      </c>
      <c r="F199" s="20">
        <f>DATA!C199</f>
        <v/>
      </c>
      <c r="G199" s="20">
        <f>DATA!F199</f>
        <v/>
      </c>
      <c r="H199" s="19">
        <f>C199*(1+F199)</f>
        <v/>
      </c>
      <c r="I199" s="19">
        <f>D199*(1+G199)</f>
        <v/>
      </c>
      <c r="J199" s="19">
        <f>IF(AND(CONFIG!$B$11="Annual",MONTH(A199)=7),(H199+I199)*CONFIG!$B$6/12,J198)</f>
        <v/>
      </c>
      <c r="K199" s="19">
        <f>MAX(0,I199-J199)</f>
        <v/>
      </c>
      <c r="L199">
        <f>IF(OR(MONTH(A199)=3,MONTH(A199)=6,MONTH(A199)=9,MONTH(A199)=12),"Y","N")</f>
        <v/>
      </c>
      <c r="M199" s="21">
        <f>IF((H199+K199)=0,0,K199/(H199+K199))</f>
        <v/>
      </c>
      <c r="N199">
        <f>IF(AND(L199="Y",OR(M199&lt;CONFIG!$B$8,M199&gt;CONFIG!$B$9)),"Y","N")</f>
        <v/>
      </c>
      <c r="O199" s="19">
        <f>IF(N199="Y",(H199+K199)*0.8,H199)</f>
        <v/>
      </c>
      <c r="P199" s="19">
        <f>IF(N199="Y",(H199+K199)*0.2,K199)</f>
        <v/>
      </c>
      <c r="R199" s="18">
        <f>DATA!A199</f>
        <v/>
      </c>
      <c r="S199">
        <f>DATA!B199</f>
        <v/>
      </c>
      <c r="T199" s="19">
        <f>AF198</f>
        <v/>
      </c>
      <c r="U199" s="19">
        <f>AG198</f>
        <v/>
      </c>
      <c r="V199" s="19">
        <f>T199+U199</f>
        <v/>
      </c>
      <c r="W199" s="20">
        <f>DATA!D199</f>
        <v/>
      </c>
      <c r="X199" s="20">
        <f>DATA!F199</f>
        <v/>
      </c>
      <c r="Y199" s="19">
        <f>T199*(1+W199)</f>
        <v/>
      </c>
      <c r="Z199" s="19">
        <f>U199*(1+X199)</f>
        <v/>
      </c>
      <c r="AA199" s="19">
        <f>IF(AND(CONFIG!$B$11="Annual",MONTH(R199)=7),(Y199+Z199)*CONFIG!$B$6/12,AA198)</f>
        <v/>
      </c>
      <c r="AB199" s="19">
        <f>MAX(0,Z199-AA199)</f>
        <v/>
      </c>
      <c r="AC199">
        <f>IF(OR(MONTH(R199)=3,MONTH(R199)=6,MONTH(R199)=9,MONTH(R199)=12),"Y","N")</f>
        <v/>
      </c>
      <c r="AD199" s="21">
        <f>IF((Y199+AB199)=0,0,AB199/(Y199+AB199))</f>
        <v/>
      </c>
      <c r="AE199">
        <f>IF(AND(AC199="Y",OR(AD199&lt;CONFIG!$B$8,AD199&gt;CONFIG!$B$9)),"Y","N")</f>
        <v/>
      </c>
      <c r="AF199" s="19">
        <f>IF(AE199="Y",(Y199+AB199)*0.8,Y199)</f>
        <v/>
      </c>
      <c r="AG199" s="19">
        <f>IF(AE199="Y",(Y199+AB199)*0.2,AB199)</f>
        <v/>
      </c>
      <c r="AI199" s="18">
        <f>DATA!A199</f>
        <v/>
      </c>
      <c r="AJ199">
        <f>DATA!B199</f>
        <v/>
      </c>
      <c r="AK199" s="19">
        <f>AW198</f>
        <v/>
      </c>
      <c r="AL199" s="19">
        <f>AX198</f>
        <v/>
      </c>
      <c r="AM199" s="19">
        <f>AK199+AL199</f>
        <v/>
      </c>
      <c r="AN199" s="20">
        <f>DATA!E199</f>
        <v/>
      </c>
      <c r="AO199" s="20">
        <f>DATA!F199</f>
        <v/>
      </c>
      <c r="AP199" s="19">
        <f>AK199*(1+AN199)</f>
        <v/>
      </c>
      <c r="AQ199" s="19">
        <f>AL199*(1+AO199)</f>
        <v/>
      </c>
      <c r="AR199" s="19">
        <f>IF(AND(CONFIG!$B$11="Annual",MONTH(AI199)=7),(AP199+AQ199)*CONFIG!$B$6/12,AR198)</f>
        <v/>
      </c>
      <c r="AS199" s="19">
        <f>MAX(0,AQ199-AR199)</f>
        <v/>
      </c>
      <c r="AT199">
        <f>IF(OR(MONTH(AI199)=3,MONTH(AI199)=6,MONTH(AI199)=9,MONTH(AI199)=12),"Y","N")</f>
        <v/>
      </c>
      <c r="AU199" s="21">
        <f>IF((AP199+AS199)=0,0,AS199/(AP199+AS199))</f>
        <v/>
      </c>
      <c r="AV199">
        <f>IF(AND(AT199="Y",OR(AU199&lt;CONFIG!$B$8,AU199&gt;CONFIG!$B$9)),"Y","N")</f>
        <v/>
      </c>
      <c r="AW199" s="19">
        <f>IF(AV199="Y",(AP199+AS199)*0.8,AP199)</f>
        <v/>
      </c>
      <c r="AX199" s="19">
        <f>IF(AV199="Y",(AP199+AS199)*0.2,AS199)</f>
        <v/>
      </c>
    </row>
    <row r="200">
      <c r="A200" s="18">
        <f>DATA!A200</f>
        <v/>
      </c>
      <c r="B200">
        <f>DATA!B200</f>
        <v/>
      </c>
      <c r="C200" s="19">
        <f>O199</f>
        <v/>
      </c>
      <c r="D200" s="19">
        <f>P199</f>
        <v/>
      </c>
      <c r="E200" s="19">
        <f>C200+D200</f>
        <v/>
      </c>
      <c r="F200" s="20">
        <f>DATA!C200</f>
        <v/>
      </c>
      <c r="G200" s="20">
        <f>DATA!F200</f>
        <v/>
      </c>
      <c r="H200" s="19">
        <f>C200*(1+F200)</f>
        <v/>
      </c>
      <c r="I200" s="19">
        <f>D200*(1+G200)</f>
        <v/>
      </c>
      <c r="J200" s="19">
        <f>IF(AND(CONFIG!$B$11="Annual",MONTH(A200)=7),(H200+I200)*CONFIG!$B$6/12,J199)</f>
        <v/>
      </c>
      <c r="K200" s="19">
        <f>MAX(0,I200-J200)</f>
        <v/>
      </c>
      <c r="L200">
        <f>IF(OR(MONTH(A200)=3,MONTH(A200)=6,MONTH(A200)=9,MONTH(A200)=12),"Y","N")</f>
        <v/>
      </c>
      <c r="M200" s="21">
        <f>IF((H200+K200)=0,0,K200/(H200+K200))</f>
        <v/>
      </c>
      <c r="N200">
        <f>IF(AND(L200="Y",OR(M200&lt;CONFIG!$B$8,M200&gt;CONFIG!$B$9)),"Y","N")</f>
        <v/>
      </c>
      <c r="O200" s="19">
        <f>IF(N200="Y",(H200+K200)*0.8,H200)</f>
        <v/>
      </c>
      <c r="P200" s="19">
        <f>IF(N200="Y",(H200+K200)*0.2,K200)</f>
        <v/>
      </c>
      <c r="R200" s="18">
        <f>DATA!A200</f>
        <v/>
      </c>
      <c r="S200">
        <f>DATA!B200</f>
        <v/>
      </c>
      <c r="T200" s="19">
        <f>AF199</f>
        <v/>
      </c>
      <c r="U200" s="19">
        <f>AG199</f>
        <v/>
      </c>
      <c r="V200" s="19">
        <f>T200+U200</f>
        <v/>
      </c>
      <c r="W200" s="20">
        <f>DATA!D200</f>
        <v/>
      </c>
      <c r="X200" s="20">
        <f>DATA!F200</f>
        <v/>
      </c>
      <c r="Y200" s="19">
        <f>T200*(1+W200)</f>
        <v/>
      </c>
      <c r="Z200" s="19">
        <f>U200*(1+X200)</f>
        <v/>
      </c>
      <c r="AA200" s="19">
        <f>IF(AND(CONFIG!$B$11="Annual",MONTH(R200)=7),(Y200+Z200)*CONFIG!$B$6/12,AA199)</f>
        <v/>
      </c>
      <c r="AB200" s="19">
        <f>MAX(0,Z200-AA200)</f>
        <v/>
      </c>
      <c r="AC200">
        <f>IF(OR(MONTH(R200)=3,MONTH(R200)=6,MONTH(R200)=9,MONTH(R200)=12),"Y","N")</f>
        <v/>
      </c>
      <c r="AD200" s="21">
        <f>IF((Y200+AB200)=0,0,AB200/(Y200+AB200))</f>
        <v/>
      </c>
      <c r="AE200">
        <f>IF(AND(AC200="Y",OR(AD200&lt;CONFIG!$B$8,AD200&gt;CONFIG!$B$9)),"Y","N")</f>
        <v/>
      </c>
      <c r="AF200" s="19">
        <f>IF(AE200="Y",(Y200+AB200)*0.8,Y200)</f>
        <v/>
      </c>
      <c r="AG200" s="19">
        <f>IF(AE200="Y",(Y200+AB200)*0.2,AB200)</f>
        <v/>
      </c>
      <c r="AI200" s="18">
        <f>DATA!A200</f>
        <v/>
      </c>
      <c r="AJ200">
        <f>DATA!B200</f>
        <v/>
      </c>
      <c r="AK200" s="19">
        <f>AW199</f>
        <v/>
      </c>
      <c r="AL200" s="19">
        <f>AX199</f>
        <v/>
      </c>
      <c r="AM200" s="19">
        <f>AK200+AL200</f>
        <v/>
      </c>
      <c r="AN200" s="20">
        <f>DATA!E200</f>
        <v/>
      </c>
      <c r="AO200" s="20">
        <f>DATA!F200</f>
        <v/>
      </c>
      <c r="AP200" s="19">
        <f>AK200*(1+AN200)</f>
        <v/>
      </c>
      <c r="AQ200" s="19">
        <f>AL200*(1+AO200)</f>
        <v/>
      </c>
      <c r="AR200" s="19">
        <f>IF(AND(CONFIG!$B$11="Annual",MONTH(AI200)=7),(AP200+AQ200)*CONFIG!$B$6/12,AR199)</f>
        <v/>
      </c>
      <c r="AS200" s="19">
        <f>MAX(0,AQ200-AR200)</f>
        <v/>
      </c>
      <c r="AT200">
        <f>IF(OR(MONTH(AI200)=3,MONTH(AI200)=6,MONTH(AI200)=9,MONTH(AI200)=12),"Y","N")</f>
        <v/>
      </c>
      <c r="AU200" s="21">
        <f>IF((AP200+AS200)=0,0,AS200/(AP200+AS200))</f>
        <v/>
      </c>
      <c r="AV200">
        <f>IF(AND(AT200="Y",OR(AU200&lt;CONFIG!$B$8,AU200&gt;CONFIG!$B$9)),"Y","N")</f>
        <v/>
      </c>
      <c r="AW200" s="19">
        <f>IF(AV200="Y",(AP200+AS200)*0.8,AP200)</f>
        <v/>
      </c>
      <c r="AX200" s="19">
        <f>IF(AV200="Y",(AP200+AS200)*0.2,AS200)</f>
        <v/>
      </c>
    </row>
    <row r="201">
      <c r="A201" s="18">
        <f>DATA!A201</f>
        <v/>
      </c>
      <c r="B201">
        <f>DATA!B201</f>
        <v/>
      </c>
      <c r="C201" s="19">
        <f>O200</f>
        <v/>
      </c>
      <c r="D201" s="19">
        <f>P200</f>
        <v/>
      </c>
      <c r="E201" s="19">
        <f>C201+D201</f>
        <v/>
      </c>
      <c r="F201" s="20">
        <f>DATA!C201</f>
        <v/>
      </c>
      <c r="G201" s="20">
        <f>DATA!F201</f>
        <v/>
      </c>
      <c r="H201" s="19">
        <f>C201*(1+F201)</f>
        <v/>
      </c>
      <c r="I201" s="19">
        <f>D201*(1+G201)</f>
        <v/>
      </c>
      <c r="J201" s="19">
        <f>IF(AND(CONFIG!$B$11="Annual",MONTH(A201)=7),(H201+I201)*CONFIG!$B$6/12,J200)</f>
        <v/>
      </c>
      <c r="K201" s="19">
        <f>MAX(0,I201-J201)</f>
        <v/>
      </c>
      <c r="L201">
        <f>IF(OR(MONTH(A201)=3,MONTH(A201)=6,MONTH(A201)=9,MONTH(A201)=12),"Y","N")</f>
        <v/>
      </c>
      <c r="M201" s="21">
        <f>IF((H201+K201)=0,0,K201/(H201+K201))</f>
        <v/>
      </c>
      <c r="N201">
        <f>IF(AND(L201="Y",OR(M201&lt;CONFIG!$B$8,M201&gt;CONFIG!$B$9)),"Y","N")</f>
        <v/>
      </c>
      <c r="O201" s="19">
        <f>IF(N201="Y",(H201+K201)*0.8,H201)</f>
        <v/>
      </c>
      <c r="P201" s="19">
        <f>IF(N201="Y",(H201+K201)*0.2,K201)</f>
        <v/>
      </c>
      <c r="R201" s="18">
        <f>DATA!A201</f>
        <v/>
      </c>
      <c r="S201">
        <f>DATA!B201</f>
        <v/>
      </c>
      <c r="T201" s="19">
        <f>AF200</f>
        <v/>
      </c>
      <c r="U201" s="19">
        <f>AG200</f>
        <v/>
      </c>
      <c r="V201" s="19">
        <f>T201+U201</f>
        <v/>
      </c>
      <c r="W201" s="20">
        <f>DATA!D201</f>
        <v/>
      </c>
      <c r="X201" s="20">
        <f>DATA!F201</f>
        <v/>
      </c>
      <c r="Y201" s="19">
        <f>T201*(1+W201)</f>
        <v/>
      </c>
      <c r="Z201" s="19">
        <f>U201*(1+X201)</f>
        <v/>
      </c>
      <c r="AA201" s="19">
        <f>IF(AND(CONFIG!$B$11="Annual",MONTH(R201)=7),(Y201+Z201)*CONFIG!$B$6/12,AA200)</f>
        <v/>
      </c>
      <c r="AB201" s="19">
        <f>MAX(0,Z201-AA201)</f>
        <v/>
      </c>
      <c r="AC201">
        <f>IF(OR(MONTH(R201)=3,MONTH(R201)=6,MONTH(R201)=9,MONTH(R201)=12),"Y","N")</f>
        <v/>
      </c>
      <c r="AD201" s="21">
        <f>IF((Y201+AB201)=0,0,AB201/(Y201+AB201))</f>
        <v/>
      </c>
      <c r="AE201">
        <f>IF(AND(AC201="Y",OR(AD201&lt;CONFIG!$B$8,AD201&gt;CONFIG!$B$9)),"Y","N")</f>
        <v/>
      </c>
      <c r="AF201" s="19">
        <f>IF(AE201="Y",(Y201+AB201)*0.8,Y201)</f>
        <v/>
      </c>
      <c r="AG201" s="19">
        <f>IF(AE201="Y",(Y201+AB201)*0.2,AB201)</f>
        <v/>
      </c>
      <c r="AI201" s="18">
        <f>DATA!A201</f>
        <v/>
      </c>
      <c r="AJ201">
        <f>DATA!B201</f>
        <v/>
      </c>
      <c r="AK201" s="19">
        <f>AW200</f>
        <v/>
      </c>
      <c r="AL201" s="19">
        <f>AX200</f>
        <v/>
      </c>
      <c r="AM201" s="19">
        <f>AK201+AL201</f>
        <v/>
      </c>
      <c r="AN201" s="20">
        <f>DATA!E201</f>
        <v/>
      </c>
      <c r="AO201" s="20">
        <f>DATA!F201</f>
        <v/>
      </c>
      <c r="AP201" s="19">
        <f>AK201*(1+AN201)</f>
        <v/>
      </c>
      <c r="AQ201" s="19">
        <f>AL201*(1+AO201)</f>
        <v/>
      </c>
      <c r="AR201" s="19">
        <f>IF(AND(CONFIG!$B$11="Annual",MONTH(AI201)=7),(AP201+AQ201)*CONFIG!$B$6/12,AR200)</f>
        <v/>
      </c>
      <c r="AS201" s="19">
        <f>MAX(0,AQ201-AR201)</f>
        <v/>
      </c>
      <c r="AT201">
        <f>IF(OR(MONTH(AI201)=3,MONTH(AI201)=6,MONTH(AI201)=9,MONTH(AI201)=12),"Y","N")</f>
        <v/>
      </c>
      <c r="AU201" s="21">
        <f>IF((AP201+AS201)=0,0,AS201/(AP201+AS201))</f>
        <v/>
      </c>
      <c r="AV201">
        <f>IF(AND(AT201="Y",OR(AU201&lt;CONFIG!$B$8,AU201&gt;CONFIG!$B$9)),"Y","N")</f>
        <v/>
      </c>
      <c r="AW201" s="19">
        <f>IF(AV201="Y",(AP201+AS201)*0.8,AP201)</f>
        <v/>
      </c>
      <c r="AX201" s="19">
        <f>IF(AV201="Y",(AP201+AS201)*0.2,AS201)</f>
        <v/>
      </c>
    </row>
    <row r="202">
      <c r="A202" s="18">
        <f>DATA!A202</f>
        <v/>
      </c>
      <c r="B202">
        <f>DATA!B202</f>
        <v/>
      </c>
      <c r="C202" s="19">
        <f>O201</f>
        <v/>
      </c>
      <c r="D202" s="19">
        <f>P201</f>
        <v/>
      </c>
      <c r="E202" s="19">
        <f>C202+D202</f>
        <v/>
      </c>
      <c r="F202" s="20">
        <f>DATA!C202</f>
        <v/>
      </c>
      <c r="G202" s="20">
        <f>DATA!F202</f>
        <v/>
      </c>
      <c r="H202" s="19">
        <f>C202*(1+F202)</f>
        <v/>
      </c>
      <c r="I202" s="19">
        <f>D202*(1+G202)</f>
        <v/>
      </c>
      <c r="J202" s="19">
        <f>IF(AND(CONFIG!$B$11="Annual",MONTH(A202)=7),(H202+I202)*CONFIG!$B$6/12,J201)</f>
        <v/>
      </c>
      <c r="K202" s="19">
        <f>MAX(0,I202-J202)</f>
        <v/>
      </c>
      <c r="L202">
        <f>IF(OR(MONTH(A202)=3,MONTH(A202)=6,MONTH(A202)=9,MONTH(A202)=12),"Y","N")</f>
        <v/>
      </c>
      <c r="M202" s="21">
        <f>IF((H202+K202)=0,0,K202/(H202+K202))</f>
        <v/>
      </c>
      <c r="N202">
        <f>IF(AND(L202="Y",OR(M202&lt;CONFIG!$B$8,M202&gt;CONFIG!$B$9)),"Y","N")</f>
        <v/>
      </c>
      <c r="O202" s="19">
        <f>IF(N202="Y",(H202+K202)*0.8,H202)</f>
        <v/>
      </c>
      <c r="P202" s="19">
        <f>IF(N202="Y",(H202+K202)*0.2,K202)</f>
        <v/>
      </c>
      <c r="R202" s="18">
        <f>DATA!A202</f>
        <v/>
      </c>
      <c r="S202">
        <f>DATA!B202</f>
        <v/>
      </c>
      <c r="T202" s="19">
        <f>AF201</f>
        <v/>
      </c>
      <c r="U202" s="19">
        <f>AG201</f>
        <v/>
      </c>
      <c r="V202" s="19">
        <f>T202+U202</f>
        <v/>
      </c>
      <c r="W202" s="20">
        <f>DATA!D202</f>
        <v/>
      </c>
      <c r="X202" s="20">
        <f>DATA!F202</f>
        <v/>
      </c>
      <c r="Y202" s="19">
        <f>T202*(1+W202)</f>
        <v/>
      </c>
      <c r="Z202" s="19">
        <f>U202*(1+X202)</f>
        <v/>
      </c>
      <c r="AA202" s="19">
        <f>IF(AND(CONFIG!$B$11="Annual",MONTH(R202)=7),(Y202+Z202)*CONFIG!$B$6/12,AA201)</f>
        <v/>
      </c>
      <c r="AB202" s="19">
        <f>MAX(0,Z202-AA202)</f>
        <v/>
      </c>
      <c r="AC202">
        <f>IF(OR(MONTH(R202)=3,MONTH(R202)=6,MONTH(R202)=9,MONTH(R202)=12),"Y","N")</f>
        <v/>
      </c>
      <c r="AD202" s="21">
        <f>IF((Y202+AB202)=0,0,AB202/(Y202+AB202))</f>
        <v/>
      </c>
      <c r="AE202">
        <f>IF(AND(AC202="Y",OR(AD202&lt;CONFIG!$B$8,AD202&gt;CONFIG!$B$9)),"Y","N")</f>
        <v/>
      </c>
      <c r="AF202" s="19">
        <f>IF(AE202="Y",(Y202+AB202)*0.8,Y202)</f>
        <v/>
      </c>
      <c r="AG202" s="19">
        <f>IF(AE202="Y",(Y202+AB202)*0.2,AB202)</f>
        <v/>
      </c>
      <c r="AI202" s="18">
        <f>DATA!A202</f>
        <v/>
      </c>
      <c r="AJ202">
        <f>DATA!B202</f>
        <v/>
      </c>
      <c r="AK202" s="19">
        <f>AW201</f>
        <v/>
      </c>
      <c r="AL202" s="19">
        <f>AX201</f>
        <v/>
      </c>
      <c r="AM202" s="19">
        <f>AK202+AL202</f>
        <v/>
      </c>
      <c r="AN202" s="20">
        <f>DATA!E202</f>
        <v/>
      </c>
      <c r="AO202" s="20">
        <f>DATA!F202</f>
        <v/>
      </c>
      <c r="AP202" s="19">
        <f>AK202*(1+AN202)</f>
        <v/>
      </c>
      <c r="AQ202" s="19">
        <f>AL202*(1+AO202)</f>
        <v/>
      </c>
      <c r="AR202" s="19">
        <f>IF(AND(CONFIG!$B$11="Annual",MONTH(AI202)=7),(AP202+AQ202)*CONFIG!$B$6/12,AR201)</f>
        <v/>
      </c>
      <c r="AS202" s="19">
        <f>MAX(0,AQ202-AR202)</f>
        <v/>
      </c>
      <c r="AT202">
        <f>IF(OR(MONTH(AI202)=3,MONTH(AI202)=6,MONTH(AI202)=9,MONTH(AI202)=12),"Y","N")</f>
        <v/>
      </c>
      <c r="AU202" s="21">
        <f>IF((AP202+AS202)=0,0,AS202/(AP202+AS202))</f>
        <v/>
      </c>
      <c r="AV202">
        <f>IF(AND(AT202="Y",OR(AU202&lt;CONFIG!$B$8,AU202&gt;CONFIG!$B$9)),"Y","N")</f>
        <v/>
      </c>
      <c r="AW202" s="19">
        <f>IF(AV202="Y",(AP202+AS202)*0.8,AP202)</f>
        <v/>
      </c>
      <c r="AX202" s="19">
        <f>IF(AV202="Y",(AP202+AS202)*0.2,AS202)</f>
        <v/>
      </c>
    </row>
    <row r="203">
      <c r="A203" s="18">
        <f>DATA!A203</f>
        <v/>
      </c>
      <c r="B203">
        <f>DATA!B203</f>
        <v/>
      </c>
      <c r="C203" s="19">
        <f>O202</f>
        <v/>
      </c>
      <c r="D203" s="19">
        <f>P202</f>
        <v/>
      </c>
      <c r="E203" s="19">
        <f>C203+D203</f>
        <v/>
      </c>
      <c r="F203" s="20">
        <f>DATA!C203</f>
        <v/>
      </c>
      <c r="G203" s="20">
        <f>DATA!F203</f>
        <v/>
      </c>
      <c r="H203" s="19">
        <f>C203*(1+F203)</f>
        <v/>
      </c>
      <c r="I203" s="19">
        <f>D203*(1+G203)</f>
        <v/>
      </c>
      <c r="J203" s="19">
        <f>IF(AND(CONFIG!$B$11="Annual",MONTH(A203)=7),(H203+I203)*CONFIG!$B$6/12,J202)</f>
        <v/>
      </c>
      <c r="K203" s="19">
        <f>MAX(0,I203-J203)</f>
        <v/>
      </c>
      <c r="L203">
        <f>IF(OR(MONTH(A203)=3,MONTH(A203)=6,MONTH(A203)=9,MONTH(A203)=12),"Y","N")</f>
        <v/>
      </c>
      <c r="M203" s="21">
        <f>IF((H203+K203)=0,0,K203/(H203+K203))</f>
        <v/>
      </c>
      <c r="N203">
        <f>IF(AND(L203="Y",OR(M203&lt;CONFIG!$B$8,M203&gt;CONFIG!$B$9)),"Y","N")</f>
        <v/>
      </c>
      <c r="O203" s="19">
        <f>IF(N203="Y",(H203+K203)*0.8,H203)</f>
        <v/>
      </c>
      <c r="P203" s="19">
        <f>IF(N203="Y",(H203+K203)*0.2,K203)</f>
        <v/>
      </c>
      <c r="R203" s="18">
        <f>DATA!A203</f>
        <v/>
      </c>
      <c r="S203">
        <f>DATA!B203</f>
        <v/>
      </c>
      <c r="T203" s="19">
        <f>AF202</f>
        <v/>
      </c>
      <c r="U203" s="19">
        <f>AG202</f>
        <v/>
      </c>
      <c r="V203" s="19">
        <f>T203+U203</f>
        <v/>
      </c>
      <c r="W203" s="20">
        <f>DATA!D203</f>
        <v/>
      </c>
      <c r="X203" s="20">
        <f>DATA!F203</f>
        <v/>
      </c>
      <c r="Y203" s="19">
        <f>T203*(1+W203)</f>
        <v/>
      </c>
      <c r="Z203" s="19">
        <f>U203*(1+X203)</f>
        <v/>
      </c>
      <c r="AA203" s="19">
        <f>IF(AND(CONFIG!$B$11="Annual",MONTH(R203)=7),(Y203+Z203)*CONFIG!$B$6/12,AA202)</f>
        <v/>
      </c>
      <c r="AB203" s="19">
        <f>MAX(0,Z203-AA203)</f>
        <v/>
      </c>
      <c r="AC203">
        <f>IF(OR(MONTH(R203)=3,MONTH(R203)=6,MONTH(R203)=9,MONTH(R203)=12),"Y","N")</f>
        <v/>
      </c>
      <c r="AD203" s="21">
        <f>IF((Y203+AB203)=0,0,AB203/(Y203+AB203))</f>
        <v/>
      </c>
      <c r="AE203">
        <f>IF(AND(AC203="Y",OR(AD203&lt;CONFIG!$B$8,AD203&gt;CONFIG!$B$9)),"Y","N")</f>
        <v/>
      </c>
      <c r="AF203" s="19">
        <f>IF(AE203="Y",(Y203+AB203)*0.8,Y203)</f>
        <v/>
      </c>
      <c r="AG203" s="19">
        <f>IF(AE203="Y",(Y203+AB203)*0.2,AB203)</f>
        <v/>
      </c>
      <c r="AI203" s="18">
        <f>DATA!A203</f>
        <v/>
      </c>
      <c r="AJ203">
        <f>DATA!B203</f>
        <v/>
      </c>
      <c r="AK203" s="19">
        <f>AW202</f>
        <v/>
      </c>
      <c r="AL203" s="19">
        <f>AX202</f>
        <v/>
      </c>
      <c r="AM203" s="19">
        <f>AK203+AL203</f>
        <v/>
      </c>
      <c r="AN203" s="20">
        <f>DATA!E203</f>
        <v/>
      </c>
      <c r="AO203" s="20">
        <f>DATA!F203</f>
        <v/>
      </c>
      <c r="AP203" s="19">
        <f>AK203*(1+AN203)</f>
        <v/>
      </c>
      <c r="AQ203" s="19">
        <f>AL203*(1+AO203)</f>
        <v/>
      </c>
      <c r="AR203" s="19">
        <f>IF(AND(CONFIG!$B$11="Annual",MONTH(AI203)=7),(AP203+AQ203)*CONFIG!$B$6/12,AR202)</f>
        <v/>
      </c>
      <c r="AS203" s="19">
        <f>MAX(0,AQ203-AR203)</f>
        <v/>
      </c>
      <c r="AT203">
        <f>IF(OR(MONTH(AI203)=3,MONTH(AI203)=6,MONTH(AI203)=9,MONTH(AI203)=12),"Y","N")</f>
        <v/>
      </c>
      <c r="AU203" s="21">
        <f>IF((AP203+AS203)=0,0,AS203/(AP203+AS203))</f>
        <v/>
      </c>
      <c r="AV203">
        <f>IF(AND(AT203="Y",OR(AU203&lt;CONFIG!$B$8,AU203&gt;CONFIG!$B$9)),"Y","N")</f>
        <v/>
      </c>
      <c r="AW203" s="19">
        <f>IF(AV203="Y",(AP203+AS203)*0.8,AP203)</f>
        <v/>
      </c>
      <c r="AX203" s="19">
        <f>IF(AV203="Y",(AP203+AS203)*0.2,AS203)</f>
        <v/>
      </c>
    </row>
    <row r="204">
      <c r="A204" s="18">
        <f>DATA!A204</f>
        <v/>
      </c>
      <c r="B204">
        <f>DATA!B204</f>
        <v/>
      </c>
      <c r="C204" s="19">
        <f>O203</f>
        <v/>
      </c>
      <c r="D204" s="19">
        <f>P203</f>
        <v/>
      </c>
      <c r="E204" s="19">
        <f>C204+D204</f>
        <v/>
      </c>
      <c r="F204" s="20">
        <f>DATA!C204</f>
        <v/>
      </c>
      <c r="G204" s="20">
        <f>DATA!F204</f>
        <v/>
      </c>
      <c r="H204" s="19">
        <f>C204*(1+F204)</f>
        <v/>
      </c>
      <c r="I204" s="19">
        <f>D204*(1+G204)</f>
        <v/>
      </c>
      <c r="J204" s="19">
        <f>IF(AND(CONFIG!$B$11="Annual",MONTH(A204)=7),(H204+I204)*CONFIG!$B$6/12,J203)</f>
        <v/>
      </c>
      <c r="K204" s="19">
        <f>MAX(0,I204-J204)</f>
        <v/>
      </c>
      <c r="L204">
        <f>IF(OR(MONTH(A204)=3,MONTH(A204)=6,MONTH(A204)=9,MONTH(A204)=12),"Y","N")</f>
        <v/>
      </c>
      <c r="M204" s="21">
        <f>IF((H204+K204)=0,0,K204/(H204+K204))</f>
        <v/>
      </c>
      <c r="N204">
        <f>IF(AND(L204="Y",OR(M204&lt;CONFIG!$B$8,M204&gt;CONFIG!$B$9)),"Y","N")</f>
        <v/>
      </c>
      <c r="O204" s="19">
        <f>IF(N204="Y",(H204+K204)*0.8,H204)</f>
        <v/>
      </c>
      <c r="P204" s="19">
        <f>IF(N204="Y",(H204+K204)*0.2,K204)</f>
        <v/>
      </c>
      <c r="R204" s="18">
        <f>DATA!A204</f>
        <v/>
      </c>
      <c r="S204">
        <f>DATA!B204</f>
        <v/>
      </c>
      <c r="T204" s="19">
        <f>AF203</f>
        <v/>
      </c>
      <c r="U204" s="19">
        <f>AG203</f>
        <v/>
      </c>
      <c r="V204" s="19">
        <f>T204+U204</f>
        <v/>
      </c>
      <c r="W204" s="20">
        <f>DATA!D204</f>
        <v/>
      </c>
      <c r="X204" s="20">
        <f>DATA!F204</f>
        <v/>
      </c>
      <c r="Y204" s="19">
        <f>T204*(1+W204)</f>
        <v/>
      </c>
      <c r="Z204" s="19">
        <f>U204*(1+X204)</f>
        <v/>
      </c>
      <c r="AA204" s="19">
        <f>IF(AND(CONFIG!$B$11="Annual",MONTH(R204)=7),(Y204+Z204)*CONFIG!$B$6/12,AA203)</f>
        <v/>
      </c>
      <c r="AB204" s="19">
        <f>MAX(0,Z204-AA204)</f>
        <v/>
      </c>
      <c r="AC204">
        <f>IF(OR(MONTH(R204)=3,MONTH(R204)=6,MONTH(R204)=9,MONTH(R204)=12),"Y","N")</f>
        <v/>
      </c>
      <c r="AD204" s="21">
        <f>IF((Y204+AB204)=0,0,AB204/(Y204+AB204))</f>
        <v/>
      </c>
      <c r="AE204">
        <f>IF(AND(AC204="Y",OR(AD204&lt;CONFIG!$B$8,AD204&gt;CONFIG!$B$9)),"Y","N")</f>
        <v/>
      </c>
      <c r="AF204" s="19">
        <f>IF(AE204="Y",(Y204+AB204)*0.8,Y204)</f>
        <v/>
      </c>
      <c r="AG204" s="19">
        <f>IF(AE204="Y",(Y204+AB204)*0.2,AB204)</f>
        <v/>
      </c>
      <c r="AI204" s="18">
        <f>DATA!A204</f>
        <v/>
      </c>
      <c r="AJ204">
        <f>DATA!B204</f>
        <v/>
      </c>
      <c r="AK204" s="19">
        <f>AW203</f>
        <v/>
      </c>
      <c r="AL204" s="19">
        <f>AX203</f>
        <v/>
      </c>
      <c r="AM204" s="19">
        <f>AK204+AL204</f>
        <v/>
      </c>
      <c r="AN204" s="20">
        <f>DATA!E204</f>
        <v/>
      </c>
      <c r="AO204" s="20">
        <f>DATA!F204</f>
        <v/>
      </c>
      <c r="AP204" s="19">
        <f>AK204*(1+AN204)</f>
        <v/>
      </c>
      <c r="AQ204" s="19">
        <f>AL204*(1+AO204)</f>
        <v/>
      </c>
      <c r="AR204" s="19">
        <f>IF(AND(CONFIG!$B$11="Annual",MONTH(AI204)=7),(AP204+AQ204)*CONFIG!$B$6/12,AR203)</f>
        <v/>
      </c>
      <c r="AS204" s="19">
        <f>MAX(0,AQ204-AR204)</f>
        <v/>
      </c>
      <c r="AT204">
        <f>IF(OR(MONTH(AI204)=3,MONTH(AI204)=6,MONTH(AI204)=9,MONTH(AI204)=12),"Y","N")</f>
        <v/>
      </c>
      <c r="AU204" s="21">
        <f>IF((AP204+AS204)=0,0,AS204/(AP204+AS204))</f>
        <v/>
      </c>
      <c r="AV204">
        <f>IF(AND(AT204="Y",OR(AU204&lt;CONFIG!$B$8,AU204&gt;CONFIG!$B$9)),"Y","N")</f>
        <v/>
      </c>
      <c r="AW204" s="19">
        <f>IF(AV204="Y",(AP204+AS204)*0.8,AP204)</f>
        <v/>
      </c>
      <c r="AX204" s="19">
        <f>IF(AV204="Y",(AP204+AS204)*0.2,AS204)</f>
        <v/>
      </c>
    </row>
    <row r="205">
      <c r="A205" s="18">
        <f>DATA!A205</f>
        <v/>
      </c>
      <c r="B205">
        <f>DATA!B205</f>
        <v/>
      </c>
      <c r="C205" s="19">
        <f>O204</f>
        <v/>
      </c>
      <c r="D205" s="19">
        <f>P204</f>
        <v/>
      </c>
      <c r="E205" s="19">
        <f>C205+D205</f>
        <v/>
      </c>
      <c r="F205" s="20">
        <f>DATA!C205</f>
        <v/>
      </c>
      <c r="G205" s="20">
        <f>DATA!F205</f>
        <v/>
      </c>
      <c r="H205" s="19">
        <f>C205*(1+F205)</f>
        <v/>
      </c>
      <c r="I205" s="19">
        <f>D205*(1+G205)</f>
        <v/>
      </c>
      <c r="J205" s="19">
        <f>IF(AND(CONFIG!$B$11="Annual",MONTH(A205)=7),(H205+I205)*CONFIG!$B$6/12,J204)</f>
        <v/>
      </c>
      <c r="K205" s="19">
        <f>MAX(0,I205-J205)</f>
        <v/>
      </c>
      <c r="L205">
        <f>IF(OR(MONTH(A205)=3,MONTH(A205)=6,MONTH(A205)=9,MONTH(A205)=12),"Y","N")</f>
        <v/>
      </c>
      <c r="M205" s="21">
        <f>IF((H205+K205)=0,0,K205/(H205+K205))</f>
        <v/>
      </c>
      <c r="N205">
        <f>IF(AND(L205="Y",OR(M205&lt;CONFIG!$B$8,M205&gt;CONFIG!$B$9)),"Y","N")</f>
        <v/>
      </c>
      <c r="O205" s="19">
        <f>IF(N205="Y",(H205+K205)*0.8,H205)</f>
        <v/>
      </c>
      <c r="P205" s="19">
        <f>IF(N205="Y",(H205+K205)*0.2,K205)</f>
        <v/>
      </c>
      <c r="R205" s="18">
        <f>DATA!A205</f>
        <v/>
      </c>
      <c r="S205">
        <f>DATA!B205</f>
        <v/>
      </c>
      <c r="T205" s="19">
        <f>AF204</f>
        <v/>
      </c>
      <c r="U205" s="19">
        <f>AG204</f>
        <v/>
      </c>
      <c r="V205" s="19">
        <f>T205+U205</f>
        <v/>
      </c>
      <c r="W205" s="20">
        <f>DATA!D205</f>
        <v/>
      </c>
      <c r="X205" s="20">
        <f>DATA!F205</f>
        <v/>
      </c>
      <c r="Y205" s="19">
        <f>T205*(1+W205)</f>
        <v/>
      </c>
      <c r="Z205" s="19">
        <f>U205*(1+X205)</f>
        <v/>
      </c>
      <c r="AA205" s="19">
        <f>IF(AND(CONFIG!$B$11="Annual",MONTH(R205)=7),(Y205+Z205)*CONFIG!$B$6/12,AA204)</f>
        <v/>
      </c>
      <c r="AB205" s="19">
        <f>MAX(0,Z205-AA205)</f>
        <v/>
      </c>
      <c r="AC205">
        <f>IF(OR(MONTH(R205)=3,MONTH(R205)=6,MONTH(R205)=9,MONTH(R205)=12),"Y","N")</f>
        <v/>
      </c>
      <c r="AD205" s="21">
        <f>IF((Y205+AB205)=0,0,AB205/(Y205+AB205))</f>
        <v/>
      </c>
      <c r="AE205">
        <f>IF(AND(AC205="Y",OR(AD205&lt;CONFIG!$B$8,AD205&gt;CONFIG!$B$9)),"Y","N")</f>
        <v/>
      </c>
      <c r="AF205" s="19">
        <f>IF(AE205="Y",(Y205+AB205)*0.8,Y205)</f>
        <v/>
      </c>
      <c r="AG205" s="19">
        <f>IF(AE205="Y",(Y205+AB205)*0.2,AB205)</f>
        <v/>
      </c>
      <c r="AI205" s="18">
        <f>DATA!A205</f>
        <v/>
      </c>
      <c r="AJ205">
        <f>DATA!B205</f>
        <v/>
      </c>
      <c r="AK205" s="19">
        <f>AW204</f>
        <v/>
      </c>
      <c r="AL205" s="19">
        <f>AX204</f>
        <v/>
      </c>
      <c r="AM205" s="19">
        <f>AK205+AL205</f>
        <v/>
      </c>
      <c r="AN205" s="20">
        <f>DATA!E205</f>
        <v/>
      </c>
      <c r="AO205" s="20">
        <f>DATA!F205</f>
        <v/>
      </c>
      <c r="AP205" s="19">
        <f>AK205*(1+AN205)</f>
        <v/>
      </c>
      <c r="AQ205" s="19">
        <f>AL205*(1+AO205)</f>
        <v/>
      </c>
      <c r="AR205" s="19">
        <f>IF(AND(CONFIG!$B$11="Annual",MONTH(AI205)=7),(AP205+AQ205)*CONFIG!$B$6/12,AR204)</f>
        <v/>
      </c>
      <c r="AS205" s="19">
        <f>MAX(0,AQ205-AR205)</f>
        <v/>
      </c>
      <c r="AT205">
        <f>IF(OR(MONTH(AI205)=3,MONTH(AI205)=6,MONTH(AI205)=9,MONTH(AI205)=12),"Y","N")</f>
        <v/>
      </c>
      <c r="AU205" s="21">
        <f>IF((AP205+AS205)=0,0,AS205/(AP205+AS205))</f>
        <v/>
      </c>
      <c r="AV205">
        <f>IF(AND(AT205="Y",OR(AU205&lt;CONFIG!$B$8,AU205&gt;CONFIG!$B$9)),"Y","N")</f>
        <v/>
      </c>
      <c r="AW205" s="19">
        <f>IF(AV205="Y",(AP205+AS205)*0.8,AP205)</f>
        <v/>
      </c>
      <c r="AX205" s="19">
        <f>IF(AV205="Y",(AP205+AS205)*0.2,AS205)</f>
        <v/>
      </c>
    </row>
    <row r="206">
      <c r="A206" s="18">
        <f>DATA!A206</f>
        <v/>
      </c>
      <c r="B206">
        <f>DATA!B206</f>
        <v/>
      </c>
      <c r="C206" s="19">
        <f>O205</f>
        <v/>
      </c>
      <c r="D206" s="19">
        <f>P205</f>
        <v/>
      </c>
      <c r="E206" s="19">
        <f>C206+D206</f>
        <v/>
      </c>
      <c r="F206" s="20">
        <f>DATA!C206</f>
        <v/>
      </c>
      <c r="G206" s="20">
        <f>DATA!F206</f>
        <v/>
      </c>
      <c r="H206" s="19">
        <f>C206*(1+F206)</f>
        <v/>
      </c>
      <c r="I206" s="19">
        <f>D206*(1+G206)</f>
        <v/>
      </c>
      <c r="J206" s="19">
        <f>IF(AND(CONFIG!$B$11="Annual",MONTH(A206)=7),(H206+I206)*CONFIG!$B$6/12,J205)</f>
        <v/>
      </c>
      <c r="K206" s="19">
        <f>MAX(0,I206-J206)</f>
        <v/>
      </c>
      <c r="L206">
        <f>IF(OR(MONTH(A206)=3,MONTH(A206)=6,MONTH(A206)=9,MONTH(A206)=12),"Y","N")</f>
        <v/>
      </c>
      <c r="M206" s="21">
        <f>IF((H206+K206)=0,0,K206/(H206+K206))</f>
        <v/>
      </c>
      <c r="N206">
        <f>IF(AND(L206="Y",OR(M206&lt;CONFIG!$B$8,M206&gt;CONFIG!$B$9)),"Y","N")</f>
        <v/>
      </c>
      <c r="O206" s="19">
        <f>IF(N206="Y",(H206+K206)*0.8,H206)</f>
        <v/>
      </c>
      <c r="P206" s="19">
        <f>IF(N206="Y",(H206+K206)*0.2,K206)</f>
        <v/>
      </c>
      <c r="R206" s="18">
        <f>DATA!A206</f>
        <v/>
      </c>
      <c r="S206">
        <f>DATA!B206</f>
        <v/>
      </c>
      <c r="T206" s="19">
        <f>AF205</f>
        <v/>
      </c>
      <c r="U206" s="19">
        <f>AG205</f>
        <v/>
      </c>
      <c r="V206" s="19">
        <f>T206+U206</f>
        <v/>
      </c>
      <c r="W206" s="20">
        <f>DATA!D206</f>
        <v/>
      </c>
      <c r="X206" s="20">
        <f>DATA!F206</f>
        <v/>
      </c>
      <c r="Y206" s="19">
        <f>T206*(1+W206)</f>
        <v/>
      </c>
      <c r="Z206" s="19">
        <f>U206*(1+X206)</f>
        <v/>
      </c>
      <c r="AA206" s="19">
        <f>IF(AND(CONFIG!$B$11="Annual",MONTH(R206)=7),(Y206+Z206)*CONFIG!$B$6/12,AA205)</f>
        <v/>
      </c>
      <c r="AB206" s="19">
        <f>MAX(0,Z206-AA206)</f>
        <v/>
      </c>
      <c r="AC206">
        <f>IF(OR(MONTH(R206)=3,MONTH(R206)=6,MONTH(R206)=9,MONTH(R206)=12),"Y","N")</f>
        <v/>
      </c>
      <c r="AD206" s="21">
        <f>IF((Y206+AB206)=0,0,AB206/(Y206+AB206))</f>
        <v/>
      </c>
      <c r="AE206">
        <f>IF(AND(AC206="Y",OR(AD206&lt;CONFIG!$B$8,AD206&gt;CONFIG!$B$9)),"Y","N")</f>
        <v/>
      </c>
      <c r="AF206" s="19">
        <f>IF(AE206="Y",(Y206+AB206)*0.8,Y206)</f>
        <v/>
      </c>
      <c r="AG206" s="19">
        <f>IF(AE206="Y",(Y206+AB206)*0.2,AB206)</f>
        <v/>
      </c>
      <c r="AI206" s="18">
        <f>DATA!A206</f>
        <v/>
      </c>
      <c r="AJ206">
        <f>DATA!B206</f>
        <v/>
      </c>
      <c r="AK206" s="19">
        <f>AW205</f>
        <v/>
      </c>
      <c r="AL206" s="19">
        <f>AX205</f>
        <v/>
      </c>
      <c r="AM206" s="19">
        <f>AK206+AL206</f>
        <v/>
      </c>
      <c r="AN206" s="20">
        <f>DATA!E206</f>
        <v/>
      </c>
      <c r="AO206" s="20">
        <f>DATA!F206</f>
        <v/>
      </c>
      <c r="AP206" s="19">
        <f>AK206*(1+AN206)</f>
        <v/>
      </c>
      <c r="AQ206" s="19">
        <f>AL206*(1+AO206)</f>
        <v/>
      </c>
      <c r="AR206" s="19">
        <f>IF(AND(CONFIG!$B$11="Annual",MONTH(AI206)=7),(AP206+AQ206)*CONFIG!$B$6/12,AR205)</f>
        <v/>
      </c>
      <c r="AS206" s="19">
        <f>MAX(0,AQ206-AR206)</f>
        <v/>
      </c>
      <c r="AT206">
        <f>IF(OR(MONTH(AI206)=3,MONTH(AI206)=6,MONTH(AI206)=9,MONTH(AI206)=12),"Y","N")</f>
        <v/>
      </c>
      <c r="AU206" s="21">
        <f>IF((AP206+AS206)=0,0,AS206/(AP206+AS206))</f>
        <v/>
      </c>
      <c r="AV206">
        <f>IF(AND(AT206="Y",OR(AU206&lt;CONFIG!$B$8,AU206&gt;CONFIG!$B$9)),"Y","N")</f>
        <v/>
      </c>
      <c r="AW206" s="19">
        <f>IF(AV206="Y",(AP206+AS206)*0.8,AP206)</f>
        <v/>
      </c>
      <c r="AX206" s="19">
        <f>IF(AV206="Y",(AP206+AS206)*0.2,AS206)</f>
        <v/>
      </c>
    </row>
    <row r="207">
      <c r="A207" s="18">
        <f>DATA!A207</f>
        <v/>
      </c>
      <c r="B207">
        <f>DATA!B207</f>
        <v/>
      </c>
      <c r="C207" s="19">
        <f>O206</f>
        <v/>
      </c>
      <c r="D207" s="19">
        <f>P206</f>
        <v/>
      </c>
      <c r="E207" s="19">
        <f>C207+D207</f>
        <v/>
      </c>
      <c r="F207" s="20">
        <f>DATA!C207</f>
        <v/>
      </c>
      <c r="G207" s="20">
        <f>DATA!F207</f>
        <v/>
      </c>
      <c r="H207" s="19">
        <f>C207*(1+F207)</f>
        <v/>
      </c>
      <c r="I207" s="19">
        <f>D207*(1+G207)</f>
        <v/>
      </c>
      <c r="J207" s="19">
        <f>IF(AND(CONFIG!$B$11="Annual",MONTH(A207)=7),(H207+I207)*CONFIG!$B$6/12,J206)</f>
        <v/>
      </c>
      <c r="K207" s="19">
        <f>MAX(0,I207-J207)</f>
        <v/>
      </c>
      <c r="L207">
        <f>IF(OR(MONTH(A207)=3,MONTH(A207)=6,MONTH(A207)=9,MONTH(A207)=12),"Y","N")</f>
        <v/>
      </c>
      <c r="M207" s="21">
        <f>IF((H207+K207)=0,0,K207/(H207+K207))</f>
        <v/>
      </c>
      <c r="N207">
        <f>IF(AND(L207="Y",OR(M207&lt;CONFIG!$B$8,M207&gt;CONFIG!$B$9)),"Y","N")</f>
        <v/>
      </c>
      <c r="O207" s="19">
        <f>IF(N207="Y",(H207+K207)*0.8,H207)</f>
        <v/>
      </c>
      <c r="P207" s="19">
        <f>IF(N207="Y",(H207+K207)*0.2,K207)</f>
        <v/>
      </c>
      <c r="R207" s="18">
        <f>DATA!A207</f>
        <v/>
      </c>
      <c r="S207">
        <f>DATA!B207</f>
        <v/>
      </c>
      <c r="T207" s="19">
        <f>AF206</f>
        <v/>
      </c>
      <c r="U207" s="19">
        <f>AG206</f>
        <v/>
      </c>
      <c r="V207" s="19">
        <f>T207+U207</f>
        <v/>
      </c>
      <c r="W207" s="20">
        <f>DATA!D207</f>
        <v/>
      </c>
      <c r="X207" s="20">
        <f>DATA!F207</f>
        <v/>
      </c>
      <c r="Y207" s="19">
        <f>T207*(1+W207)</f>
        <v/>
      </c>
      <c r="Z207" s="19">
        <f>U207*(1+X207)</f>
        <v/>
      </c>
      <c r="AA207" s="19">
        <f>IF(AND(CONFIG!$B$11="Annual",MONTH(R207)=7),(Y207+Z207)*CONFIG!$B$6/12,AA206)</f>
        <v/>
      </c>
      <c r="AB207" s="19">
        <f>MAX(0,Z207-AA207)</f>
        <v/>
      </c>
      <c r="AC207">
        <f>IF(OR(MONTH(R207)=3,MONTH(R207)=6,MONTH(R207)=9,MONTH(R207)=12),"Y","N")</f>
        <v/>
      </c>
      <c r="AD207" s="21">
        <f>IF((Y207+AB207)=0,0,AB207/(Y207+AB207))</f>
        <v/>
      </c>
      <c r="AE207">
        <f>IF(AND(AC207="Y",OR(AD207&lt;CONFIG!$B$8,AD207&gt;CONFIG!$B$9)),"Y","N")</f>
        <v/>
      </c>
      <c r="AF207" s="19">
        <f>IF(AE207="Y",(Y207+AB207)*0.8,Y207)</f>
        <v/>
      </c>
      <c r="AG207" s="19">
        <f>IF(AE207="Y",(Y207+AB207)*0.2,AB207)</f>
        <v/>
      </c>
      <c r="AI207" s="18">
        <f>DATA!A207</f>
        <v/>
      </c>
      <c r="AJ207">
        <f>DATA!B207</f>
        <v/>
      </c>
      <c r="AK207" s="19">
        <f>AW206</f>
        <v/>
      </c>
      <c r="AL207" s="19">
        <f>AX206</f>
        <v/>
      </c>
      <c r="AM207" s="19">
        <f>AK207+AL207</f>
        <v/>
      </c>
      <c r="AN207" s="20">
        <f>DATA!E207</f>
        <v/>
      </c>
      <c r="AO207" s="20">
        <f>DATA!F207</f>
        <v/>
      </c>
      <c r="AP207" s="19">
        <f>AK207*(1+AN207)</f>
        <v/>
      </c>
      <c r="AQ207" s="19">
        <f>AL207*(1+AO207)</f>
        <v/>
      </c>
      <c r="AR207" s="19">
        <f>IF(AND(CONFIG!$B$11="Annual",MONTH(AI207)=7),(AP207+AQ207)*CONFIG!$B$6/12,AR206)</f>
        <v/>
      </c>
      <c r="AS207" s="19">
        <f>MAX(0,AQ207-AR207)</f>
        <v/>
      </c>
      <c r="AT207">
        <f>IF(OR(MONTH(AI207)=3,MONTH(AI207)=6,MONTH(AI207)=9,MONTH(AI207)=12),"Y","N")</f>
        <v/>
      </c>
      <c r="AU207" s="21">
        <f>IF((AP207+AS207)=0,0,AS207/(AP207+AS207))</f>
        <v/>
      </c>
      <c r="AV207">
        <f>IF(AND(AT207="Y",OR(AU207&lt;CONFIG!$B$8,AU207&gt;CONFIG!$B$9)),"Y","N")</f>
        <v/>
      </c>
      <c r="AW207" s="19">
        <f>IF(AV207="Y",(AP207+AS207)*0.8,AP207)</f>
        <v/>
      </c>
      <c r="AX207" s="19">
        <f>IF(AV207="Y",(AP207+AS207)*0.2,AS207)</f>
        <v/>
      </c>
    </row>
    <row r="208">
      <c r="A208" s="18">
        <f>DATA!A208</f>
        <v/>
      </c>
      <c r="B208">
        <f>DATA!B208</f>
        <v/>
      </c>
      <c r="C208" s="19">
        <f>O207</f>
        <v/>
      </c>
      <c r="D208" s="19">
        <f>P207</f>
        <v/>
      </c>
      <c r="E208" s="19">
        <f>C208+D208</f>
        <v/>
      </c>
      <c r="F208" s="20">
        <f>DATA!C208</f>
        <v/>
      </c>
      <c r="G208" s="20">
        <f>DATA!F208</f>
        <v/>
      </c>
      <c r="H208" s="19">
        <f>C208*(1+F208)</f>
        <v/>
      </c>
      <c r="I208" s="19">
        <f>D208*(1+G208)</f>
        <v/>
      </c>
      <c r="J208" s="19">
        <f>IF(AND(CONFIG!$B$11="Annual",MONTH(A208)=7),(H208+I208)*CONFIG!$B$6/12,J207)</f>
        <v/>
      </c>
      <c r="K208" s="19">
        <f>MAX(0,I208-J208)</f>
        <v/>
      </c>
      <c r="L208">
        <f>IF(OR(MONTH(A208)=3,MONTH(A208)=6,MONTH(A208)=9,MONTH(A208)=12),"Y","N")</f>
        <v/>
      </c>
      <c r="M208" s="21">
        <f>IF((H208+K208)=0,0,K208/(H208+K208))</f>
        <v/>
      </c>
      <c r="N208">
        <f>IF(AND(L208="Y",OR(M208&lt;CONFIG!$B$8,M208&gt;CONFIG!$B$9)),"Y","N")</f>
        <v/>
      </c>
      <c r="O208" s="19">
        <f>IF(N208="Y",(H208+K208)*0.8,H208)</f>
        <v/>
      </c>
      <c r="P208" s="19">
        <f>IF(N208="Y",(H208+K208)*0.2,K208)</f>
        <v/>
      </c>
      <c r="R208" s="18">
        <f>DATA!A208</f>
        <v/>
      </c>
      <c r="S208">
        <f>DATA!B208</f>
        <v/>
      </c>
      <c r="T208" s="19">
        <f>AF207</f>
        <v/>
      </c>
      <c r="U208" s="19">
        <f>AG207</f>
        <v/>
      </c>
      <c r="V208" s="19">
        <f>T208+U208</f>
        <v/>
      </c>
      <c r="W208" s="20">
        <f>DATA!D208</f>
        <v/>
      </c>
      <c r="X208" s="20">
        <f>DATA!F208</f>
        <v/>
      </c>
      <c r="Y208" s="19">
        <f>T208*(1+W208)</f>
        <v/>
      </c>
      <c r="Z208" s="19">
        <f>U208*(1+X208)</f>
        <v/>
      </c>
      <c r="AA208" s="19">
        <f>IF(AND(CONFIG!$B$11="Annual",MONTH(R208)=7),(Y208+Z208)*CONFIG!$B$6/12,AA207)</f>
        <v/>
      </c>
      <c r="AB208" s="19">
        <f>MAX(0,Z208-AA208)</f>
        <v/>
      </c>
      <c r="AC208">
        <f>IF(OR(MONTH(R208)=3,MONTH(R208)=6,MONTH(R208)=9,MONTH(R208)=12),"Y","N")</f>
        <v/>
      </c>
      <c r="AD208" s="21">
        <f>IF((Y208+AB208)=0,0,AB208/(Y208+AB208))</f>
        <v/>
      </c>
      <c r="AE208">
        <f>IF(AND(AC208="Y",OR(AD208&lt;CONFIG!$B$8,AD208&gt;CONFIG!$B$9)),"Y","N")</f>
        <v/>
      </c>
      <c r="AF208" s="19">
        <f>IF(AE208="Y",(Y208+AB208)*0.8,Y208)</f>
        <v/>
      </c>
      <c r="AG208" s="19">
        <f>IF(AE208="Y",(Y208+AB208)*0.2,AB208)</f>
        <v/>
      </c>
      <c r="AI208" s="18">
        <f>DATA!A208</f>
        <v/>
      </c>
      <c r="AJ208">
        <f>DATA!B208</f>
        <v/>
      </c>
      <c r="AK208" s="19">
        <f>AW207</f>
        <v/>
      </c>
      <c r="AL208" s="19">
        <f>AX207</f>
        <v/>
      </c>
      <c r="AM208" s="19">
        <f>AK208+AL208</f>
        <v/>
      </c>
      <c r="AN208" s="20">
        <f>DATA!E208</f>
        <v/>
      </c>
      <c r="AO208" s="20">
        <f>DATA!F208</f>
        <v/>
      </c>
      <c r="AP208" s="19">
        <f>AK208*(1+AN208)</f>
        <v/>
      </c>
      <c r="AQ208" s="19">
        <f>AL208*(1+AO208)</f>
        <v/>
      </c>
      <c r="AR208" s="19">
        <f>IF(AND(CONFIG!$B$11="Annual",MONTH(AI208)=7),(AP208+AQ208)*CONFIG!$B$6/12,AR207)</f>
        <v/>
      </c>
      <c r="AS208" s="19">
        <f>MAX(0,AQ208-AR208)</f>
        <v/>
      </c>
      <c r="AT208">
        <f>IF(OR(MONTH(AI208)=3,MONTH(AI208)=6,MONTH(AI208)=9,MONTH(AI208)=12),"Y","N")</f>
        <v/>
      </c>
      <c r="AU208" s="21">
        <f>IF((AP208+AS208)=0,0,AS208/(AP208+AS208))</f>
        <v/>
      </c>
      <c r="AV208">
        <f>IF(AND(AT208="Y",OR(AU208&lt;CONFIG!$B$8,AU208&gt;CONFIG!$B$9)),"Y","N")</f>
        <v/>
      </c>
      <c r="AW208" s="19">
        <f>IF(AV208="Y",(AP208+AS208)*0.8,AP208)</f>
        <v/>
      </c>
      <c r="AX208" s="19">
        <f>IF(AV208="Y",(AP208+AS208)*0.2,AS208)</f>
        <v/>
      </c>
    </row>
    <row r="209">
      <c r="A209" s="18">
        <f>DATA!A209</f>
        <v/>
      </c>
      <c r="B209">
        <f>DATA!B209</f>
        <v/>
      </c>
      <c r="C209" s="19">
        <f>O208</f>
        <v/>
      </c>
      <c r="D209" s="19">
        <f>P208</f>
        <v/>
      </c>
      <c r="E209" s="19">
        <f>C209+D209</f>
        <v/>
      </c>
      <c r="F209" s="20">
        <f>DATA!C209</f>
        <v/>
      </c>
      <c r="G209" s="20">
        <f>DATA!F209</f>
        <v/>
      </c>
      <c r="H209" s="19">
        <f>C209*(1+F209)</f>
        <v/>
      </c>
      <c r="I209" s="19">
        <f>D209*(1+G209)</f>
        <v/>
      </c>
      <c r="J209" s="19">
        <f>IF(AND(CONFIG!$B$11="Annual",MONTH(A209)=7),(H209+I209)*CONFIG!$B$6/12,J208)</f>
        <v/>
      </c>
      <c r="K209" s="19">
        <f>MAX(0,I209-J209)</f>
        <v/>
      </c>
      <c r="L209">
        <f>IF(OR(MONTH(A209)=3,MONTH(A209)=6,MONTH(A209)=9,MONTH(A209)=12),"Y","N")</f>
        <v/>
      </c>
      <c r="M209" s="21">
        <f>IF((H209+K209)=0,0,K209/(H209+K209))</f>
        <v/>
      </c>
      <c r="N209">
        <f>IF(AND(L209="Y",OR(M209&lt;CONFIG!$B$8,M209&gt;CONFIG!$B$9)),"Y","N")</f>
        <v/>
      </c>
      <c r="O209" s="19">
        <f>IF(N209="Y",(H209+K209)*0.8,H209)</f>
        <v/>
      </c>
      <c r="P209" s="19">
        <f>IF(N209="Y",(H209+K209)*0.2,K209)</f>
        <v/>
      </c>
      <c r="R209" s="18">
        <f>DATA!A209</f>
        <v/>
      </c>
      <c r="S209">
        <f>DATA!B209</f>
        <v/>
      </c>
      <c r="T209" s="19">
        <f>AF208</f>
        <v/>
      </c>
      <c r="U209" s="19">
        <f>AG208</f>
        <v/>
      </c>
      <c r="V209" s="19">
        <f>T209+U209</f>
        <v/>
      </c>
      <c r="W209" s="20">
        <f>DATA!D209</f>
        <v/>
      </c>
      <c r="X209" s="20">
        <f>DATA!F209</f>
        <v/>
      </c>
      <c r="Y209" s="19">
        <f>T209*(1+W209)</f>
        <v/>
      </c>
      <c r="Z209" s="19">
        <f>U209*(1+X209)</f>
        <v/>
      </c>
      <c r="AA209" s="19">
        <f>IF(AND(CONFIG!$B$11="Annual",MONTH(R209)=7),(Y209+Z209)*CONFIG!$B$6/12,AA208)</f>
        <v/>
      </c>
      <c r="AB209" s="19">
        <f>MAX(0,Z209-AA209)</f>
        <v/>
      </c>
      <c r="AC209">
        <f>IF(OR(MONTH(R209)=3,MONTH(R209)=6,MONTH(R209)=9,MONTH(R209)=12),"Y","N")</f>
        <v/>
      </c>
      <c r="AD209" s="21">
        <f>IF((Y209+AB209)=0,0,AB209/(Y209+AB209))</f>
        <v/>
      </c>
      <c r="AE209">
        <f>IF(AND(AC209="Y",OR(AD209&lt;CONFIG!$B$8,AD209&gt;CONFIG!$B$9)),"Y","N")</f>
        <v/>
      </c>
      <c r="AF209" s="19">
        <f>IF(AE209="Y",(Y209+AB209)*0.8,Y209)</f>
        <v/>
      </c>
      <c r="AG209" s="19">
        <f>IF(AE209="Y",(Y209+AB209)*0.2,AB209)</f>
        <v/>
      </c>
      <c r="AI209" s="18">
        <f>DATA!A209</f>
        <v/>
      </c>
      <c r="AJ209">
        <f>DATA!B209</f>
        <v/>
      </c>
      <c r="AK209" s="19">
        <f>AW208</f>
        <v/>
      </c>
      <c r="AL209" s="19">
        <f>AX208</f>
        <v/>
      </c>
      <c r="AM209" s="19">
        <f>AK209+AL209</f>
        <v/>
      </c>
      <c r="AN209" s="20">
        <f>DATA!E209</f>
        <v/>
      </c>
      <c r="AO209" s="20">
        <f>DATA!F209</f>
        <v/>
      </c>
      <c r="AP209" s="19">
        <f>AK209*(1+AN209)</f>
        <v/>
      </c>
      <c r="AQ209" s="19">
        <f>AL209*(1+AO209)</f>
        <v/>
      </c>
      <c r="AR209" s="19">
        <f>IF(AND(CONFIG!$B$11="Annual",MONTH(AI209)=7),(AP209+AQ209)*CONFIG!$B$6/12,AR208)</f>
        <v/>
      </c>
      <c r="AS209" s="19">
        <f>MAX(0,AQ209-AR209)</f>
        <v/>
      </c>
      <c r="AT209">
        <f>IF(OR(MONTH(AI209)=3,MONTH(AI209)=6,MONTH(AI209)=9,MONTH(AI209)=12),"Y","N")</f>
        <v/>
      </c>
      <c r="AU209" s="21">
        <f>IF((AP209+AS209)=0,0,AS209/(AP209+AS209))</f>
        <v/>
      </c>
      <c r="AV209">
        <f>IF(AND(AT209="Y",OR(AU209&lt;CONFIG!$B$8,AU209&gt;CONFIG!$B$9)),"Y","N")</f>
        <v/>
      </c>
      <c r="AW209" s="19">
        <f>IF(AV209="Y",(AP209+AS209)*0.8,AP209)</f>
        <v/>
      </c>
      <c r="AX209" s="19">
        <f>IF(AV209="Y",(AP209+AS209)*0.2,AS209)</f>
        <v/>
      </c>
    </row>
    <row r="210">
      <c r="A210" s="18">
        <f>DATA!A210</f>
        <v/>
      </c>
      <c r="B210">
        <f>DATA!B210</f>
        <v/>
      </c>
      <c r="C210" s="19">
        <f>O209</f>
        <v/>
      </c>
      <c r="D210" s="19">
        <f>P209</f>
        <v/>
      </c>
      <c r="E210" s="19">
        <f>C210+D210</f>
        <v/>
      </c>
      <c r="F210" s="20">
        <f>DATA!C210</f>
        <v/>
      </c>
      <c r="G210" s="20">
        <f>DATA!F210</f>
        <v/>
      </c>
      <c r="H210" s="19">
        <f>C210*(1+F210)</f>
        <v/>
      </c>
      <c r="I210" s="19">
        <f>D210*(1+G210)</f>
        <v/>
      </c>
      <c r="J210" s="19">
        <f>IF(AND(CONFIG!$B$11="Annual",MONTH(A210)=7),(H210+I210)*CONFIG!$B$6/12,J209)</f>
        <v/>
      </c>
      <c r="K210" s="19">
        <f>MAX(0,I210-J210)</f>
        <v/>
      </c>
      <c r="L210">
        <f>IF(OR(MONTH(A210)=3,MONTH(A210)=6,MONTH(A210)=9,MONTH(A210)=12),"Y","N")</f>
        <v/>
      </c>
      <c r="M210" s="21">
        <f>IF((H210+K210)=0,0,K210/(H210+K210))</f>
        <v/>
      </c>
      <c r="N210">
        <f>IF(AND(L210="Y",OR(M210&lt;CONFIG!$B$8,M210&gt;CONFIG!$B$9)),"Y","N")</f>
        <v/>
      </c>
      <c r="O210" s="19">
        <f>IF(N210="Y",(H210+K210)*0.8,H210)</f>
        <v/>
      </c>
      <c r="P210" s="19">
        <f>IF(N210="Y",(H210+K210)*0.2,K210)</f>
        <v/>
      </c>
      <c r="R210" s="18">
        <f>DATA!A210</f>
        <v/>
      </c>
      <c r="S210">
        <f>DATA!B210</f>
        <v/>
      </c>
      <c r="T210" s="19">
        <f>AF209</f>
        <v/>
      </c>
      <c r="U210" s="19">
        <f>AG209</f>
        <v/>
      </c>
      <c r="V210" s="19">
        <f>T210+U210</f>
        <v/>
      </c>
      <c r="W210" s="20">
        <f>DATA!D210</f>
        <v/>
      </c>
      <c r="X210" s="20">
        <f>DATA!F210</f>
        <v/>
      </c>
      <c r="Y210" s="19">
        <f>T210*(1+W210)</f>
        <v/>
      </c>
      <c r="Z210" s="19">
        <f>U210*(1+X210)</f>
        <v/>
      </c>
      <c r="AA210" s="19">
        <f>IF(AND(CONFIG!$B$11="Annual",MONTH(R210)=7),(Y210+Z210)*CONFIG!$B$6/12,AA209)</f>
        <v/>
      </c>
      <c r="AB210" s="19">
        <f>MAX(0,Z210-AA210)</f>
        <v/>
      </c>
      <c r="AC210">
        <f>IF(OR(MONTH(R210)=3,MONTH(R210)=6,MONTH(R210)=9,MONTH(R210)=12),"Y","N")</f>
        <v/>
      </c>
      <c r="AD210" s="21">
        <f>IF((Y210+AB210)=0,0,AB210/(Y210+AB210))</f>
        <v/>
      </c>
      <c r="AE210">
        <f>IF(AND(AC210="Y",OR(AD210&lt;CONFIG!$B$8,AD210&gt;CONFIG!$B$9)),"Y","N")</f>
        <v/>
      </c>
      <c r="AF210" s="19">
        <f>IF(AE210="Y",(Y210+AB210)*0.8,Y210)</f>
        <v/>
      </c>
      <c r="AG210" s="19">
        <f>IF(AE210="Y",(Y210+AB210)*0.2,AB210)</f>
        <v/>
      </c>
      <c r="AI210" s="18">
        <f>DATA!A210</f>
        <v/>
      </c>
      <c r="AJ210">
        <f>DATA!B210</f>
        <v/>
      </c>
      <c r="AK210" s="19">
        <f>AW209</f>
        <v/>
      </c>
      <c r="AL210" s="19">
        <f>AX209</f>
        <v/>
      </c>
      <c r="AM210" s="19">
        <f>AK210+AL210</f>
        <v/>
      </c>
      <c r="AN210" s="20">
        <f>DATA!E210</f>
        <v/>
      </c>
      <c r="AO210" s="20">
        <f>DATA!F210</f>
        <v/>
      </c>
      <c r="AP210" s="19">
        <f>AK210*(1+AN210)</f>
        <v/>
      </c>
      <c r="AQ210" s="19">
        <f>AL210*(1+AO210)</f>
        <v/>
      </c>
      <c r="AR210" s="19">
        <f>IF(AND(CONFIG!$B$11="Annual",MONTH(AI210)=7),(AP210+AQ210)*CONFIG!$B$6/12,AR209)</f>
        <v/>
      </c>
      <c r="AS210" s="19">
        <f>MAX(0,AQ210-AR210)</f>
        <v/>
      </c>
      <c r="AT210">
        <f>IF(OR(MONTH(AI210)=3,MONTH(AI210)=6,MONTH(AI210)=9,MONTH(AI210)=12),"Y","N")</f>
        <v/>
      </c>
      <c r="AU210" s="21">
        <f>IF((AP210+AS210)=0,0,AS210/(AP210+AS210))</f>
        <v/>
      </c>
      <c r="AV210">
        <f>IF(AND(AT210="Y",OR(AU210&lt;CONFIG!$B$8,AU210&gt;CONFIG!$B$9)),"Y","N")</f>
        <v/>
      </c>
      <c r="AW210" s="19">
        <f>IF(AV210="Y",(AP210+AS210)*0.8,AP210)</f>
        <v/>
      </c>
      <c r="AX210" s="19">
        <f>IF(AV210="Y",(AP210+AS210)*0.2,AS210)</f>
        <v/>
      </c>
    </row>
    <row r="211">
      <c r="A211" s="18">
        <f>DATA!A211</f>
        <v/>
      </c>
      <c r="B211">
        <f>DATA!B211</f>
        <v/>
      </c>
      <c r="C211" s="19">
        <f>O210</f>
        <v/>
      </c>
      <c r="D211" s="19">
        <f>P210</f>
        <v/>
      </c>
      <c r="E211" s="19">
        <f>C211+D211</f>
        <v/>
      </c>
      <c r="F211" s="20">
        <f>DATA!C211</f>
        <v/>
      </c>
      <c r="G211" s="20">
        <f>DATA!F211</f>
        <v/>
      </c>
      <c r="H211" s="19">
        <f>C211*(1+F211)</f>
        <v/>
      </c>
      <c r="I211" s="19">
        <f>D211*(1+G211)</f>
        <v/>
      </c>
      <c r="J211" s="19">
        <f>IF(AND(CONFIG!$B$11="Annual",MONTH(A211)=7),(H211+I211)*CONFIG!$B$6/12,J210)</f>
        <v/>
      </c>
      <c r="K211" s="19">
        <f>MAX(0,I211-J211)</f>
        <v/>
      </c>
      <c r="L211">
        <f>IF(OR(MONTH(A211)=3,MONTH(A211)=6,MONTH(A211)=9,MONTH(A211)=12),"Y","N")</f>
        <v/>
      </c>
      <c r="M211" s="21">
        <f>IF((H211+K211)=0,0,K211/(H211+K211))</f>
        <v/>
      </c>
      <c r="N211">
        <f>IF(AND(L211="Y",OR(M211&lt;CONFIG!$B$8,M211&gt;CONFIG!$B$9)),"Y","N")</f>
        <v/>
      </c>
      <c r="O211" s="19">
        <f>IF(N211="Y",(H211+K211)*0.8,H211)</f>
        <v/>
      </c>
      <c r="P211" s="19">
        <f>IF(N211="Y",(H211+K211)*0.2,K211)</f>
        <v/>
      </c>
      <c r="R211" s="18">
        <f>DATA!A211</f>
        <v/>
      </c>
      <c r="S211">
        <f>DATA!B211</f>
        <v/>
      </c>
      <c r="T211" s="19">
        <f>AF210</f>
        <v/>
      </c>
      <c r="U211" s="19">
        <f>AG210</f>
        <v/>
      </c>
      <c r="V211" s="19">
        <f>T211+U211</f>
        <v/>
      </c>
      <c r="W211" s="20">
        <f>DATA!D211</f>
        <v/>
      </c>
      <c r="X211" s="20">
        <f>DATA!F211</f>
        <v/>
      </c>
      <c r="Y211" s="19">
        <f>T211*(1+W211)</f>
        <v/>
      </c>
      <c r="Z211" s="19">
        <f>U211*(1+X211)</f>
        <v/>
      </c>
      <c r="AA211" s="19">
        <f>IF(AND(CONFIG!$B$11="Annual",MONTH(R211)=7),(Y211+Z211)*CONFIG!$B$6/12,AA210)</f>
        <v/>
      </c>
      <c r="AB211" s="19">
        <f>MAX(0,Z211-AA211)</f>
        <v/>
      </c>
      <c r="AC211">
        <f>IF(OR(MONTH(R211)=3,MONTH(R211)=6,MONTH(R211)=9,MONTH(R211)=12),"Y","N")</f>
        <v/>
      </c>
      <c r="AD211" s="21">
        <f>IF((Y211+AB211)=0,0,AB211/(Y211+AB211))</f>
        <v/>
      </c>
      <c r="AE211">
        <f>IF(AND(AC211="Y",OR(AD211&lt;CONFIG!$B$8,AD211&gt;CONFIG!$B$9)),"Y","N")</f>
        <v/>
      </c>
      <c r="AF211" s="19">
        <f>IF(AE211="Y",(Y211+AB211)*0.8,Y211)</f>
        <v/>
      </c>
      <c r="AG211" s="19">
        <f>IF(AE211="Y",(Y211+AB211)*0.2,AB211)</f>
        <v/>
      </c>
      <c r="AI211" s="18">
        <f>DATA!A211</f>
        <v/>
      </c>
      <c r="AJ211">
        <f>DATA!B211</f>
        <v/>
      </c>
      <c r="AK211" s="19">
        <f>AW210</f>
        <v/>
      </c>
      <c r="AL211" s="19">
        <f>AX210</f>
        <v/>
      </c>
      <c r="AM211" s="19">
        <f>AK211+AL211</f>
        <v/>
      </c>
      <c r="AN211" s="20">
        <f>DATA!E211</f>
        <v/>
      </c>
      <c r="AO211" s="20">
        <f>DATA!F211</f>
        <v/>
      </c>
      <c r="AP211" s="19">
        <f>AK211*(1+AN211)</f>
        <v/>
      </c>
      <c r="AQ211" s="19">
        <f>AL211*(1+AO211)</f>
        <v/>
      </c>
      <c r="AR211" s="19">
        <f>IF(AND(CONFIG!$B$11="Annual",MONTH(AI211)=7),(AP211+AQ211)*CONFIG!$B$6/12,AR210)</f>
        <v/>
      </c>
      <c r="AS211" s="19">
        <f>MAX(0,AQ211-AR211)</f>
        <v/>
      </c>
      <c r="AT211">
        <f>IF(OR(MONTH(AI211)=3,MONTH(AI211)=6,MONTH(AI211)=9,MONTH(AI211)=12),"Y","N")</f>
        <v/>
      </c>
      <c r="AU211" s="21">
        <f>IF((AP211+AS211)=0,0,AS211/(AP211+AS211))</f>
        <v/>
      </c>
      <c r="AV211">
        <f>IF(AND(AT211="Y",OR(AU211&lt;CONFIG!$B$8,AU211&gt;CONFIG!$B$9)),"Y","N")</f>
        <v/>
      </c>
      <c r="AW211" s="19">
        <f>IF(AV211="Y",(AP211+AS211)*0.8,AP211)</f>
        <v/>
      </c>
      <c r="AX211" s="19">
        <f>IF(AV211="Y",(AP211+AS211)*0.2,AS211)</f>
        <v/>
      </c>
    </row>
    <row r="212">
      <c r="A212" s="18">
        <f>DATA!A212</f>
        <v/>
      </c>
      <c r="B212">
        <f>DATA!B212</f>
        <v/>
      </c>
      <c r="C212" s="19">
        <f>O211</f>
        <v/>
      </c>
      <c r="D212" s="19">
        <f>P211</f>
        <v/>
      </c>
      <c r="E212" s="19">
        <f>C212+D212</f>
        <v/>
      </c>
      <c r="F212" s="20">
        <f>DATA!C212</f>
        <v/>
      </c>
      <c r="G212" s="20">
        <f>DATA!F212</f>
        <v/>
      </c>
      <c r="H212" s="19">
        <f>C212*(1+F212)</f>
        <v/>
      </c>
      <c r="I212" s="19">
        <f>D212*(1+G212)</f>
        <v/>
      </c>
      <c r="J212" s="19">
        <f>IF(AND(CONFIG!$B$11="Annual",MONTH(A212)=7),(H212+I212)*CONFIG!$B$6/12,J211)</f>
        <v/>
      </c>
      <c r="K212" s="19">
        <f>MAX(0,I212-J212)</f>
        <v/>
      </c>
      <c r="L212">
        <f>IF(OR(MONTH(A212)=3,MONTH(A212)=6,MONTH(A212)=9,MONTH(A212)=12),"Y","N")</f>
        <v/>
      </c>
      <c r="M212" s="21">
        <f>IF((H212+K212)=0,0,K212/(H212+K212))</f>
        <v/>
      </c>
      <c r="N212">
        <f>IF(AND(L212="Y",OR(M212&lt;CONFIG!$B$8,M212&gt;CONFIG!$B$9)),"Y","N")</f>
        <v/>
      </c>
      <c r="O212" s="19">
        <f>IF(N212="Y",(H212+K212)*0.8,H212)</f>
        <v/>
      </c>
      <c r="P212" s="19">
        <f>IF(N212="Y",(H212+K212)*0.2,K212)</f>
        <v/>
      </c>
      <c r="R212" s="18">
        <f>DATA!A212</f>
        <v/>
      </c>
      <c r="S212">
        <f>DATA!B212</f>
        <v/>
      </c>
      <c r="T212" s="19">
        <f>AF211</f>
        <v/>
      </c>
      <c r="U212" s="19">
        <f>AG211</f>
        <v/>
      </c>
      <c r="V212" s="19">
        <f>T212+U212</f>
        <v/>
      </c>
      <c r="W212" s="20">
        <f>DATA!D212</f>
        <v/>
      </c>
      <c r="X212" s="20">
        <f>DATA!F212</f>
        <v/>
      </c>
      <c r="Y212" s="19">
        <f>T212*(1+W212)</f>
        <v/>
      </c>
      <c r="Z212" s="19">
        <f>U212*(1+X212)</f>
        <v/>
      </c>
      <c r="AA212" s="19">
        <f>IF(AND(CONFIG!$B$11="Annual",MONTH(R212)=7),(Y212+Z212)*CONFIG!$B$6/12,AA211)</f>
        <v/>
      </c>
      <c r="AB212" s="19">
        <f>MAX(0,Z212-AA212)</f>
        <v/>
      </c>
      <c r="AC212">
        <f>IF(OR(MONTH(R212)=3,MONTH(R212)=6,MONTH(R212)=9,MONTH(R212)=12),"Y","N")</f>
        <v/>
      </c>
      <c r="AD212" s="21">
        <f>IF((Y212+AB212)=0,0,AB212/(Y212+AB212))</f>
        <v/>
      </c>
      <c r="AE212">
        <f>IF(AND(AC212="Y",OR(AD212&lt;CONFIG!$B$8,AD212&gt;CONFIG!$B$9)),"Y","N")</f>
        <v/>
      </c>
      <c r="AF212" s="19">
        <f>IF(AE212="Y",(Y212+AB212)*0.8,Y212)</f>
        <v/>
      </c>
      <c r="AG212" s="19">
        <f>IF(AE212="Y",(Y212+AB212)*0.2,AB212)</f>
        <v/>
      </c>
      <c r="AI212" s="18">
        <f>DATA!A212</f>
        <v/>
      </c>
      <c r="AJ212">
        <f>DATA!B212</f>
        <v/>
      </c>
      <c r="AK212" s="19">
        <f>AW211</f>
        <v/>
      </c>
      <c r="AL212" s="19">
        <f>AX211</f>
        <v/>
      </c>
      <c r="AM212" s="19">
        <f>AK212+AL212</f>
        <v/>
      </c>
      <c r="AN212" s="20">
        <f>DATA!E212</f>
        <v/>
      </c>
      <c r="AO212" s="20">
        <f>DATA!F212</f>
        <v/>
      </c>
      <c r="AP212" s="19">
        <f>AK212*(1+AN212)</f>
        <v/>
      </c>
      <c r="AQ212" s="19">
        <f>AL212*(1+AO212)</f>
        <v/>
      </c>
      <c r="AR212" s="19">
        <f>IF(AND(CONFIG!$B$11="Annual",MONTH(AI212)=7),(AP212+AQ212)*CONFIG!$B$6/12,AR211)</f>
        <v/>
      </c>
      <c r="AS212" s="19">
        <f>MAX(0,AQ212-AR212)</f>
        <v/>
      </c>
      <c r="AT212">
        <f>IF(OR(MONTH(AI212)=3,MONTH(AI212)=6,MONTH(AI212)=9,MONTH(AI212)=12),"Y","N")</f>
        <v/>
      </c>
      <c r="AU212" s="21">
        <f>IF((AP212+AS212)=0,0,AS212/(AP212+AS212))</f>
        <v/>
      </c>
      <c r="AV212">
        <f>IF(AND(AT212="Y",OR(AU212&lt;CONFIG!$B$8,AU212&gt;CONFIG!$B$9)),"Y","N")</f>
        <v/>
      </c>
      <c r="AW212" s="19">
        <f>IF(AV212="Y",(AP212+AS212)*0.8,AP212)</f>
        <v/>
      </c>
      <c r="AX212" s="19">
        <f>IF(AV212="Y",(AP212+AS212)*0.2,AS212)</f>
        <v/>
      </c>
    </row>
    <row r="213">
      <c r="A213" s="18">
        <f>DATA!A213</f>
        <v/>
      </c>
      <c r="B213">
        <f>DATA!B213</f>
        <v/>
      </c>
      <c r="C213" s="19">
        <f>O212</f>
        <v/>
      </c>
      <c r="D213" s="19">
        <f>P212</f>
        <v/>
      </c>
      <c r="E213" s="19">
        <f>C213+D213</f>
        <v/>
      </c>
      <c r="F213" s="20">
        <f>DATA!C213</f>
        <v/>
      </c>
      <c r="G213" s="20">
        <f>DATA!F213</f>
        <v/>
      </c>
      <c r="H213" s="19">
        <f>C213*(1+F213)</f>
        <v/>
      </c>
      <c r="I213" s="19">
        <f>D213*(1+G213)</f>
        <v/>
      </c>
      <c r="J213" s="19">
        <f>IF(AND(CONFIG!$B$11="Annual",MONTH(A213)=7),(H213+I213)*CONFIG!$B$6/12,J212)</f>
        <v/>
      </c>
      <c r="K213" s="19">
        <f>MAX(0,I213-J213)</f>
        <v/>
      </c>
      <c r="L213">
        <f>IF(OR(MONTH(A213)=3,MONTH(A213)=6,MONTH(A213)=9,MONTH(A213)=12),"Y","N")</f>
        <v/>
      </c>
      <c r="M213" s="21">
        <f>IF((H213+K213)=0,0,K213/(H213+K213))</f>
        <v/>
      </c>
      <c r="N213">
        <f>IF(AND(L213="Y",OR(M213&lt;CONFIG!$B$8,M213&gt;CONFIG!$B$9)),"Y","N")</f>
        <v/>
      </c>
      <c r="O213" s="19">
        <f>IF(N213="Y",(H213+K213)*0.8,H213)</f>
        <v/>
      </c>
      <c r="P213" s="19">
        <f>IF(N213="Y",(H213+K213)*0.2,K213)</f>
        <v/>
      </c>
      <c r="R213" s="18">
        <f>DATA!A213</f>
        <v/>
      </c>
      <c r="S213">
        <f>DATA!B213</f>
        <v/>
      </c>
      <c r="T213" s="19">
        <f>AF212</f>
        <v/>
      </c>
      <c r="U213" s="19">
        <f>AG212</f>
        <v/>
      </c>
      <c r="V213" s="19">
        <f>T213+U213</f>
        <v/>
      </c>
      <c r="W213" s="20">
        <f>DATA!D213</f>
        <v/>
      </c>
      <c r="X213" s="20">
        <f>DATA!F213</f>
        <v/>
      </c>
      <c r="Y213" s="19">
        <f>T213*(1+W213)</f>
        <v/>
      </c>
      <c r="Z213" s="19">
        <f>U213*(1+X213)</f>
        <v/>
      </c>
      <c r="AA213" s="19">
        <f>IF(AND(CONFIG!$B$11="Annual",MONTH(R213)=7),(Y213+Z213)*CONFIG!$B$6/12,AA212)</f>
        <v/>
      </c>
      <c r="AB213" s="19">
        <f>MAX(0,Z213-AA213)</f>
        <v/>
      </c>
      <c r="AC213">
        <f>IF(OR(MONTH(R213)=3,MONTH(R213)=6,MONTH(R213)=9,MONTH(R213)=12),"Y","N")</f>
        <v/>
      </c>
      <c r="AD213" s="21">
        <f>IF((Y213+AB213)=0,0,AB213/(Y213+AB213))</f>
        <v/>
      </c>
      <c r="AE213">
        <f>IF(AND(AC213="Y",OR(AD213&lt;CONFIG!$B$8,AD213&gt;CONFIG!$B$9)),"Y","N")</f>
        <v/>
      </c>
      <c r="AF213" s="19">
        <f>IF(AE213="Y",(Y213+AB213)*0.8,Y213)</f>
        <v/>
      </c>
      <c r="AG213" s="19">
        <f>IF(AE213="Y",(Y213+AB213)*0.2,AB213)</f>
        <v/>
      </c>
      <c r="AI213" s="18">
        <f>DATA!A213</f>
        <v/>
      </c>
      <c r="AJ213">
        <f>DATA!B213</f>
        <v/>
      </c>
      <c r="AK213" s="19">
        <f>AW212</f>
        <v/>
      </c>
      <c r="AL213" s="19">
        <f>AX212</f>
        <v/>
      </c>
      <c r="AM213" s="19">
        <f>AK213+AL213</f>
        <v/>
      </c>
      <c r="AN213" s="20">
        <f>DATA!E213</f>
        <v/>
      </c>
      <c r="AO213" s="20">
        <f>DATA!F213</f>
        <v/>
      </c>
      <c r="AP213" s="19">
        <f>AK213*(1+AN213)</f>
        <v/>
      </c>
      <c r="AQ213" s="19">
        <f>AL213*(1+AO213)</f>
        <v/>
      </c>
      <c r="AR213" s="19">
        <f>IF(AND(CONFIG!$B$11="Annual",MONTH(AI213)=7),(AP213+AQ213)*CONFIG!$B$6/12,AR212)</f>
        <v/>
      </c>
      <c r="AS213" s="19">
        <f>MAX(0,AQ213-AR213)</f>
        <v/>
      </c>
      <c r="AT213">
        <f>IF(OR(MONTH(AI213)=3,MONTH(AI213)=6,MONTH(AI213)=9,MONTH(AI213)=12),"Y","N")</f>
        <v/>
      </c>
      <c r="AU213" s="21">
        <f>IF((AP213+AS213)=0,0,AS213/(AP213+AS213))</f>
        <v/>
      </c>
      <c r="AV213">
        <f>IF(AND(AT213="Y",OR(AU213&lt;CONFIG!$B$8,AU213&gt;CONFIG!$B$9)),"Y","N")</f>
        <v/>
      </c>
      <c r="AW213" s="19">
        <f>IF(AV213="Y",(AP213+AS213)*0.8,AP213)</f>
        <v/>
      </c>
      <c r="AX213" s="19">
        <f>IF(AV213="Y",(AP213+AS213)*0.2,AS213)</f>
        <v/>
      </c>
    </row>
    <row r="214">
      <c r="A214" s="18">
        <f>DATA!A214</f>
        <v/>
      </c>
      <c r="B214">
        <f>DATA!B214</f>
        <v/>
      </c>
      <c r="C214" s="19">
        <f>O213</f>
        <v/>
      </c>
      <c r="D214" s="19">
        <f>P213</f>
        <v/>
      </c>
      <c r="E214" s="19">
        <f>C214+D214</f>
        <v/>
      </c>
      <c r="F214" s="20">
        <f>DATA!C214</f>
        <v/>
      </c>
      <c r="G214" s="20">
        <f>DATA!F214</f>
        <v/>
      </c>
      <c r="H214" s="19">
        <f>C214*(1+F214)</f>
        <v/>
      </c>
      <c r="I214" s="19">
        <f>D214*(1+G214)</f>
        <v/>
      </c>
      <c r="J214" s="19">
        <f>IF(AND(CONFIG!$B$11="Annual",MONTH(A214)=7),(H214+I214)*CONFIG!$B$6/12,J213)</f>
        <v/>
      </c>
      <c r="K214" s="19">
        <f>MAX(0,I214-J214)</f>
        <v/>
      </c>
      <c r="L214">
        <f>IF(OR(MONTH(A214)=3,MONTH(A214)=6,MONTH(A214)=9,MONTH(A214)=12),"Y","N")</f>
        <v/>
      </c>
      <c r="M214" s="21">
        <f>IF((H214+K214)=0,0,K214/(H214+K214))</f>
        <v/>
      </c>
      <c r="N214">
        <f>IF(AND(L214="Y",OR(M214&lt;CONFIG!$B$8,M214&gt;CONFIG!$B$9)),"Y","N")</f>
        <v/>
      </c>
      <c r="O214" s="19">
        <f>IF(N214="Y",(H214+K214)*0.8,H214)</f>
        <v/>
      </c>
      <c r="P214" s="19">
        <f>IF(N214="Y",(H214+K214)*0.2,K214)</f>
        <v/>
      </c>
      <c r="R214" s="18">
        <f>DATA!A214</f>
        <v/>
      </c>
      <c r="S214">
        <f>DATA!B214</f>
        <v/>
      </c>
      <c r="T214" s="19">
        <f>AF213</f>
        <v/>
      </c>
      <c r="U214" s="19">
        <f>AG213</f>
        <v/>
      </c>
      <c r="V214" s="19">
        <f>T214+U214</f>
        <v/>
      </c>
      <c r="W214" s="20">
        <f>DATA!D214</f>
        <v/>
      </c>
      <c r="X214" s="20">
        <f>DATA!F214</f>
        <v/>
      </c>
      <c r="Y214" s="19">
        <f>T214*(1+W214)</f>
        <v/>
      </c>
      <c r="Z214" s="19">
        <f>U214*(1+X214)</f>
        <v/>
      </c>
      <c r="AA214" s="19">
        <f>IF(AND(CONFIG!$B$11="Annual",MONTH(R214)=7),(Y214+Z214)*CONFIG!$B$6/12,AA213)</f>
        <v/>
      </c>
      <c r="AB214" s="19">
        <f>MAX(0,Z214-AA214)</f>
        <v/>
      </c>
      <c r="AC214">
        <f>IF(OR(MONTH(R214)=3,MONTH(R214)=6,MONTH(R214)=9,MONTH(R214)=12),"Y","N")</f>
        <v/>
      </c>
      <c r="AD214" s="21">
        <f>IF((Y214+AB214)=0,0,AB214/(Y214+AB214))</f>
        <v/>
      </c>
      <c r="AE214">
        <f>IF(AND(AC214="Y",OR(AD214&lt;CONFIG!$B$8,AD214&gt;CONFIG!$B$9)),"Y","N")</f>
        <v/>
      </c>
      <c r="AF214" s="19">
        <f>IF(AE214="Y",(Y214+AB214)*0.8,Y214)</f>
        <v/>
      </c>
      <c r="AG214" s="19">
        <f>IF(AE214="Y",(Y214+AB214)*0.2,AB214)</f>
        <v/>
      </c>
      <c r="AI214" s="18">
        <f>DATA!A214</f>
        <v/>
      </c>
      <c r="AJ214">
        <f>DATA!B214</f>
        <v/>
      </c>
      <c r="AK214" s="19">
        <f>AW213</f>
        <v/>
      </c>
      <c r="AL214" s="19">
        <f>AX213</f>
        <v/>
      </c>
      <c r="AM214" s="19">
        <f>AK214+AL214</f>
        <v/>
      </c>
      <c r="AN214" s="20">
        <f>DATA!E214</f>
        <v/>
      </c>
      <c r="AO214" s="20">
        <f>DATA!F214</f>
        <v/>
      </c>
      <c r="AP214" s="19">
        <f>AK214*(1+AN214)</f>
        <v/>
      </c>
      <c r="AQ214" s="19">
        <f>AL214*(1+AO214)</f>
        <v/>
      </c>
      <c r="AR214" s="19">
        <f>IF(AND(CONFIG!$B$11="Annual",MONTH(AI214)=7),(AP214+AQ214)*CONFIG!$B$6/12,AR213)</f>
        <v/>
      </c>
      <c r="AS214" s="19">
        <f>MAX(0,AQ214-AR214)</f>
        <v/>
      </c>
      <c r="AT214">
        <f>IF(OR(MONTH(AI214)=3,MONTH(AI214)=6,MONTH(AI214)=9,MONTH(AI214)=12),"Y","N")</f>
        <v/>
      </c>
      <c r="AU214" s="21">
        <f>IF((AP214+AS214)=0,0,AS214/(AP214+AS214))</f>
        <v/>
      </c>
      <c r="AV214">
        <f>IF(AND(AT214="Y",OR(AU214&lt;CONFIG!$B$8,AU214&gt;CONFIG!$B$9)),"Y","N")</f>
        <v/>
      </c>
      <c r="AW214" s="19">
        <f>IF(AV214="Y",(AP214+AS214)*0.8,AP214)</f>
        <v/>
      </c>
      <c r="AX214" s="19">
        <f>IF(AV214="Y",(AP214+AS214)*0.2,AS214)</f>
        <v/>
      </c>
    </row>
    <row r="215">
      <c r="A215" s="18">
        <f>DATA!A215</f>
        <v/>
      </c>
      <c r="B215">
        <f>DATA!B215</f>
        <v/>
      </c>
      <c r="C215" s="19">
        <f>O214</f>
        <v/>
      </c>
      <c r="D215" s="19">
        <f>P214</f>
        <v/>
      </c>
      <c r="E215" s="19">
        <f>C215+D215</f>
        <v/>
      </c>
      <c r="F215" s="20">
        <f>DATA!C215</f>
        <v/>
      </c>
      <c r="G215" s="20">
        <f>DATA!F215</f>
        <v/>
      </c>
      <c r="H215" s="19">
        <f>C215*(1+F215)</f>
        <v/>
      </c>
      <c r="I215" s="19">
        <f>D215*(1+G215)</f>
        <v/>
      </c>
      <c r="J215" s="19">
        <f>IF(AND(CONFIG!$B$11="Annual",MONTH(A215)=7),(H215+I215)*CONFIG!$B$6/12,J214)</f>
        <v/>
      </c>
      <c r="K215" s="19">
        <f>MAX(0,I215-J215)</f>
        <v/>
      </c>
      <c r="L215">
        <f>IF(OR(MONTH(A215)=3,MONTH(A215)=6,MONTH(A215)=9,MONTH(A215)=12),"Y","N")</f>
        <v/>
      </c>
      <c r="M215" s="21">
        <f>IF((H215+K215)=0,0,K215/(H215+K215))</f>
        <v/>
      </c>
      <c r="N215">
        <f>IF(AND(L215="Y",OR(M215&lt;CONFIG!$B$8,M215&gt;CONFIG!$B$9)),"Y","N")</f>
        <v/>
      </c>
      <c r="O215" s="19">
        <f>IF(N215="Y",(H215+K215)*0.8,H215)</f>
        <v/>
      </c>
      <c r="P215" s="19">
        <f>IF(N215="Y",(H215+K215)*0.2,K215)</f>
        <v/>
      </c>
      <c r="R215" s="18">
        <f>DATA!A215</f>
        <v/>
      </c>
      <c r="S215">
        <f>DATA!B215</f>
        <v/>
      </c>
      <c r="T215" s="19">
        <f>AF214</f>
        <v/>
      </c>
      <c r="U215" s="19">
        <f>AG214</f>
        <v/>
      </c>
      <c r="V215" s="19">
        <f>T215+U215</f>
        <v/>
      </c>
      <c r="W215" s="20">
        <f>DATA!D215</f>
        <v/>
      </c>
      <c r="X215" s="20">
        <f>DATA!F215</f>
        <v/>
      </c>
      <c r="Y215" s="19">
        <f>T215*(1+W215)</f>
        <v/>
      </c>
      <c r="Z215" s="19">
        <f>U215*(1+X215)</f>
        <v/>
      </c>
      <c r="AA215" s="19">
        <f>IF(AND(CONFIG!$B$11="Annual",MONTH(R215)=7),(Y215+Z215)*CONFIG!$B$6/12,AA214)</f>
        <v/>
      </c>
      <c r="AB215" s="19">
        <f>MAX(0,Z215-AA215)</f>
        <v/>
      </c>
      <c r="AC215">
        <f>IF(OR(MONTH(R215)=3,MONTH(R215)=6,MONTH(R215)=9,MONTH(R215)=12),"Y","N")</f>
        <v/>
      </c>
      <c r="AD215" s="21">
        <f>IF((Y215+AB215)=0,0,AB215/(Y215+AB215))</f>
        <v/>
      </c>
      <c r="AE215">
        <f>IF(AND(AC215="Y",OR(AD215&lt;CONFIG!$B$8,AD215&gt;CONFIG!$B$9)),"Y","N")</f>
        <v/>
      </c>
      <c r="AF215" s="19">
        <f>IF(AE215="Y",(Y215+AB215)*0.8,Y215)</f>
        <v/>
      </c>
      <c r="AG215" s="19">
        <f>IF(AE215="Y",(Y215+AB215)*0.2,AB215)</f>
        <v/>
      </c>
      <c r="AI215" s="18">
        <f>DATA!A215</f>
        <v/>
      </c>
      <c r="AJ215">
        <f>DATA!B215</f>
        <v/>
      </c>
      <c r="AK215" s="19">
        <f>AW214</f>
        <v/>
      </c>
      <c r="AL215" s="19">
        <f>AX214</f>
        <v/>
      </c>
      <c r="AM215" s="19">
        <f>AK215+AL215</f>
        <v/>
      </c>
      <c r="AN215" s="20">
        <f>DATA!E215</f>
        <v/>
      </c>
      <c r="AO215" s="20">
        <f>DATA!F215</f>
        <v/>
      </c>
      <c r="AP215" s="19">
        <f>AK215*(1+AN215)</f>
        <v/>
      </c>
      <c r="AQ215" s="19">
        <f>AL215*(1+AO215)</f>
        <v/>
      </c>
      <c r="AR215" s="19">
        <f>IF(AND(CONFIG!$B$11="Annual",MONTH(AI215)=7),(AP215+AQ215)*CONFIG!$B$6/12,AR214)</f>
        <v/>
      </c>
      <c r="AS215" s="19">
        <f>MAX(0,AQ215-AR215)</f>
        <v/>
      </c>
      <c r="AT215">
        <f>IF(OR(MONTH(AI215)=3,MONTH(AI215)=6,MONTH(AI215)=9,MONTH(AI215)=12),"Y","N")</f>
        <v/>
      </c>
      <c r="AU215" s="21">
        <f>IF((AP215+AS215)=0,0,AS215/(AP215+AS215))</f>
        <v/>
      </c>
      <c r="AV215">
        <f>IF(AND(AT215="Y",OR(AU215&lt;CONFIG!$B$8,AU215&gt;CONFIG!$B$9)),"Y","N")</f>
        <v/>
      </c>
      <c r="AW215" s="19">
        <f>IF(AV215="Y",(AP215+AS215)*0.8,AP215)</f>
        <v/>
      </c>
      <c r="AX215" s="19">
        <f>IF(AV215="Y",(AP215+AS215)*0.2,AS215)</f>
        <v/>
      </c>
    </row>
    <row r="216">
      <c r="A216" s="18">
        <f>DATA!A216</f>
        <v/>
      </c>
      <c r="B216">
        <f>DATA!B216</f>
        <v/>
      </c>
      <c r="C216" s="19">
        <f>O215</f>
        <v/>
      </c>
      <c r="D216" s="19">
        <f>P215</f>
        <v/>
      </c>
      <c r="E216" s="19">
        <f>C216+D216</f>
        <v/>
      </c>
      <c r="F216" s="20">
        <f>DATA!C216</f>
        <v/>
      </c>
      <c r="G216" s="20">
        <f>DATA!F216</f>
        <v/>
      </c>
      <c r="H216" s="19">
        <f>C216*(1+F216)</f>
        <v/>
      </c>
      <c r="I216" s="19">
        <f>D216*(1+G216)</f>
        <v/>
      </c>
      <c r="J216" s="19">
        <f>IF(AND(CONFIG!$B$11="Annual",MONTH(A216)=7),(H216+I216)*CONFIG!$B$6/12,J215)</f>
        <v/>
      </c>
      <c r="K216" s="19">
        <f>MAX(0,I216-J216)</f>
        <v/>
      </c>
      <c r="L216">
        <f>IF(OR(MONTH(A216)=3,MONTH(A216)=6,MONTH(A216)=9,MONTH(A216)=12),"Y","N")</f>
        <v/>
      </c>
      <c r="M216" s="21">
        <f>IF((H216+K216)=0,0,K216/(H216+K216))</f>
        <v/>
      </c>
      <c r="N216">
        <f>IF(AND(L216="Y",OR(M216&lt;CONFIG!$B$8,M216&gt;CONFIG!$B$9)),"Y","N")</f>
        <v/>
      </c>
      <c r="O216" s="19">
        <f>IF(N216="Y",(H216+K216)*0.8,H216)</f>
        <v/>
      </c>
      <c r="P216" s="19">
        <f>IF(N216="Y",(H216+K216)*0.2,K216)</f>
        <v/>
      </c>
      <c r="R216" s="18">
        <f>DATA!A216</f>
        <v/>
      </c>
      <c r="S216">
        <f>DATA!B216</f>
        <v/>
      </c>
      <c r="T216" s="19">
        <f>AF215</f>
        <v/>
      </c>
      <c r="U216" s="19">
        <f>AG215</f>
        <v/>
      </c>
      <c r="V216" s="19">
        <f>T216+U216</f>
        <v/>
      </c>
      <c r="W216" s="20">
        <f>DATA!D216</f>
        <v/>
      </c>
      <c r="X216" s="20">
        <f>DATA!F216</f>
        <v/>
      </c>
      <c r="Y216" s="19">
        <f>T216*(1+W216)</f>
        <v/>
      </c>
      <c r="Z216" s="19">
        <f>U216*(1+X216)</f>
        <v/>
      </c>
      <c r="AA216" s="19">
        <f>IF(AND(CONFIG!$B$11="Annual",MONTH(R216)=7),(Y216+Z216)*CONFIG!$B$6/12,AA215)</f>
        <v/>
      </c>
      <c r="AB216" s="19">
        <f>MAX(0,Z216-AA216)</f>
        <v/>
      </c>
      <c r="AC216">
        <f>IF(OR(MONTH(R216)=3,MONTH(R216)=6,MONTH(R216)=9,MONTH(R216)=12),"Y","N")</f>
        <v/>
      </c>
      <c r="AD216" s="21">
        <f>IF((Y216+AB216)=0,0,AB216/(Y216+AB216))</f>
        <v/>
      </c>
      <c r="AE216">
        <f>IF(AND(AC216="Y",OR(AD216&lt;CONFIG!$B$8,AD216&gt;CONFIG!$B$9)),"Y","N")</f>
        <v/>
      </c>
      <c r="AF216" s="19">
        <f>IF(AE216="Y",(Y216+AB216)*0.8,Y216)</f>
        <v/>
      </c>
      <c r="AG216" s="19">
        <f>IF(AE216="Y",(Y216+AB216)*0.2,AB216)</f>
        <v/>
      </c>
      <c r="AI216" s="18">
        <f>DATA!A216</f>
        <v/>
      </c>
      <c r="AJ216">
        <f>DATA!B216</f>
        <v/>
      </c>
      <c r="AK216" s="19">
        <f>AW215</f>
        <v/>
      </c>
      <c r="AL216" s="19">
        <f>AX215</f>
        <v/>
      </c>
      <c r="AM216" s="19">
        <f>AK216+AL216</f>
        <v/>
      </c>
      <c r="AN216" s="20">
        <f>DATA!E216</f>
        <v/>
      </c>
      <c r="AO216" s="20">
        <f>DATA!F216</f>
        <v/>
      </c>
      <c r="AP216" s="19">
        <f>AK216*(1+AN216)</f>
        <v/>
      </c>
      <c r="AQ216" s="19">
        <f>AL216*(1+AO216)</f>
        <v/>
      </c>
      <c r="AR216" s="19">
        <f>IF(AND(CONFIG!$B$11="Annual",MONTH(AI216)=7),(AP216+AQ216)*CONFIG!$B$6/12,AR215)</f>
        <v/>
      </c>
      <c r="AS216" s="19">
        <f>MAX(0,AQ216-AR216)</f>
        <v/>
      </c>
      <c r="AT216">
        <f>IF(OR(MONTH(AI216)=3,MONTH(AI216)=6,MONTH(AI216)=9,MONTH(AI216)=12),"Y","N")</f>
        <v/>
      </c>
      <c r="AU216" s="21">
        <f>IF((AP216+AS216)=0,0,AS216/(AP216+AS216))</f>
        <v/>
      </c>
      <c r="AV216">
        <f>IF(AND(AT216="Y",OR(AU216&lt;CONFIG!$B$8,AU216&gt;CONFIG!$B$9)),"Y","N")</f>
        <v/>
      </c>
      <c r="AW216" s="19">
        <f>IF(AV216="Y",(AP216+AS216)*0.8,AP216)</f>
        <v/>
      </c>
      <c r="AX216" s="19">
        <f>IF(AV216="Y",(AP216+AS216)*0.2,AS216)</f>
        <v/>
      </c>
    </row>
    <row r="217">
      <c r="A217" s="18">
        <f>DATA!A217</f>
        <v/>
      </c>
      <c r="B217">
        <f>DATA!B217</f>
        <v/>
      </c>
      <c r="C217" s="19">
        <f>O216</f>
        <v/>
      </c>
      <c r="D217" s="19">
        <f>P216</f>
        <v/>
      </c>
      <c r="E217" s="19">
        <f>C217+D217</f>
        <v/>
      </c>
      <c r="F217" s="20">
        <f>DATA!C217</f>
        <v/>
      </c>
      <c r="G217" s="20">
        <f>DATA!F217</f>
        <v/>
      </c>
      <c r="H217" s="19">
        <f>C217*(1+F217)</f>
        <v/>
      </c>
      <c r="I217" s="19">
        <f>D217*(1+G217)</f>
        <v/>
      </c>
      <c r="J217" s="19">
        <f>IF(AND(CONFIG!$B$11="Annual",MONTH(A217)=7),(H217+I217)*CONFIG!$B$6/12,J216)</f>
        <v/>
      </c>
      <c r="K217" s="19">
        <f>MAX(0,I217-J217)</f>
        <v/>
      </c>
      <c r="L217">
        <f>IF(OR(MONTH(A217)=3,MONTH(A217)=6,MONTH(A217)=9,MONTH(A217)=12),"Y","N")</f>
        <v/>
      </c>
      <c r="M217" s="21">
        <f>IF((H217+K217)=0,0,K217/(H217+K217))</f>
        <v/>
      </c>
      <c r="N217">
        <f>IF(AND(L217="Y",OR(M217&lt;CONFIG!$B$8,M217&gt;CONFIG!$B$9)),"Y","N")</f>
        <v/>
      </c>
      <c r="O217" s="19">
        <f>IF(N217="Y",(H217+K217)*0.8,H217)</f>
        <v/>
      </c>
      <c r="P217" s="19">
        <f>IF(N217="Y",(H217+K217)*0.2,K217)</f>
        <v/>
      </c>
      <c r="R217" s="18">
        <f>DATA!A217</f>
        <v/>
      </c>
      <c r="S217">
        <f>DATA!B217</f>
        <v/>
      </c>
      <c r="T217" s="19">
        <f>AF216</f>
        <v/>
      </c>
      <c r="U217" s="19">
        <f>AG216</f>
        <v/>
      </c>
      <c r="V217" s="19">
        <f>T217+U217</f>
        <v/>
      </c>
      <c r="W217" s="20">
        <f>DATA!D217</f>
        <v/>
      </c>
      <c r="X217" s="20">
        <f>DATA!F217</f>
        <v/>
      </c>
      <c r="Y217" s="19">
        <f>T217*(1+W217)</f>
        <v/>
      </c>
      <c r="Z217" s="19">
        <f>U217*(1+X217)</f>
        <v/>
      </c>
      <c r="AA217" s="19">
        <f>IF(AND(CONFIG!$B$11="Annual",MONTH(R217)=7),(Y217+Z217)*CONFIG!$B$6/12,AA216)</f>
        <v/>
      </c>
      <c r="AB217" s="19">
        <f>MAX(0,Z217-AA217)</f>
        <v/>
      </c>
      <c r="AC217">
        <f>IF(OR(MONTH(R217)=3,MONTH(R217)=6,MONTH(R217)=9,MONTH(R217)=12),"Y","N")</f>
        <v/>
      </c>
      <c r="AD217" s="21">
        <f>IF((Y217+AB217)=0,0,AB217/(Y217+AB217))</f>
        <v/>
      </c>
      <c r="AE217">
        <f>IF(AND(AC217="Y",OR(AD217&lt;CONFIG!$B$8,AD217&gt;CONFIG!$B$9)),"Y","N")</f>
        <v/>
      </c>
      <c r="AF217" s="19">
        <f>IF(AE217="Y",(Y217+AB217)*0.8,Y217)</f>
        <v/>
      </c>
      <c r="AG217" s="19">
        <f>IF(AE217="Y",(Y217+AB217)*0.2,AB217)</f>
        <v/>
      </c>
      <c r="AI217" s="18">
        <f>DATA!A217</f>
        <v/>
      </c>
      <c r="AJ217">
        <f>DATA!B217</f>
        <v/>
      </c>
      <c r="AK217" s="19">
        <f>AW216</f>
        <v/>
      </c>
      <c r="AL217" s="19">
        <f>AX216</f>
        <v/>
      </c>
      <c r="AM217" s="19">
        <f>AK217+AL217</f>
        <v/>
      </c>
      <c r="AN217" s="20">
        <f>DATA!E217</f>
        <v/>
      </c>
      <c r="AO217" s="20">
        <f>DATA!F217</f>
        <v/>
      </c>
      <c r="AP217" s="19">
        <f>AK217*(1+AN217)</f>
        <v/>
      </c>
      <c r="AQ217" s="19">
        <f>AL217*(1+AO217)</f>
        <v/>
      </c>
      <c r="AR217" s="19">
        <f>IF(AND(CONFIG!$B$11="Annual",MONTH(AI217)=7),(AP217+AQ217)*CONFIG!$B$6/12,AR216)</f>
        <v/>
      </c>
      <c r="AS217" s="19">
        <f>MAX(0,AQ217-AR217)</f>
        <v/>
      </c>
      <c r="AT217">
        <f>IF(OR(MONTH(AI217)=3,MONTH(AI217)=6,MONTH(AI217)=9,MONTH(AI217)=12),"Y","N")</f>
        <v/>
      </c>
      <c r="AU217" s="21">
        <f>IF((AP217+AS217)=0,0,AS217/(AP217+AS217))</f>
        <v/>
      </c>
      <c r="AV217">
        <f>IF(AND(AT217="Y",OR(AU217&lt;CONFIG!$B$8,AU217&gt;CONFIG!$B$9)),"Y","N")</f>
        <v/>
      </c>
      <c r="AW217" s="19">
        <f>IF(AV217="Y",(AP217+AS217)*0.8,AP217)</f>
        <v/>
      </c>
      <c r="AX217" s="19">
        <f>IF(AV217="Y",(AP217+AS217)*0.2,AS217)</f>
        <v/>
      </c>
    </row>
    <row r="218">
      <c r="A218" s="18">
        <f>DATA!A218</f>
        <v/>
      </c>
      <c r="B218">
        <f>DATA!B218</f>
        <v/>
      </c>
      <c r="C218" s="19">
        <f>O217</f>
        <v/>
      </c>
      <c r="D218" s="19">
        <f>P217</f>
        <v/>
      </c>
      <c r="E218" s="19">
        <f>C218+D218</f>
        <v/>
      </c>
      <c r="F218" s="20">
        <f>DATA!C218</f>
        <v/>
      </c>
      <c r="G218" s="20">
        <f>DATA!F218</f>
        <v/>
      </c>
      <c r="H218" s="19">
        <f>C218*(1+F218)</f>
        <v/>
      </c>
      <c r="I218" s="19">
        <f>D218*(1+G218)</f>
        <v/>
      </c>
      <c r="J218" s="19">
        <f>IF(AND(CONFIG!$B$11="Annual",MONTH(A218)=7),(H218+I218)*CONFIG!$B$6/12,J217)</f>
        <v/>
      </c>
      <c r="K218" s="19">
        <f>MAX(0,I218-J218)</f>
        <v/>
      </c>
      <c r="L218">
        <f>IF(OR(MONTH(A218)=3,MONTH(A218)=6,MONTH(A218)=9,MONTH(A218)=12),"Y","N")</f>
        <v/>
      </c>
      <c r="M218" s="21">
        <f>IF((H218+K218)=0,0,K218/(H218+K218))</f>
        <v/>
      </c>
      <c r="N218">
        <f>IF(AND(L218="Y",OR(M218&lt;CONFIG!$B$8,M218&gt;CONFIG!$B$9)),"Y","N")</f>
        <v/>
      </c>
      <c r="O218" s="19">
        <f>IF(N218="Y",(H218+K218)*0.8,H218)</f>
        <v/>
      </c>
      <c r="P218" s="19">
        <f>IF(N218="Y",(H218+K218)*0.2,K218)</f>
        <v/>
      </c>
      <c r="R218" s="18">
        <f>DATA!A218</f>
        <v/>
      </c>
      <c r="S218">
        <f>DATA!B218</f>
        <v/>
      </c>
      <c r="T218" s="19">
        <f>AF217</f>
        <v/>
      </c>
      <c r="U218" s="19">
        <f>AG217</f>
        <v/>
      </c>
      <c r="V218" s="19">
        <f>T218+U218</f>
        <v/>
      </c>
      <c r="W218" s="20">
        <f>DATA!D218</f>
        <v/>
      </c>
      <c r="X218" s="20">
        <f>DATA!F218</f>
        <v/>
      </c>
      <c r="Y218" s="19">
        <f>T218*(1+W218)</f>
        <v/>
      </c>
      <c r="Z218" s="19">
        <f>U218*(1+X218)</f>
        <v/>
      </c>
      <c r="AA218" s="19">
        <f>IF(AND(CONFIG!$B$11="Annual",MONTH(R218)=7),(Y218+Z218)*CONFIG!$B$6/12,AA217)</f>
        <v/>
      </c>
      <c r="AB218" s="19">
        <f>MAX(0,Z218-AA218)</f>
        <v/>
      </c>
      <c r="AC218">
        <f>IF(OR(MONTH(R218)=3,MONTH(R218)=6,MONTH(R218)=9,MONTH(R218)=12),"Y","N")</f>
        <v/>
      </c>
      <c r="AD218" s="21">
        <f>IF((Y218+AB218)=0,0,AB218/(Y218+AB218))</f>
        <v/>
      </c>
      <c r="AE218">
        <f>IF(AND(AC218="Y",OR(AD218&lt;CONFIG!$B$8,AD218&gt;CONFIG!$B$9)),"Y","N")</f>
        <v/>
      </c>
      <c r="AF218" s="19">
        <f>IF(AE218="Y",(Y218+AB218)*0.8,Y218)</f>
        <v/>
      </c>
      <c r="AG218" s="19">
        <f>IF(AE218="Y",(Y218+AB218)*0.2,AB218)</f>
        <v/>
      </c>
      <c r="AI218" s="18">
        <f>DATA!A218</f>
        <v/>
      </c>
      <c r="AJ218">
        <f>DATA!B218</f>
        <v/>
      </c>
      <c r="AK218" s="19">
        <f>AW217</f>
        <v/>
      </c>
      <c r="AL218" s="19">
        <f>AX217</f>
        <v/>
      </c>
      <c r="AM218" s="19">
        <f>AK218+AL218</f>
        <v/>
      </c>
      <c r="AN218" s="20">
        <f>DATA!E218</f>
        <v/>
      </c>
      <c r="AO218" s="20">
        <f>DATA!F218</f>
        <v/>
      </c>
      <c r="AP218" s="19">
        <f>AK218*(1+AN218)</f>
        <v/>
      </c>
      <c r="AQ218" s="19">
        <f>AL218*(1+AO218)</f>
        <v/>
      </c>
      <c r="AR218" s="19">
        <f>IF(AND(CONFIG!$B$11="Annual",MONTH(AI218)=7),(AP218+AQ218)*CONFIG!$B$6/12,AR217)</f>
        <v/>
      </c>
      <c r="AS218" s="19">
        <f>MAX(0,AQ218-AR218)</f>
        <v/>
      </c>
      <c r="AT218">
        <f>IF(OR(MONTH(AI218)=3,MONTH(AI218)=6,MONTH(AI218)=9,MONTH(AI218)=12),"Y","N")</f>
        <v/>
      </c>
      <c r="AU218" s="21">
        <f>IF((AP218+AS218)=0,0,AS218/(AP218+AS218))</f>
        <v/>
      </c>
      <c r="AV218">
        <f>IF(AND(AT218="Y",OR(AU218&lt;CONFIG!$B$8,AU218&gt;CONFIG!$B$9)),"Y","N")</f>
        <v/>
      </c>
      <c r="AW218" s="19">
        <f>IF(AV218="Y",(AP218+AS218)*0.8,AP218)</f>
        <v/>
      </c>
      <c r="AX218" s="19">
        <f>IF(AV218="Y",(AP218+AS218)*0.2,AS218)</f>
        <v/>
      </c>
    </row>
    <row r="219">
      <c r="A219" s="18">
        <f>DATA!A219</f>
        <v/>
      </c>
      <c r="B219">
        <f>DATA!B219</f>
        <v/>
      </c>
      <c r="C219" s="19">
        <f>O218</f>
        <v/>
      </c>
      <c r="D219" s="19">
        <f>P218</f>
        <v/>
      </c>
      <c r="E219" s="19">
        <f>C219+D219</f>
        <v/>
      </c>
      <c r="F219" s="20">
        <f>DATA!C219</f>
        <v/>
      </c>
      <c r="G219" s="20">
        <f>DATA!F219</f>
        <v/>
      </c>
      <c r="H219" s="19">
        <f>C219*(1+F219)</f>
        <v/>
      </c>
      <c r="I219" s="19">
        <f>D219*(1+G219)</f>
        <v/>
      </c>
      <c r="J219" s="19">
        <f>IF(AND(CONFIG!$B$11="Annual",MONTH(A219)=7),(H219+I219)*CONFIG!$B$6/12,J218)</f>
        <v/>
      </c>
      <c r="K219" s="19">
        <f>MAX(0,I219-J219)</f>
        <v/>
      </c>
      <c r="L219">
        <f>IF(OR(MONTH(A219)=3,MONTH(A219)=6,MONTH(A219)=9,MONTH(A219)=12),"Y","N")</f>
        <v/>
      </c>
      <c r="M219" s="21">
        <f>IF((H219+K219)=0,0,K219/(H219+K219))</f>
        <v/>
      </c>
      <c r="N219">
        <f>IF(AND(L219="Y",OR(M219&lt;CONFIG!$B$8,M219&gt;CONFIG!$B$9)),"Y","N")</f>
        <v/>
      </c>
      <c r="O219" s="19">
        <f>IF(N219="Y",(H219+K219)*0.8,H219)</f>
        <v/>
      </c>
      <c r="P219" s="19">
        <f>IF(N219="Y",(H219+K219)*0.2,K219)</f>
        <v/>
      </c>
      <c r="R219" s="18">
        <f>DATA!A219</f>
        <v/>
      </c>
      <c r="S219">
        <f>DATA!B219</f>
        <v/>
      </c>
      <c r="T219" s="19">
        <f>AF218</f>
        <v/>
      </c>
      <c r="U219" s="19">
        <f>AG218</f>
        <v/>
      </c>
      <c r="V219" s="19">
        <f>T219+U219</f>
        <v/>
      </c>
      <c r="W219" s="20">
        <f>DATA!D219</f>
        <v/>
      </c>
      <c r="X219" s="20">
        <f>DATA!F219</f>
        <v/>
      </c>
      <c r="Y219" s="19">
        <f>T219*(1+W219)</f>
        <v/>
      </c>
      <c r="Z219" s="19">
        <f>U219*(1+X219)</f>
        <v/>
      </c>
      <c r="AA219" s="19">
        <f>IF(AND(CONFIG!$B$11="Annual",MONTH(R219)=7),(Y219+Z219)*CONFIG!$B$6/12,AA218)</f>
        <v/>
      </c>
      <c r="AB219" s="19">
        <f>MAX(0,Z219-AA219)</f>
        <v/>
      </c>
      <c r="AC219">
        <f>IF(OR(MONTH(R219)=3,MONTH(R219)=6,MONTH(R219)=9,MONTH(R219)=12),"Y","N")</f>
        <v/>
      </c>
      <c r="AD219" s="21">
        <f>IF((Y219+AB219)=0,0,AB219/(Y219+AB219))</f>
        <v/>
      </c>
      <c r="AE219">
        <f>IF(AND(AC219="Y",OR(AD219&lt;CONFIG!$B$8,AD219&gt;CONFIG!$B$9)),"Y","N")</f>
        <v/>
      </c>
      <c r="AF219" s="19">
        <f>IF(AE219="Y",(Y219+AB219)*0.8,Y219)</f>
        <v/>
      </c>
      <c r="AG219" s="19">
        <f>IF(AE219="Y",(Y219+AB219)*0.2,AB219)</f>
        <v/>
      </c>
      <c r="AI219" s="18">
        <f>DATA!A219</f>
        <v/>
      </c>
      <c r="AJ219">
        <f>DATA!B219</f>
        <v/>
      </c>
      <c r="AK219" s="19">
        <f>AW218</f>
        <v/>
      </c>
      <c r="AL219" s="19">
        <f>AX218</f>
        <v/>
      </c>
      <c r="AM219" s="19">
        <f>AK219+AL219</f>
        <v/>
      </c>
      <c r="AN219" s="20">
        <f>DATA!E219</f>
        <v/>
      </c>
      <c r="AO219" s="20">
        <f>DATA!F219</f>
        <v/>
      </c>
      <c r="AP219" s="19">
        <f>AK219*(1+AN219)</f>
        <v/>
      </c>
      <c r="AQ219" s="19">
        <f>AL219*(1+AO219)</f>
        <v/>
      </c>
      <c r="AR219" s="19">
        <f>IF(AND(CONFIG!$B$11="Annual",MONTH(AI219)=7),(AP219+AQ219)*CONFIG!$B$6/12,AR218)</f>
        <v/>
      </c>
      <c r="AS219" s="19">
        <f>MAX(0,AQ219-AR219)</f>
        <v/>
      </c>
      <c r="AT219">
        <f>IF(OR(MONTH(AI219)=3,MONTH(AI219)=6,MONTH(AI219)=9,MONTH(AI219)=12),"Y","N")</f>
        <v/>
      </c>
      <c r="AU219" s="21">
        <f>IF((AP219+AS219)=0,0,AS219/(AP219+AS219))</f>
        <v/>
      </c>
      <c r="AV219">
        <f>IF(AND(AT219="Y",OR(AU219&lt;CONFIG!$B$8,AU219&gt;CONFIG!$B$9)),"Y","N")</f>
        <v/>
      </c>
      <c r="AW219" s="19">
        <f>IF(AV219="Y",(AP219+AS219)*0.8,AP219)</f>
        <v/>
      </c>
      <c r="AX219" s="19">
        <f>IF(AV219="Y",(AP219+AS219)*0.2,AS219)</f>
        <v/>
      </c>
    </row>
    <row r="220">
      <c r="A220" s="18">
        <f>DATA!A220</f>
        <v/>
      </c>
      <c r="B220">
        <f>DATA!B220</f>
        <v/>
      </c>
      <c r="C220" s="19">
        <f>O219</f>
        <v/>
      </c>
      <c r="D220" s="19">
        <f>P219</f>
        <v/>
      </c>
      <c r="E220" s="19">
        <f>C220+D220</f>
        <v/>
      </c>
      <c r="F220" s="20">
        <f>DATA!C220</f>
        <v/>
      </c>
      <c r="G220" s="20">
        <f>DATA!F220</f>
        <v/>
      </c>
      <c r="H220" s="19">
        <f>C220*(1+F220)</f>
        <v/>
      </c>
      <c r="I220" s="19">
        <f>D220*(1+G220)</f>
        <v/>
      </c>
      <c r="J220" s="19">
        <f>IF(AND(CONFIG!$B$11="Annual",MONTH(A220)=7),(H220+I220)*CONFIG!$B$6/12,J219)</f>
        <v/>
      </c>
      <c r="K220" s="19">
        <f>MAX(0,I220-J220)</f>
        <v/>
      </c>
      <c r="L220">
        <f>IF(OR(MONTH(A220)=3,MONTH(A220)=6,MONTH(A220)=9,MONTH(A220)=12),"Y","N")</f>
        <v/>
      </c>
      <c r="M220" s="21">
        <f>IF((H220+K220)=0,0,K220/(H220+K220))</f>
        <v/>
      </c>
      <c r="N220">
        <f>IF(AND(L220="Y",OR(M220&lt;CONFIG!$B$8,M220&gt;CONFIG!$B$9)),"Y","N")</f>
        <v/>
      </c>
      <c r="O220" s="19">
        <f>IF(N220="Y",(H220+K220)*0.8,H220)</f>
        <v/>
      </c>
      <c r="P220" s="19">
        <f>IF(N220="Y",(H220+K220)*0.2,K220)</f>
        <v/>
      </c>
      <c r="R220" s="18">
        <f>DATA!A220</f>
        <v/>
      </c>
      <c r="S220">
        <f>DATA!B220</f>
        <v/>
      </c>
      <c r="T220" s="19">
        <f>AF219</f>
        <v/>
      </c>
      <c r="U220" s="19">
        <f>AG219</f>
        <v/>
      </c>
      <c r="V220" s="19">
        <f>T220+U220</f>
        <v/>
      </c>
      <c r="W220" s="20">
        <f>DATA!D220</f>
        <v/>
      </c>
      <c r="X220" s="20">
        <f>DATA!F220</f>
        <v/>
      </c>
      <c r="Y220" s="19">
        <f>T220*(1+W220)</f>
        <v/>
      </c>
      <c r="Z220" s="19">
        <f>U220*(1+X220)</f>
        <v/>
      </c>
      <c r="AA220" s="19">
        <f>IF(AND(CONFIG!$B$11="Annual",MONTH(R220)=7),(Y220+Z220)*CONFIG!$B$6/12,AA219)</f>
        <v/>
      </c>
      <c r="AB220" s="19">
        <f>MAX(0,Z220-AA220)</f>
        <v/>
      </c>
      <c r="AC220">
        <f>IF(OR(MONTH(R220)=3,MONTH(R220)=6,MONTH(R220)=9,MONTH(R220)=12),"Y","N")</f>
        <v/>
      </c>
      <c r="AD220" s="21">
        <f>IF((Y220+AB220)=0,0,AB220/(Y220+AB220))</f>
        <v/>
      </c>
      <c r="AE220">
        <f>IF(AND(AC220="Y",OR(AD220&lt;CONFIG!$B$8,AD220&gt;CONFIG!$B$9)),"Y","N")</f>
        <v/>
      </c>
      <c r="AF220" s="19">
        <f>IF(AE220="Y",(Y220+AB220)*0.8,Y220)</f>
        <v/>
      </c>
      <c r="AG220" s="19">
        <f>IF(AE220="Y",(Y220+AB220)*0.2,AB220)</f>
        <v/>
      </c>
      <c r="AI220" s="18">
        <f>DATA!A220</f>
        <v/>
      </c>
      <c r="AJ220">
        <f>DATA!B220</f>
        <v/>
      </c>
      <c r="AK220" s="19">
        <f>AW219</f>
        <v/>
      </c>
      <c r="AL220" s="19">
        <f>AX219</f>
        <v/>
      </c>
      <c r="AM220" s="19">
        <f>AK220+AL220</f>
        <v/>
      </c>
      <c r="AN220" s="20">
        <f>DATA!E220</f>
        <v/>
      </c>
      <c r="AO220" s="20">
        <f>DATA!F220</f>
        <v/>
      </c>
      <c r="AP220" s="19">
        <f>AK220*(1+AN220)</f>
        <v/>
      </c>
      <c r="AQ220" s="19">
        <f>AL220*(1+AO220)</f>
        <v/>
      </c>
      <c r="AR220" s="19">
        <f>IF(AND(CONFIG!$B$11="Annual",MONTH(AI220)=7),(AP220+AQ220)*CONFIG!$B$6/12,AR219)</f>
        <v/>
      </c>
      <c r="AS220" s="19">
        <f>MAX(0,AQ220-AR220)</f>
        <v/>
      </c>
      <c r="AT220">
        <f>IF(OR(MONTH(AI220)=3,MONTH(AI220)=6,MONTH(AI220)=9,MONTH(AI220)=12),"Y","N")</f>
        <v/>
      </c>
      <c r="AU220" s="21">
        <f>IF((AP220+AS220)=0,0,AS220/(AP220+AS220))</f>
        <v/>
      </c>
      <c r="AV220">
        <f>IF(AND(AT220="Y",OR(AU220&lt;CONFIG!$B$8,AU220&gt;CONFIG!$B$9)),"Y","N")</f>
        <v/>
      </c>
      <c r="AW220" s="19">
        <f>IF(AV220="Y",(AP220+AS220)*0.8,AP220)</f>
        <v/>
      </c>
      <c r="AX220" s="19">
        <f>IF(AV220="Y",(AP220+AS220)*0.2,AS220)</f>
        <v/>
      </c>
    </row>
    <row r="221">
      <c r="A221" s="18">
        <f>DATA!A221</f>
        <v/>
      </c>
      <c r="B221">
        <f>DATA!B221</f>
        <v/>
      </c>
      <c r="C221" s="19">
        <f>O220</f>
        <v/>
      </c>
      <c r="D221" s="19">
        <f>P220</f>
        <v/>
      </c>
      <c r="E221" s="19">
        <f>C221+D221</f>
        <v/>
      </c>
      <c r="F221" s="20">
        <f>DATA!C221</f>
        <v/>
      </c>
      <c r="G221" s="20">
        <f>DATA!F221</f>
        <v/>
      </c>
      <c r="H221" s="19">
        <f>C221*(1+F221)</f>
        <v/>
      </c>
      <c r="I221" s="19">
        <f>D221*(1+G221)</f>
        <v/>
      </c>
      <c r="J221" s="19">
        <f>IF(AND(CONFIG!$B$11="Annual",MONTH(A221)=7),(H221+I221)*CONFIG!$B$6/12,J220)</f>
        <v/>
      </c>
      <c r="K221" s="19">
        <f>MAX(0,I221-J221)</f>
        <v/>
      </c>
      <c r="L221">
        <f>IF(OR(MONTH(A221)=3,MONTH(A221)=6,MONTH(A221)=9,MONTH(A221)=12),"Y","N")</f>
        <v/>
      </c>
      <c r="M221" s="21">
        <f>IF((H221+K221)=0,0,K221/(H221+K221))</f>
        <v/>
      </c>
      <c r="N221">
        <f>IF(AND(L221="Y",OR(M221&lt;CONFIG!$B$8,M221&gt;CONFIG!$B$9)),"Y","N")</f>
        <v/>
      </c>
      <c r="O221" s="19">
        <f>IF(N221="Y",(H221+K221)*0.8,H221)</f>
        <v/>
      </c>
      <c r="P221" s="19">
        <f>IF(N221="Y",(H221+K221)*0.2,K221)</f>
        <v/>
      </c>
      <c r="R221" s="18">
        <f>DATA!A221</f>
        <v/>
      </c>
      <c r="S221">
        <f>DATA!B221</f>
        <v/>
      </c>
      <c r="T221" s="19">
        <f>AF220</f>
        <v/>
      </c>
      <c r="U221" s="19">
        <f>AG220</f>
        <v/>
      </c>
      <c r="V221" s="19">
        <f>T221+U221</f>
        <v/>
      </c>
      <c r="W221" s="20">
        <f>DATA!D221</f>
        <v/>
      </c>
      <c r="X221" s="20">
        <f>DATA!F221</f>
        <v/>
      </c>
      <c r="Y221" s="19">
        <f>T221*(1+W221)</f>
        <v/>
      </c>
      <c r="Z221" s="19">
        <f>U221*(1+X221)</f>
        <v/>
      </c>
      <c r="AA221" s="19">
        <f>IF(AND(CONFIG!$B$11="Annual",MONTH(R221)=7),(Y221+Z221)*CONFIG!$B$6/12,AA220)</f>
        <v/>
      </c>
      <c r="AB221" s="19">
        <f>MAX(0,Z221-AA221)</f>
        <v/>
      </c>
      <c r="AC221">
        <f>IF(OR(MONTH(R221)=3,MONTH(R221)=6,MONTH(R221)=9,MONTH(R221)=12),"Y","N")</f>
        <v/>
      </c>
      <c r="AD221" s="21">
        <f>IF((Y221+AB221)=0,0,AB221/(Y221+AB221))</f>
        <v/>
      </c>
      <c r="AE221">
        <f>IF(AND(AC221="Y",OR(AD221&lt;CONFIG!$B$8,AD221&gt;CONFIG!$B$9)),"Y","N")</f>
        <v/>
      </c>
      <c r="AF221" s="19">
        <f>IF(AE221="Y",(Y221+AB221)*0.8,Y221)</f>
        <v/>
      </c>
      <c r="AG221" s="19">
        <f>IF(AE221="Y",(Y221+AB221)*0.2,AB221)</f>
        <v/>
      </c>
      <c r="AI221" s="18">
        <f>DATA!A221</f>
        <v/>
      </c>
      <c r="AJ221">
        <f>DATA!B221</f>
        <v/>
      </c>
      <c r="AK221" s="19">
        <f>AW220</f>
        <v/>
      </c>
      <c r="AL221" s="19">
        <f>AX220</f>
        <v/>
      </c>
      <c r="AM221" s="19">
        <f>AK221+AL221</f>
        <v/>
      </c>
      <c r="AN221" s="20">
        <f>DATA!E221</f>
        <v/>
      </c>
      <c r="AO221" s="20">
        <f>DATA!F221</f>
        <v/>
      </c>
      <c r="AP221" s="19">
        <f>AK221*(1+AN221)</f>
        <v/>
      </c>
      <c r="AQ221" s="19">
        <f>AL221*(1+AO221)</f>
        <v/>
      </c>
      <c r="AR221" s="19">
        <f>IF(AND(CONFIG!$B$11="Annual",MONTH(AI221)=7),(AP221+AQ221)*CONFIG!$B$6/12,AR220)</f>
        <v/>
      </c>
      <c r="AS221" s="19">
        <f>MAX(0,AQ221-AR221)</f>
        <v/>
      </c>
      <c r="AT221">
        <f>IF(OR(MONTH(AI221)=3,MONTH(AI221)=6,MONTH(AI221)=9,MONTH(AI221)=12),"Y","N")</f>
        <v/>
      </c>
      <c r="AU221" s="21">
        <f>IF((AP221+AS221)=0,0,AS221/(AP221+AS221))</f>
        <v/>
      </c>
      <c r="AV221">
        <f>IF(AND(AT221="Y",OR(AU221&lt;CONFIG!$B$8,AU221&gt;CONFIG!$B$9)),"Y","N")</f>
        <v/>
      </c>
      <c r="AW221" s="19">
        <f>IF(AV221="Y",(AP221+AS221)*0.8,AP221)</f>
        <v/>
      </c>
      <c r="AX221" s="19">
        <f>IF(AV221="Y",(AP221+AS221)*0.2,AS221)</f>
        <v/>
      </c>
    </row>
    <row r="222">
      <c r="A222" s="18">
        <f>DATA!A222</f>
        <v/>
      </c>
      <c r="B222">
        <f>DATA!B222</f>
        <v/>
      </c>
      <c r="C222" s="19">
        <f>O221</f>
        <v/>
      </c>
      <c r="D222" s="19">
        <f>P221</f>
        <v/>
      </c>
      <c r="E222" s="19">
        <f>C222+D222</f>
        <v/>
      </c>
      <c r="F222" s="20">
        <f>DATA!C222</f>
        <v/>
      </c>
      <c r="G222" s="20">
        <f>DATA!F222</f>
        <v/>
      </c>
      <c r="H222" s="19">
        <f>C222*(1+F222)</f>
        <v/>
      </c>
      <c r="I222" s="19">
        <f>D222*(1+G222)</f>
        <v/>
      </c>
      <c r="J222" s="19">
        <f>IF(AND(CONFIG!$B$11="Annual",MONTH(A222)=7),(H222+I222)*CONFIG!$B$6/12,J221)</f>
        <v/>
      </c>
      <c r="K222" s="19">
        <f>MAX(0,I222-J222)</f>
        <v/>
      </c>
      <c r="L222">
        <f>IF(OR(MONTH(A222)=3,MONTH(A222)=6,MONTH(A222)=9,MONTH(A222)=12),"Y","N")</f>
        <v/>
      </c>
      <c r="M222" s="21">
        <f>IF((H222+K222)=0,0,K222/(H222+K222))</f>
        <v/>
      </c>
      <c r="N222">
        <f>IF(AND(L222="Y",OR(M222&lt;CONFIG!$B$8,M222&gt;CONFIG!$B$9)),"Y","N")</f>
        <v/>
      </c>
      <c r="O222" s="19">
        <f>IF(N222="Y",(H222+K222)*0.8,H222)</f>
        <v/>
      </c>
      <c r="P222" s="19">
        <f>IF(N222="Y",(H222+K222)*0.2,K222)</f>
        <v/>
      </c>
      <c r="R222" s="18">
        <f>DATA!A222</f>
        <v/>
      </c>
      <c r="S222">
        <f>DATA!B222</f>
        <v/>
      </c>
      <c r="T222" s="19">
        <f>AF221</f>
        <v/>
      </c>
      <c r="U222" s="19">
        <f>AG221</f>
        <v/>
      </c>
      <c r="V222" s="19">
        <f>T222+U222</f>
        <v/>
      </c>
      <c r="W222" s="20">
        <f>DATA!D222</f>
        <v/>
      </c>
      <c r="X222" s="20">
        <f>DATA!F222</f>
        <v/>
      </c>
      <c r="Y222" s="19">
        <f>T222*(1+W222)</f>
        <v/>
      </c>
      <c r="Z222" s="19">
        <f>U222*(1+X222)</f>
        <v/>
      </c>
      <c r="AA222" s="19">
        <f>IF(AND(CONFIG!$B$11="Annual",MONTH(R222)=7),(Y222+Z222)*CONFIG!$B$6/12,AA221)</f>
        <v/>
      </c>
      <c r="AB222" s="19">
        <f>MAX(0,Z222-AA222)</f>
        <v/>
      </c>
      <c r="AC222">
        <f>IF(OR(MONTH(R222)=3,MONTH(R222)=6,MONTH(R222)=9,MONTH(R222)=12),"Y","N")</f>
        <v/>
      </c>
      <c r="AD222" s="21">
        <f>IF((Y222+AB222)=0,0,AB222/(Y222+AB222))</f>
        <v/>
      </c>
      <c r="AE222">
        <f>IF(AND(AC222="Y",OR(AD222&lt;CONFIG!$B$8,AD222&gt;CONFIG!$B$9)),"Y","N")</f>
        <v/>
      </c>
      <c r="AF222" s="19">
        <f>IF(AE222="Y",(Y222+AB222)*0.8,Y222)</f>
        <v/>
      </c>
      <c r="AG222" s="19">
        <f>IF(AE222="Y",(Y222+AB222)*0.2,AB222)</f>
        <v/>
      </c>
      <c r="AI222" s="18">
        <f>DATA!A222</f>
        <v/>
      </c>
      <c r="AJ222">
        <f>DATA!B222</f>
        <v/>
      </c>
      <c r="AK222" s="19">
        <f>AW221</f>
        <v/>
      </c>
      <c r="AL222" s="19">
        <f>AX221</f>
        <v/>
      </c>
      <c r="AM222" s="19">
        <f>AK222+AL222</f>
        <v/>
      </c>
      <c r="AN222" s="20">
        <f>DATA!E222</f>
        <v/>
      </c>
      <c r="AO222" s="20">
        <f>DATA!F222</f>
        <v/>
      </c>
      <c r="AP222" s="19">
        <f>AK222*(1+AN222)</f>
        <v/>
      </c>
      <c r="AQ222" s="19">
        <f>AL222*(1+AO222)</f>
        <v/>
      </c>
      <c r="AR222" s="19">
        <f>IF(AND(CONFIG!$B$11="Annual",MONTH(AI222)=7),(AP222+AQ222)*CONFIG!$B$6/12,AR221)</f>
        <v/>
      </c>
      <c r="AS222" s="19">
        <f>MAX(0,AQ222-AR222)</f>
        <v/>
      </c>
      <c r="AT222">
        <f>IF(OR(MONTH(AI222)=3,MONTH(AI222)=6,MONTH(AI222)=9,MONTH(AI222)=12),"Y","N")</f>
        <v/>
      </c>
      <c r="AU222" s="21">
        <f>IF((AP222+AS222)=0,0,AS222/(AP222+AS222))</f>
        <v/>
      </c>
      <c r="AV222">
        <f>IF(AND(AT222="Y",OR(AU222&lt;CONFIG!$B$8,AU222&gt;CONFIG!$B$9)),"Y","N")</f>
        <v/>
      </c>
      <c r="AW222" s="19">
        <f>IF(AV222="Y",(AP222+AS222)*0.8,AP222)</f>
        <v/>
      </c>
      <c r="AX222" s="19">
        <f>IF(AV222="Y",(AP222+AS222)*0.2,AS222)</f>
        <v/>
      </c>
    </row>
    <row r="223">
      <c r="A223" s="18">
        <f>DATA!A223</f>
        <v/>
      </c>
      <c r="B223">
        <f>DATA!B223</f>
        <v/>
      </c>
      <c r="C223" s="19">
        <f>O222</f>
        <v/>
      </c>
      <c r="D223" s="19">
        <f>P222</f>
        <v/>
      </c>
      <c r="E223" s="19">
        <f>C223+D223</f>
        <v/>
      </c>
      <c r="F223" s="20">
        <f>DATA!C223</f>
        <v/>
      </c>
      <c r="G223" s="20">
        <f>DATA!F223</f>
        <v/>
      </c>
      <c r="H223" s="19">
        <f>C223*(1+F223)</f>
        <v/>
      </c>
      <c r="I223" s="19">
        <f>D223*(1+G223)</f>
        <v/>
      </c>
      <c r="J223" s="19">
        <f>IF(AND(CONFIG!$B$11="Annual",MONTH(A223)=7),(H223+I223)*CONFIG!$B$6/12,J222)</f>
        <v/>
      </c>
      <c r="K223" s="19">
        <f>MAX(0,I223-J223)</f>
        <v/>
      </c>
      <c r="L223">
        <f>IF(OR(MONTH(A223)=3,MONTH(A223)=6,MONTH(A223)=9,MONTH(A223)=12),"Y","N")</f>
        <v/>
      </c>
      <c r="M223" s="21">
        <f>IF((H223+K223)=0,0,K223/(H223+K223))</f>
        <v/>
      </c>
      <c r="N223">
        <f>IF(AND(L223="Y",OR(M223&lt;CONFIG!$B$8,M223&gt;CONFIG!$B$9)),"Y","N")</f>
        <v/>
      </c>
      <c r="O223" s="19">
        <f>IF(N223="Y",(H223+K223)*0.8,H223)</f>
        <v/>
      </c>
      <c r="P223" s="19">
        <f>IF(N223="Y",(H223+K223)*0.2,K223)</f>
        <v/>
      </c>
      <c r="R223" s="18">
        <f>DATA!A223</f>
        <v/>
      </c>
      <c r="S223">
        <f>DATA!B223</f>
        <v/>
      </c>
      <c r="T223" s="19">
        <f>AF222</f>
        <v/>
      </c>
      <c r="U223" s="19">
        <f>AG222</f>
        <v/>
      </c>
      <c r="V223" s="19">
        <f>T223+U223</f>
        <v/>
      </c>
      <c r="W223" s="20">
        <f>DATA!D223</f>
        <v/>
      </c>
      <c r="X223" s="20">
        <f>DATA!F223</f>
        <v/>
      </c>
      <c r="Y223" s="19">
        <f>T223*(1+W223)</f>
        <v/>
      </c>
      <c r="Z223" s="19">
        <f>U223*(1+X223)</f>
        <v/>
      </c>
      <c r="AA223" s="19">
        <f>IF(AND(CONFIG!$B$11="Annual",MONTH(R223)=7),(Y223+Z223)*CONFIG!$B$6/12,AA222)</f>
        <v/>
      </c>
      <c r="AB223" s="19">
        <f>MAX(0,Z223-AA223)</f>
        <v/>
      </c>
      <c r="AC223">
        <f>IF(OR(MONTH(R223)=3,MONTH(R223)=6,MONTH(R223)=9,MONTH(R223)=12),"Y","N")</f>
        <v/>
      </c>
      <c r="AD223" s="21">
        <f>IF((Y223+AB223)=0,0,AB223/(Y223+AB223))</f>
        <v/>
      </c>
      <c r="AE223">
        <f>IF(AND(AC223="Y",OR(AD223&lt;CONFIG!$B$8,AD223&gt;CONFIG!$B$9)),"Y","N")</f>
        <v/>
      </c>
      <c r="AF223" s="19">
        <f>IF(AE223="Y",(Y223+AB223)*0.8,Y223)</f>
        <v/>
      </c>
      <c r="AG223" s="19">
        <f>IF(AE223="Y",(Y223+AB223)*0.2,AB223)</f>
        <v/>
      </c>
      <c r="AI223" s="18">
        <f>DATA!A223</f>
        <v/>
      </c>
      <c r="AJ223">
        <f>DATA!B223</f>
        <v/>
      </c>
      <c r="AK223" s="19">
        <f>AW222</f>
        <v/>
      </c>
      <c r="AL223" s="19">
        <f>AX222</f>
        <v/>
      </c>
      <c r="AM223" s="19">
        <f>AK223+AL223</f>
        <v/>
      </c>
      <c r="AN223" s="20">
        <f>DATA!E223</f>
        <v/>
      </c>
      <c r="AO223" s="20">
        <f>DATA!F223</f>
        <v/>
      </c>
      <c r="AP223" s="19">
        <f>AK223*(1+AN223)</f>
        <v/>
      </c>
      <c r="AQ223" s="19">
        <f>AL223*(1+AO223)</f>
        <v/>
      </c>
      <c r="AR223" s="19">
        <f>IF(AND(CONFIG!$B$11="Annual",MONTH(AI223)=7),(AP223+AQ223)*CONFIG!$B$6/12,AR222)</f>
        <v/>
      </c>
      <c r="AS223" s="19">
        <f>MAX(0,AQ223-AR223)</f>
        <v/>
      </c>
      <c r="AT223">
        <f>IF(OR(MONTH(AI223)=3,MONTH(AI223)=6,MONTH(AI223)=9,MONTH(AI223)=12),"Y","N")</f>
        <v/>
      </c>
      <c r="AU223" s="21">
        <f>IF((AP223+AS223)=0,0,AS223/(AP223+AS223))</f>
        <v/>
      </c>
      <c r="AV223">
        <f>IF(AND(AT223="Y",OR(AU223&lt;CONFIG!$B$8,AU223&gt;CONFIG!$B$9)),"Y","N")</f>
        <v/>
      </c>
      <c r="AW223" s="19">
        <f>IF(AV223="Y",(AP223+AS223)*0.8,AP223)</f>
        <v/>
      </c>
      <c r="AX223" s="19">
        <f>IF(AV223="Y",(AP223+AS223)*0.2,AS223)</f>
        <v/>
      </c>
    </row>
    <row r="224">
      <c r="A224" s="18">
        <f>DATA!A224</f>
        <v/>
      </c>
      <c r="B224">
        <f>DATA!B224</f>
        <v/>
      </c>
      <c r="C224" s="19">
        <f>O223</f>
        <v/>
      </c>
      <c r="D224" s="19">
        <f>P223</f>
        <v/>
      </c>
      <c r="E224" s="19">
        <f>C224+D224</f>
        <v/>
      </c>
      <c r="F224" s="20">
        <f>DATA!C224</f>
        <v/>
      </c>
      <c r="G224" s="20">
        <f>DATA!F224</f>
        <v/>
      </c>
      <c r="H224" s="19">
        <f>C224*(1+F224)</f>
        <v/>
      </c>
      <c r="I224" s="19">
        <f>D224*(1+G224)</f>
        <v/>
      </c>
      <c r="J224" s="19">
        <f>IF(AND(CONFIG!$B$11="Annual",MONTH(A224)=7),(H224+I224)*CONFIG!$B$6/12,J223)</f>
        <v/>
      </c>
      <c r="K224" s="19">
        <f>MAX(0,I224-J224)</f>
        <v/>
      </c>
      <c r="L224">
        <f>IF(OR(MONTH(A224)=3,MONTH(A224)=6,MONTH(A224)=9,MONTH(A224)=12),"Y","N")</f>
        <v/>
      </c>
      <c r="M224" s="21">
        <f>IF((H224+K224)=0,0,K224/(H224+K224))</f>
        <v/>
      </c>
      <c r="N224">
        <f>IF(AND(L224="Y",OR(M224&lt;CONFIG!$B$8,M224&gt;CONFIG!$B$9)),"Y","N")</f>
        <v/>
      </c>
      <c r="O224" s="19">
        <f>IF(N224="Y",(H224+K224)*0.8,H224)</f>
        <v/>
      </c>
      <c r="P224" s="19">
        <f>IF(N224="Y",(H224+K224)*0.2,K224)</f>
        <v/>
      </c>
      <c r="R224" s="18">
        <f>DATA!A224</f>
        <v/>
      </c>
      <c r="S224">
        <f>DATA!B224</f>
        <v/>
      </c>
      <c r="T224" s="19">
        <f>AF223</f>
        <v/>
      </c>
      <c r="U224" s="19">
        <f>AG223</f>
        <v/>
      </c>
      <c r="V224" s="19">
        <f>T224+U224</f>
        <v/>
      </c>
      <c r="W224" s="20">
        <f>DATA!D224</f>
        <v/>
      </c>
      <c r="X224" s="20">
        <f>DATA!F224</f>
        <v/>
      </c>
      <c r="Y224" s="19">
        <f>T224*(1+W224)</f>
        <v/>
      </c>
      <c r="Z224" s="19">
        <f>U224*(1+X224)</f>
        <v/>
      </c>
      <c r="AA224" s="19">
        <f>IF(AND(CONFIG!$B$11="Annual",MONTH(R224)=7),(Y224+Z224)*CONFIG!$B$6/12,AA223)</f>
        <v/>
      </c>
      <c r="AB224" s="19">
        <f>MAX(0,Z224-AA224)</f>
        <v/>
      </c>
      <c r="AC224">
        <f>IF(OR(MONTH(R224)=3,MONTH(R224)=6,MONTH(R224)=9,MONTH(R224)=12),"Y","N")</f>
        <v/>
      </c>
      <c r="AD224" s="21">
        <f>IF((Y224+AB224)=0,0,AB224/(Y224+AB224))</f>
        <v/>
      </c>
      <c r="AE224">
        <f>IF(AND(AC224="Y",OR(AD224&lt;CONFIG!$B$8,AD224&gt;CONFIG!$B$9)),"Y","N")</f>
        <v/>
      </c>
      <c r="AF224" s="19">
        <f>IF(AE224="Y",(Y224+AB224)*0.8,Y224)</f>
        <v/>
      </c>
      <c r="AG224" s="19">
        <f>IF(AE224="Y",(Y224+AB224)*0.2,AB224)</f>
        <v/>
      </c>
      <c r="AI224" s="18">
        <f>DATA!A224</f>
        <v/>
      </c>
      <c r="AJ224">
        <f>DATA!B224</f>
        <v/>
      </c>
      <c r="AK224" s="19">
        <f>AW223</f>
        <v/>
      </c>
      <c r="AL224" s="19">
        <f>AX223</f>
        <v/>
      </c>
      <c r="AM224" s="19">
        <f>AK224+AL224</f>
        <v/>
      </c>
      <c r="AN224" s="20">
        <f>DATA!E224</f>
        <v/>
      </c>
      <c r="AO224" s="20">
        <f>DATA!F224</f>
        <v/>
      </c>
      <c r="AP224" s="19">
        <f>AK224*(1+AN224)</f>
        <v/>
      </c>
      <c r="AQ224" s="19">
        <f>AL224*(1+AO224)</f>
        <v/>
      </c>
      <c r="AR224" s="19">
        <f>IF(AND(CONFIG!$B$11="Annual",MONTH(AI224)=7),(AP224+AQ224)*CONFIG!$B$6/12,AR223)</f>
        <v/>
      </c>
      <c r="AS224" s="19">
        <f>MAX(0,AQ224-AR224)</f>
        <v/>
      </c>
      <c r="AT224">
        <f>IF(OR(MONTH(AI224)=3,MONTH(AI224)=6,MONTH(AI224)=9,MONTH(AI224)=12),"Y","N")</f>
        <v/>
      </c>
      <c r="AU224" s="21">
        <f>IF((AP224+AS224)=0,0,AS224/(AP224+AS224))</f>
        <v/>
      </c>
      <c r="AV224">
        <f>IF(AND(AT224="Y",OR(AU224&lt;CONFIG!$B$8,AU224&gt;CONFIG!$B$9)),"Y","N")</f>
        <v/>
      </c>
      <c r="AW224" s="19">
        <f>IF(AV224="Y",(AP224+AS224)*0.8,AP224)</f>
        <v/>
      </c>
      <c r="AX224" s="19">
        <f>IF(AV224="Y",(AP224+AS224)*0.2,AS224)</f>
        <v/>
      </c>
    </row>
    <row r="225">
      <c r="A225" s="18">
        <f>DATA!A225</f>
        <v/>
      </c>
      <c r="B225">
        <f>DATA!B225</f>
        <v/>
      </c>
      <c r="C225" s="19">
        <f>O224</f>
        <v/>
      </c>
      <c r="D225" s="19">
        <f>P224</f>
        <v/>
      </c>
      <c r="E225" s="19">
        <f>C225+D225</f>
        <v/>
      </c>
      <c r="F225" s="20">
        <f>DATA!C225</f>
        <v/>
      </c>
      <c r="G225" s="20">
        <f>DATA!F225</f>
        <v/>
      </c>
      <c r="H225" s="19">
        <f>C225*(1+F225)</f>
        <v/>
      </c>
      <c r="I225" s="19">
        <f>D225*(1+G225)</f>
        <v/>
      </c>
      <c r="J225" s="19">
        <f>IF(AND(CONFIG!$B$11="Annual",MONTH(A225)=7),(H225+I225)*CONFIG!$B$6/12,J224)</f>
        <v/>
      </c>
      <c r="K225" s="19">
        <f>MAX(0,I225-J225)</f>
        <v/>
      </c>
      <c r="L225">
        <f>IF(OR(MONTH(A225)=3,MONTH(A225)=6,MONTH(A225)=9,MONTH(A225)=12),"Y","N")</f>
        <v/>
      </c>
      <c r="M225" s="21">
        <f>IF((H225+K225)=0,0,K225/(H225+K225))</f>
        <v/>
      </c>
      <c r="N225">
        <f>IF(AND(L225="Y",OR(M225&lt;CONFIG!$B$8,M225&gt;CONFIG!$B$9)),"Y","N")</f>
        <v/>
      </c>
      <c r="O225" s="19">
        <f>IF(N225="Y",(H225+K225)*0.8,H225)</f>
        <v/>
      </c>
      <c r="P225" s="19">
        <f>IF(N225="Y",(H225+K225)*0.2,K225)</f>
        <v/>
      </c>
      <c r="R225" s="18">
        <f>DATA!A225</f>
        <v/>
      </c>
      <c r="S225">
        <f>DATA!B225</f>
        <v/>
      </c>
      <c r="T225" s="19">
        <f>AF224</f>
        <v/>
      </c>
      <c r="U225" s="19">
        <f>AG224</f>
        <v/>
      </c>
      <c r="V225" s="19">
        <f>T225+U225</f>
        <v/>
      </c>
      <c r="W225" s="20">
        <f>DATA!D225</f>
        <v/>
      </c>
      <c r="X225" s="20">
        <f>DATA!F225</f>
        <v/>
      </c>
      <c r="Y225" s="19">
        <f>T225*(1+W225)</f>
        <v/>
      </c>
      <c r="Z225" s="19">
        <f>U225*(1+X225)</f>
        <v/>
      </c>
      <c r="AA225" s="19">
        <f>IF(AND(CONFIG!$B$11="Annual",MONTH(R225)=7),(Y225+Z225)*CONFIG!$B$6/12,AA224)</f>
        <v/>
      </c>
      <c r="AB225" s="19">
        <f>MAX(0,Z225-AA225)</f>
        <v/>
      </c>
      <c r="AC225">
        <f>IF(OR(MONTH(R225)=3,MONTH(R225)=6,MONTH(R225)=9,MONTH(R225)=12),"Y","N")</f>
        <v/>
      </c>
      <c r="AD225" s="21">
        <f>IF((Y225+AB225)=0,0,AB225/(Y225+AB225))</f>
        <v/>
      </c>
      <c r="AE225">
        <f>IF(AND(AC225="Y",OR(AD225&lt;CONFIG!$B$8,AD225&gt;CONFIG!$B$9)),"Y","N")</f>
        <v/>
      </c>
      <c r="AF225" s="19">
        <f>IF(AE225="Y",(Y225+AB225)*0.8,Y225)</f>
        <v/>
      </c>
      <c r="AG225" s="19">
        <f>IF(AE225="Y",(Y225+AB225)*0.2,AB225)</f>
        <v/>
      </c>
      <c r="AI225" s="18">
        <f>DATA!A225</f>
        <v/>
      </c>
      <c r="AJ225">
        <f>DATA!B225</f>
        <v/>
      </c>
      <c r="AK225" s="19">
        <f>AW224</f>
        <v/>
      </c>
      <c r="AL225" s="19">
        <f>AX224</f>
        <v/>
      </c>
      <c r="AM225" s="19">
        <f>AK225+AL225</f>
        <v/>
      </c>
      <c r="AN225" s="20">
        <f>DATA!E225</f>
        <v/>
      </c>
      <c r="AO225" s="20">
        <f>DATA!F225</f>
        <v/>
      </c>
      <c r="AP225" s="19">
        <f>AK225*(1+AN225)</f>
        <v/>
      </c>
      <c r="AQ225" s="19">
        <f>AL225*(1+AO225)</f>
        <v/>
      </c>
      <c r="AR225" s="19">
        <f>IF(AND(CONFIG!$B$11="Annual",MONTH(AI225)=7),(AP225+AQ225)*CONFIG!$B$6/12,AR224)</f>
        <v/>
      </c>
      <c r="AS225" s="19">
        <f>MAX(0,AQ225-AR225)</f>
        <v/>
      </c>
      <c r="AT225">
        <f>IF(OR(MONTH(AI225)=3,MONTH(AI225)=6,MONTH(AI225)=9,MONTH(AI225)=12),"Y","N")</f>
        <v/>
      </c>
      <c r="AU225" s="21">
        <f>IF((AP225+AS225)=0,0,AS225/(AP225+AS225))</f>
        <v/>
      </c>
      <c r="AV225">
        <f>IF(AND(AT225="Y",OR(AU225&lt;CONFIG!$B$8,AU225&gt;CONFIG!$B$9)),"Y","N")</f>
        <v/>
      </c>
      <c r="AW225" s="19">
        <f>IF(AV225="Y",(AP225+AS225)*0.8,AP225)</f>
        <v/>
      </c>
      <c r="AX225" s="19">
        <f>IF(AV225="Y",(AP225+AS225)*0.2,AS225)</f>
        <v/>
      </c>
    </row>
    <row r="226">
      <c r="A226" s="18">
        <f>DATA!A226</f>
        <v/>
      </c>
      <c r="B226">
        <f>DATA!B226</f>
        <v/>
      </c>
      <c r="C226" s="19">
        <f>O225</f>
        <v/>
      </c>
      <c r="D226" s="19">
        <f>P225</f>
        <v/>
      </c>
      <c r="E226" s="19">
        <f>C226+D226</f>
        <v/>
      </c>
      <c r="F226" s="20">
        <f>DATA!C226</f>
        <v/>
      </c>
      <c r="G226" s="20">
        <f>DATA!F226</f>
        <v/>
      </c>
      <c r="H226" s="19">
        <f>C226*(1+F226)</f>
        <v/>
      </c>
      <c r="I226" s="19">
        <f>D226*(1+G226)</f>
        <v/>
      </c>
      <c r="J226" s="19">
        <f>IF(AND(CONFIG!$B$11="Annual",MONTH(A226)=7),(H226+I226)*CONFIG!$B$6/12,J225)</f>
        <v/>
      </c>
      <c r="K226" s="19">
        <f>MAX(0,I226-J226)</f>
        <v/>
      </c>
      <c r="L226">
        <f>IF(OR(MONTH(A226)=3,MONTH(A226)=6,MONTH(A226)=9,MONTH(A226)=12),"Y","N")</f>
        <v/>
      </c>
      <c r="M226" s="21">
        <f>IF((H226+K226)=0,0,K226/(H226+K226))</f>
        <v/>
      </c>
      <c r="N226">
        <f>IF(AND(L226="Y",OR(M226&lt;CONFIG!$B$8,M226&gt;CONFIG!$B$9)),"Y","N")</f>
        <v/>
      </c>
      <c r="O226" s="19">
        <f>IF(N226="Y",(H226+K226)*0.8,H226)</f>
        <v/>
      </c>
      <c r="P226" s="19">
        <f>IF(N226="Y",(H226+K226)*0.2,K226)</f>
        <v/>
      </c>
      <c r="R226" s="18">
        <f>DATA!A226</f>
        <v/>
      </c>
      <c r="S226">
        <f>DATA!B226</f>
        <v/>
      </c>
      <c r="T226" s="19">
        <f>AF225</f>
        <v/>
      </c>
      <c r="U226" s="19">
        <f>AG225</f>
        <v/>
      </c>
      <c r="V226" s="19">
        <f>T226+U226</f>
        <v/>
      </c>
      <c r="W226" s="20">
        <f>DATA!D226</f>
        <v/>
      </c>
      <c r="X226" s="20">
        <f>DATA!F226</f>
        <v/>
      </c>
      <c r="Y226" s="19">
        <f>T226*(1+W226)</f>
        <v/>
      </c>
      <c r="Z226" s="19">
        <f>U226*(1+X226)</f>
        <v/>
      </c>
      <c r="AA226" s="19">
        <f>IF(AND(CONFIG!$B$11="Annual",MONTH(R226)=7),(Y226+Z226)*CONFIG!$B$6/12,AA225)</f>
        <v/>
      </c>
      <c r="AB226" s="19">
        <f>MAX(0,Z226-AA226)</f>
        <v/>
      </c>
      <c r="AC226">
        <f>IF(OR(MONTH(R226)=3,MONTH(R226)=6,MONTH(R226)=9,MONTH(R226)=12),"Y","N")</f>
        <v/>
      </c>
      <c r="AD226" s="21">
        <f>IF((Y226+AB226)=0,0,AB226/(Y226+AB226))</f>
        <v/>
      </c>
      <c r="AE226">
        <f>IF(AND(AC226="Y",OR(AD226&lt;CONFIG!$B$8,AD226&gt;CONFIG!$B$9)),"Y","N")</f>
        <v/>
      </c>
      <c r="AF226" s="19">
        <f>IF(AE226="Y",(Y226+AB226)*0.8,Y226)</f>
        <v/>
      </c>
      <c r="AG226" s="19">
        <f>IF(AE226="Y",(Y226+AB226)*0.2,AB226)</f>
        <v/>
      </c>
      <c r="AI226" s="18">
        <f>DATA!A226</f>
        <v/>
      </c>
      <c r="AJ226">
        <f>DATA!B226</f>
        <v/>
      </c>
      <c r="AK226" s="19">
        <f>AW225</f>
        <v/>
      </c>
      <c r="AL226" s="19">
        <f>AX225</f>
        <v/>
      </c>
      <c r="AM226" s="19">
        <f>AK226+AL226</f>
        <v/>
      </c>
      <c r="AN226" s="20">
        <f>DATA!E226</f>
        <v/>
      </c>
      <c r="AO226" s="20">
        <f>DATA!F226</f>
        <v/>
      </c>
      <c r="AP226" s="19">
        <f>AK226*(1+AN226)</f>
        <v/>
      </c>
      <c r="AQ226" s="19">
        <f>AL226*(1+AO226)</f>
        <v/>
      </c>
      <c r="AR226" s="19">
        <f>IF(AND(CONFIG!$B$11="Annual",MONTH(AI226)=7),(AP226+AQ226)*CONFIG!$B$6/12,AR225)</f>
        <v/>
      </c>
      <c r="AS226" s="19">
        <f>MAX(0,AQ226-AR226)</f>
        <v/>
      </c>
      <c r="AT226">
        <f>IF(OR(MONTH(AI226)=3,MONTH(AI226)=6,MONTH(AI226)=9,MONTH(AI226)=12),"Y","N")</f>
        <v/>
      </c>
      <c r="AU226" s="21">
        <f>IF((AP226+AS226)=0,0,AS226/(AP226+AS226))</f>
        <v/>
      </c>
      <c r="AV226">
        <f>IF(AND(AT226="Y",OR(AU226&lt;CONFIG!$B$8,AU226&gt;CONFIG!$B$9)),"Y","N")</f>
        <v/>
      </c>
      <c r="AW226" s="19">
        <f>IF(AV226="Y",(AP226+AS226)*0.8,AP226)</f>
        <v/>
      </c>
      <c r="AX226" s="19">
        <f>IF(AV226="Y",(AP226+AS226)*0.2,AS226)</f>
        <v/>
      </c>
    </row>
    <row r="227">
      <c r="A227" s="18">
        <f>DATA!A227</f>
        <v/>
      </c>
      <c r="B227">
        <f>DATA!B227</f>
        <v/>
      </c>
      <c r="C227" s="19">
        <f>O226</f>
        <v/>
      </c>
      <c r="D227" s="19">
        <f>P226</f>
        <v/>
      </c>
      <c r="E227" s="19">
        <f>C227+D227</f>
        <v/>
      </c>
      <c r="F227" s="20">
        <f>DATA!C227</f>
        <v/>
      </c>
      <c r="G227" s="20">
        <f>DATA!F227</f>
        <v/>
      </c>
      <c r="H227" s="19">
        <f>C227*(1+F227)</f>
        <v/>
      </c>
      <c r="I227" s="19">
        <f>D227*(1+G227)</f>
        <v/>
      </c>
      <c r="J227" s="19">
        <f>IF(AND(CONFIG!$B$11="Annual",MONTH(A227)=7),(H227+I227)*CONFIG!$B$6/12,J226)</f>
        <v/>
      </c>
      <c r="K227" s="19">
        <f>MAX(0,I227-J227)</f>
        <v/>
      </c>
      <c r="L227">
        <f>IF(OR(MONTH(A227)=3,MONTH(A227)=6,MONTH(A227)=9,MONTH(A227)=12),"Y","N")</f>
        <v/>
      </c>
      <c r="M227" s="21">
        <f>IF((H227+K227)=0,0,K227/(H227+K227))</f>
        <v/>
      </c>
      <c r="N227">
        <f>IF(AND(L227="Y",OR(M227&lt;CONFIG!$B$8,M227&gt;CONFIG!$B$9)),"Y","N")</f>
        <v/>
      </c>
      <c r="O227" s="19">
        <f>IF(N227="Y",(H227+K227)*0.8,H227)</f>
        <v/>
      </c>
      <c r="P227" s="19">
        <f>IF(N227="Y",(H227+K227)*0.2,K227)</f>
        <v/>
      </c>
      <c r="R227" s="18">
        <f>DATA!A227</f>
        <v/>
      </c>
      <c r="S227">
        <f>DATA!B227</f>
        <v/>
      </c>
      <c r="T227" s="19">
        <f>AF226</f>
        <v/>
      </c>
      <c r="U227" s="19">
        <f>AG226</f>
        <v/>
      </c>
      <c r="V227" s="19">
        <f>T227+U227</f>
        <v/>
      </c>
      <c r="W227" s="20">
        <f>DATA!D227</f>
        <v/>
      </c>
      <c r="X227" s="20">
        <f>DATA!F227</f>
        <v/>
      </c>
      <c r="Y227" s="19">
        <f>T227*(1+W227)</f>
        <v/>
      </c>
      <c r="Z227" s="19">
        <f>U227*(1+X227)</f>
        <v/>
      </c>
      <c r="AA227" s="19">
        <f>IF(AND(CONFIG!$B$11="Annual",MONTH(R227)=7),(Y227+Z227)*CONFIG!$B$6/12,AA226)</f>
        <v/>
      </c>
      <c r="AB227" s="19">
        <f>MAX(0,Z227-AA227)</f>
        <v/>
      </c>
      <c r="AC227">
        <f>IF(OR(MONTH(R227)=3,MONTH(R227)=6,MONTH(R227)=9,MONTH(R227)=12),"Y","N")</f>
        <v/>
      </c>
      <c r="AD227" s="21">
        <f>IF((Y227+AB227)=0,0,AB227/(Y227+AB227))</f>
        <v/>
      </c>
      <c r="AE227">
        <f>IF(AND(AC227="Y",OR(AD227&lt;CONFIG!$B$8,AD227&gt;CONFIG!$B$9)),"Y","N")</f>
        <v/>
      </c>
      <c r="AF227" s="19">
        <f>IF(AE227="Y",(Y227+AB227)*0.8,Y227)</f>
        <v/>
      </c>
      <c r="AG227" s="19">
        <f>IF(AE227="Y",(Y227+AB227)*0.2,AB227)</f>
        <v/>
      </c>
      <c r="AI227" s="18">
        <f>DATA!A227</f>
        <v/>
      </c>
      <c r="AJ227">
        <f>DATA!B227</f>
        <v/>
      </c>
      <c r="AK227" s="19">
        <f>AW226</f>
        <v/>
      </c>
      <c r="AL227" s="19">
        <f>AX226</f>
        <v/>
      </c>
      <c r="AM227" s="19">
        <f>AK227+AL227</f>
        <v/>
      </c>
      <c r="AN227" s="20">
        <f>DATA!E227</f>
        <v/>
      </c>
      <c r="AO227" s="20">
        <f>DATA!F227</f>
        <v/>
      </c>
      <c r="AP227" s="19">
        <f>AK227*(1+AN227)</f>
        <v/>
      </c>
      <c r="AQ227" s="19">
        <f>AL227*(1+AO227)</f>
        <v/>
      </c>
      <c r="AR227" s="19">
        <f>IF(AND(CONFIG!$B$11="Annual",MONTH(AI227)=7),(AP227+AQ227)*CONFIG!$B$6/12,AR226)</f>
        <v/>
      </c>
      <c r="AS227" s="19">
        <f>MAX(0,AQ227-AR227)</f>
        <v/>
      </c>
      <c r="AT227">
        <f>IF(OR(MONTH(AI227)=3,MONTH(AI227)=6,MONTH(AI227)=9,MONTH(AI227)=12),"Y","N")</f>
        <v/>
      </c>
      <c r="AU227" s="21">
        <f>IF((AP227+AS227)=0,0,AS227/(AP227+AS227))</f>
        <v/>
      </c>
      <c r="AV227">
        <f>IF(AND(AT227="Y",OR(AU227&lt;CONFIG!$B$8,AU227&gt;CONFIG!$B$9)),"Y","N")</f>
        <v/>
      </c>
      <c r="AW227" s="19">
        <f>IF(AV227="Y",(AP227+AS227)*0.8,AP227)</f>
        <v/>
      </c>
      <c r="AX227" s="19">
        <f>IF(AV227="Y",(AP227+AS227)*0.2,AS227)</f>
        <v/>
      </c>
    </row>
    <row r="228">
      <c r="A228" s="18">
        <f>DATA!A228</f>
        <v/>
      </c>
      <c r="B228">
        <f>DATA!B228</f>
        <v/>
      </c>
      <c r="C228" s="19">
        <f>O227</f>
        <v/>
      </c>
      <c r="D228" s="19">
        <f>P227</f>
        <v/>
      </c>
      <c r="E228" s="19">
        <f>C228+D228</f>
        <v/>
      </c>
      <c r="F228" s="20">
        <f>DATA!C228</f>
        <v/>
      </c>
      <c r="G228" s="20">
        <f>DATA!F228</f>
        <v/>
      </c>
      <c r="H228" s="19">
        <f>C228*(1+F228)</f>
        <v/>
      </c>
      <c r="I228" s="19">
        <f>D228*(1+G228)</f>
        <v/>
      </c>
      <c r="J228" s="19">
        <f>IF(AND(CONFIG!$B$11="Annual",MONTH(A228)=7),(H228+I228)*CONFIG!$B$6/12,J227)</f>
        <v/>
      </c>
      <c r="K228" s="19">
        <f>MAX(0,I228-J228)</f>
        <v/>
      </c>
      <c r="L228">
        <f>IF(OR(MONTH(A228)=3,MONTH(A228)=6,MONTH(A228)=9,MONTH(A228)=12),"Y","N")</f>
        <v/>
      </c>
      <c r="M228" s="21">
        <f>IF((H228+K228)=0,0,K228/(H228+K228))</f>
        <v/>
      </c>
      <c r="N228">
        <f>IF(AND(L228="Y",OR(M228&lt;CONFIG!$B$8,M228&gt;CONFIG!$B$9)),"Y","N")</f>
        <v/>
      </c>
      <c r="O228" s="19">
        <f>IF(N228="Y",(H228+K228)*0.8,H228)</f>
        <v/>
      </c>
      <c r="P228" s="19">
        <f>IF(N228="Y",(H228+K228)*0.2,K228)</f>
        <v/>
      </c>
      <c r="R228" s="18">
        <f>DATA!A228</f>
        <v/>
      </c>
      <c r="S228">
        <f>DATA!B228</f>
        <v/>
      </c>
      <c r="T228" s="19">
        <f>AF227</f>
        <v/>
      </c>
      <c r="U228" s="19">
        <f>AG227</f>
        <v/>
      </c>
      <c r="V228" s="19">
        <f>T228+U228</f>
        <v/>
      </c>
      <c r="W228" s="20">
        <f>DATA!D228</f>
        <v/>
      </c>
      <c r="X228" s="20">
        <f>DATA!F228</f>
        <v/>
      </c>
      <c r="Y228" s="19">
        <f>T228*(1+W228)</f>
        <v/>
      </c>
      <c r="Z228" s="19">
        <f>U228*(1+X228)</f>
        <v/>
      </c>
      <c r="AA228" s="19">
        <f>IF(AND(CONFIG!$B$11="Annual",MONTH(R228)=7),(Y228+Z228)*CONFIG!$B$6/12,AA227)</f>
        <v/>
      </c>
      <c r="AB228" s="19">
        <f>MAX(0,Z228-AA228)</f>
        <v/>
      </c>
      <c r="AC228">
        <f>IF(OR(MONTH(R228)=3,MONTH(R228)=6,MONTH(R228)=9,MONTH(R228)=12),"Y","N")</f>
        <v/>
      </c>
      <c r="AD228" s="21">
        <f>IF((Y228+AB228)=0,0,AB228/(Y228+AB228))</f>
        <v/>
      </c>
      <c r="AE228">
        <f>IF(AND(AC228="Y",OR(AD228&lt;CONFIG!$B$8,AD228&gt;CONFIG!$B$9)),"Y","N")</f>
        <v/>
      </c>
      <c r="AF228" s="19">
        <f>IF(AE228="Y",(Y228+AB228)*0.8,Y228)</f>
        <v/>
      </c>
      <c r="AG228" s="19">
        <f>IF(AE228="Y",(Y228+AB228)*0.2,AB228)</f>
        <v/>
      </c>
      <c r="AI228" s="18">
        <f>DATA!A228</f>
        <v/>
      </c>
      <c r="AJ228">
        <f>DATA!B228</f>
        <v/>
      </c>
      <c r="AK228" s="19">
        <f>AW227</f>
        <v/>
      </c>
      <c r="AL228" s="19">
        <f>AX227</f>
        <v/>
      </c>
      <c r="AM228" s="19">
        <f>AK228+AL228</f>
        <v/>
      </c>
      <c r="AN228" s="20">
        <f>DATA!E228</f>
        <v/>
      </c>
      <c r="AO228" s="20">
        <f>DATA!F228</f>
        <v/>
      </c>
      <c r="AP228" s="19">
        <f>AK228*(1+AN228)</f>
        <v/>
      </c>
      <c r="AQ228" s="19">
        <f>AL228*(1+AO228)</f>
        <v/>
      </c>
      <c r="AR228" s="19">
        <f>IF(AND(CONFIG!$B$11="Annual",MONTH(AI228)=7),(AP228+AQ228)*CONFIG!$B$6/12,AR227)</f>
        <v/>
      </c>
      <c r="AS228" s="19">
        <f>MAX(0,AQ228-AR228)</f>
        <v/>
      </c>
      <c r="AT228">
        <f>IF(OR(MONTH(AI228)=3,MONTH(AI228)=6,MONTH(AI228)=9,MONTH(AI228)=12),"Y","N")</f>
        <v/>
      </c>
      <c r="AU228" s="21">
        <f>IF((AP228+AS228)=0,0,AS228/(AP228+AS228))</f>
        <v/>
      </c>
      <c r="AV228">
        <f>IF(AND(AT228="Y",OR(AU228&lt;CONFIG!$B$8,AU228&gt;CONFIG!$B$9)),"Y","N")</f>
        <v/>
      </c>
      <c r="AW228" s="19">
        <f>IF(AV228="Y",(AP228+AS228)*0.8,AP228)</f>
        <v/>
      </c>
      <c r="AX228" s="19">
        <f>IF(AV228="Y",(AP228+AS228)*0.2,AS228)</f>
        <v/>
      </c>
    </row>
    <row r="229">
      <c r="A229" s="18">
        <f>DATA!A229</f>
        <v/>
      </c>
      <c r="B229">
        <f>DATA!B229</f>
        <v/>
      </c>
      <c r="C229" s="19">
        <f>O228</f>
        <v/>
      </c>
      <c r="D229" s="19">
        <f>P228</f>
        <v/>
      </c>
      <c r="E229" s="19">
        <f>C229+D229</f>
        <v/>
      </c>
      <c r="F229" s="20">
        <f>DATA!C229</f>
        <v/>
      </c>
      <c r="G229" s="20">
        <f>DATA!F229</f>
        <v/>
      </c>
      <c r="H229" s="19">
        <f>C229*(1+F229)</f>
        <v/>
      </c>
      <c r="I229" s="19">
        <f>D229*(1+G229)</f>
        <v/>
      </c>
      <c r="J229" s="19">
        <f>IF(AND(CONFIG!$B$11="Annual",MONTH(A229)=7),(H229+I229)*CONFIG!$B$6/12,J228)</f>
        <v/>
      </c>
      <c r="K229" s="19">
        <f>MAX(0,I229-J229)</f>
        <v/>
      </c>
      <c r="L229">
        <f>IF(OR(MONTH(A229)=3,MONTH(A229)=6,MONTH(A229)=9,MONTH(A229)=12),"Y","N")</f>
        <v/>
      </c>
      <c r="M229" s="21">
        <f>IF((H229+K229)=0,0,K229/(H229+K229))</f>
        <v/>
      </c>
      <c r="N229">
        <f>IF(AND(L229="Y",OR(M229&lt;CONFIG!$B$8,M229&gt;CONFIG!$B$9)),"Y","N")</f>
        <v/>
      </c>
      <c r="O229" s="19">
        <f>IF(N229="Y",(H229+K229)*0.8,H229)</f>
        <v/>
      </c>
      <c r="P229" s="19">
        <f>IF(N229="Y",(H229+K229)*0.2,K229)</f>
        <v/>
      </c>
      <c r="R229" s="18">
        <f>DATA!A229</f>
        <v/>
      </c>
      <c r="S229">
        <f>DATA!B229</f>
        <v/>
      </c>
      <c r="T229" s="19">
        <f>AF228</f>
        <v/>
      </c>
      <c r="U229" s="19">
        <f>AG228</f>
        <v/>
      </c>
      <c r="V229" s="19">
        <f>T229+U229</f>
        <v/>
      </c>
      <c r="W229" s="20">
        <f>DATA!D229</f>
        <v/>
      </c>
      <c r="X229" s="20">
        <f>DATA!F229</f>
        <v/>
      </c>
      <c r="Y229" s="19">
        <f>T229*(1+W229)</f>
        <v/>
      </c>
      <c r="Z229" s="19">
        <f>U229*(1+X229)</f>
        <v/>
      </c>
      <c r="AA229" s="19">
        <f>IF(AND(CONFIG!$B$11="Annual",MONTH(R229)=7),(Y229+Z229)*CONFIG!$B$6/12,AA228)</f>
        <v/>
      </c>
      <c r="AB229" s="19">
        <f>MAX(0,Z229-AA229)</f>
        <v/>
      </c>
      <c r="AC229">
        <f>IF(OR(MONTH(R229)=3,MONTH(R229)=6,MONTH(R229)=9,MONTH(R229)=12),"Y","N")</f>
        <v/>
      </c>
      <c r="AD229" s="21">
        <f>IF((Y229+AB229)=0,0,AB229/(Y229+AB229))</f>
        <v/>
      </c>
      <c r="AE229">
        <f>IF(AND(AC229="Y",OR(AD229&lt;CONFIG!$B$8,AD229&gt;CONFIG!$B$9)),"Y","N")</f>
        <v/>
      </c>
      <c r="AF229" s="19">
        <f>IF(AE229="Y",(Y229+AB229)*0.8,Y229)</f>
        <v/>
      </c>
      <c r="AG229" s="19">
        <f>IF(AE229="Y",(Y229+AB229)*0.2,AB229)</f>
        <v/>
      </c>
      <c r="AI229" s="18">
        <f>DATA!A229</f>
        <v/>
      </c>
      <c r="AJ229">
        <f>DATA!B229</f>
        <v/>
      </c>
      <c r="AK229" s="19">
        <f>AW228</f>
        <v/>
      </c>
      <c r="AL229" s="19">
        <f>AX228</f>
        <v/>
      </c>
      <c r="AM229" s="19">
        <f>AK229+AL229</f>
        <v/>
      </c>
      <c r="AN229" s="20">
        <f>DATA!E229</f>
        <v/>
      </c>
      <c r="AO229" s="20">
        <f>DATA!F229</f>
        <v/>
      </c>
      <c r="AP229" s="19">
        <f>AK229*(1+AN229)</f>
        <v/>
      </c>
      <c r="AQ229" s="19">
        <f>AL229*(1+AO229)</f>
        <v/>
      </c>
      <c r="AR229" s="19">
        <f>IF(AND(CONFIG!$B$11="Annual",MONTH(AI229)=7),(AP229+AQ229)*CONFIG!$B$6/12,AR228)</f>
        <v/>
      </c>
      <c r="AS229" s="19">
        <f>MAX(0,AQ229-AR229)</f>
        <v/>
      </c>
      <c r="AT229">
        <f>IF(OR(MONTH(AI229)=3,MONTH(AI229)=6,MONTH(AI229)=9,MONTH(AI229)=12),"Y","N")</f>
        <v/>
      </c>
      <c r="AU229" s="21">
        <f>IF((AP229+AS229)=0,0,AS229/(AP229+AS229))</f>
        <v/>
      </c>
      <c r="AV229">
        <f>IF(AND(AT229="Y",OR(AU229&lt;CONFIG!$B$8,AU229&gt;CONFIG!$B$9)),"Y","N")</f>
        <v/>
      </c>
      <c r="AW229" s="19">
        <f>IF(AV229="Y",(AP229+AS229)*0.8,AP229)</f>
        <v/>
      </c>
      <c r="AX229" s="19">
        <f>IF(AV229="Y",(AP229+AS229)*0.2,AS229)</f>
        <v/>
      </c>
    </row>
    <row r="230">
      <c r="A230" s="18">
        <f>DATA!A230</f>
        <v/>
      </c>
      <c r="B230">
        <f>DATA!B230</f>
        <v/>
      </c>
      <c r="C230" s="19">
        <f>O229</f>
        <v/>
      </c>
      <c r="D230" s="19">
        <f>P229</f>
        <v/>
      </c>
      <c r="E230" s="19">
        <f>C230+D230</f>
        <v/>
      </c>
      <c r="F230" s="20">
        <f>DATA!C230</f>
        <v/>
      </c>
      <c r="G230" s="20">
        <f>DATA!F230</f>
        <v/>
      </c>
      <c r="H230" s="19">
        <f>C230*(1+F230)</f>
        <v/>
      </c>
      <c r="I230" s="19">
        <f>D230*(1+G230)</f>
        <v/>
      </c>
      <c r="J230" s="19">
        <f>IF(AND(CONFIG!$B$11="Annual",MONTH(A230)=7),(H230+I230)*CONFIG!$B$6/12,J229)</f>
        <v/>
      </c>
      <c r="K230" s="19">
        <f>MAX(0,I230-J230)</f>
        <v/>
      </c>
      <c r="L230">
        <f>IF(OR(MONTH(A230)=3,MONTH(A230)=6,MONTH(A230)=9,MONTH(A230)=12),"Y","N")</f>
        <v/>
      </c>
      <c r="M230" s="21">
        <f>IF((H230+K230)=0,0,K230/(H230+K230))</f>
        <v/>
      </c>
      <c r="N230">
        <f>IF(AND(L230="Y",OR(M230&lt;CONFIG!$B$8,M230&gt;CONFIG!$B$9)),"Y","N")</f>
        <v/>
      </c>
      <c r="O230" s="19">
        <f>IF(N230="Y",(H230+K230)*0.8,H230)</f>
        <v/>
      </c>
      <c r="P230" s="19">
        <f>IF(N230="Y",(H230+K230)*0.2,K230)</f>
        <v/>
      </c>
      <c r="R230" s="18">
        <f>DATA!A230</f>
        <v/>
      </c>
      <c r="S230">
        <f>DATA!B230</f>
        <v/>
      </c>
      <c r="T230" s="19">
        <f>AF229</f>
        <v/>
      </c>
      <c r="U230" s="19">
        <f>AG229</f>
        <v/>
      </c>
      <c r="V230" s="19">
        <f>T230+U230</f>
        <v/>
      </c>
      <c r="W230" s="20">
        <f>DATA!D230</f>
        <v/>
      </c>
      <c r="X230" s="20">
        <f>DATA!F230</f>
        <v/>
      </c>
      <c r="Y230" s="19">
        <f>T230*(1+W230)</f>
        <v/>
      </c>
      <c r="Z230" s="19">
        <f>U230*(1+X230)</f>
        <v/>
      </c>
      <c r="AA230" s="19">
        <f>IF(AND(CONFIG!$B$11="Annual",MONTH(R230)=7),(Y230+Z230)*CONFIG!$B$6/12,AA229)</f>
        <v/>
      </c>
      <c r="AB230" s="19">
        <f>MAX(0,Z230-AA230)</f>
        <v/>
      </c>
      <c r="AC230">
        <f>IF(OR(MONTH(R230)=3,MONTH(R230)=6,MONTH(R230)=9,MONTH(R230)=12),"Y","N")</f>
        <v/>
      </c>
      <c r="AD230" s="21">
        <f>IF((Y230+AB230)=0,0,AB230/(Y230+AB230))</f>
        <v/>
      </c>
      <c r="AE230">
        <f>IF(AND(AC230="Y",OR(AD230&lt;CONFIG!$B$8,AD230&gt;CONFIG!$B$9)),"Y","N")</f>
        <v/>
      </c>
      <c r="AF230" s="19">
        <f>IF(AE230="Y",(Y230+AB230)*0.8,Y230)</f>
        <v/>
      </c>
      <c r="AG230" s="19">
        <f>IF(AE230="Y",(Y230+AB230)*0.2,AB230)</f>
        <v/>
      </c>
      <c r="AI230" s="18">
        <f>DATA!A230</f>
        <v/>
      </c>
      <c r="AJ230">
        <f>DATA!B230</f>
        <v/>
      </c>
      <c r="AK230" s="19">
        <f>AW229</f>
        <v/>
      </c>
      <c r="AL230" s="19">
        <f>AX229</f>
        <v/>
      </c>
      <c r="AM230" s="19">
        <f>AK230+AL230</f>
        <v/>
      </c>
      <c r="AN230" s="20">
        <f>DATA!E230</f>
        <v/>
      </c>
      <c r="AO230" s="20">
        <f>DATA!F230</f>
        <v/>
      </c>
      <c r="AP230" s="19">
        <f>AK230*(1+AN230)</f>
        <v/>
      </c>
      <c r="AQ230" s="19">
        <f>AL230*(1+AO230)</f>
        <v/>
      </c>
      <c r="AR230" s="19">
        <f>IF(AND(CONFIG!$B$11="Annual",MONTH(AI230)=7),(AP230+AQ230)*CONFIG!$B$6/12,AR229)</f>
        <v/>
      </c>
      <c r="AS230" s="19">
        <f>MAX(0,AQ230-AR230)</f>
        <v/>
      </c>
      <c r="AT230">
        <f>IF(OR(MONTH(AI230)=3,MONTH(AI230)=6,MONTH(AI230)=9,MONTH(AI230)=12),"Y","N")</f>
        <v/>
      </c>
      <c r="AU230" s="21">
        <f>IF((AP230+AS230)=0,0,AS230/(AP230+AS230))</f>
        <v/>
      </c>
      <c r="AV230">
        <f>IF(AND(AT230="Y",OR(AU230&lt;CONFIG!$B$8,AU230&gt;CONFIG!$B$9)),"Y","N")</f>
        <v/>
      </c>
      <c r="AW230" s="19">
        <f>IF(AV230="Y",(AP230+AS230)*0.8,AP230)</f>
        <v/>
      </c>
      <c r="AX230" s="19">
        <f>IF(AV230="Y",(AP230+AS230)*0.2,AS230)</f>
        <v/>
      </c>
    </row>
    <row r="231">
      <c r="A231" s="18">
        <f>DATA!A231</f>
        <v/>
      </c>
      <c r="B231">
        <f>DATA!B231</f>
        <v/>
      </c>
      <c r="C231" s="19">
        <f>O230</f>
        <v/>
      </c>
      <c r="D231" s="19">
        <f>P230</f>
        <v/>
      </c>
      <c r="E231" s="19">
        <f>C231+D231</f>
        <v/>
      </c>
      <c r="F231" s="20">
        <f>DATA!C231</f>
        <v/>
      </c>
      <c r="G231" s="20">
        <f>DATA!F231</f>
        <v/>
      </c>
      <c r="H231" s="19">
        <f>C231*(1+F231)</f>
        <v/>
      </c>
      <c r="I231" s="19">
        <f>D231*(1+G231)</f>
        <v/>
      </c>
      <c r="J231" s="19">
        <f>IF(AND(CONFIG!$B$11="Annual",MONTH(A231)=7),(H231+I231)*CONFIG!$B$6/12,J230)</f>
        <v/>
      </c>
      <c r="K231" s="19">
        <f>MAX(0,I231-J231)</f>
        <v/>
      </c>
      <c r="L231">
        <f>IF(OR(MONTH(A231)=3,MONTH(A231)=6,MONTH(A231)=9,MONTH(A231)=12),"Y","N")</f>
        <v/>
      </c>
      <c r="M231" s="21">
        <f>IF((H231+K231)=0,0,K231/(H231+K231))</f>
        <v/>
      </c>
      <c r="N231">
        <f>IF(AND(L231="Y",OR(M231&lt;CONFIG!$B$8,M231&gt;CONFIG!$B$9)),"Y","N")</f>
        <v/>
      </c>
      <c r="O231" s="19">
        <f>IF(N231="Y",(H231+K231)*0.8,H231)</f>
        <v/>
      </c>
      <c r="P231" s="19">
        <f>IF(N231="Y",(H231+K231)*0.2,K231)</f>
        <v/>
      </c>
      <c r="R231" s="18">
        <f>DATA!A231</f>
        <v/>
      </c>
      <c r="S231">
        <f>DATA!B231</f>
        <v/>
      </c>
      <c r="T231" s="19">
        <f>AF230</f>
        <v/>
      </c>
      <c r="U231" s="19">
        <f>AG230</f>
        <v/>
      </c>
      <c r="V231" s="19">
        <f>T231+U231</f>
        <v/>
      </c>
      <c r="W231" s="20">
        <f>DATA!D231</f>
        <v/>
      </c>
      <c r="X231" s="20">
        <f>DATA!F231</f>
        <v/>
      </c>
      <c r="Y231" s="19">
        <f>T231*(1+W231)</f>
        <v/>
      </c>
      <c r="Z231" s="19">
        <f>U231*(1+X231)</f>
        <v/>
      </c>
      <c r="AA231" s="19">
        <f>IF(AND(CONFIG!$B$11="Annual",MONTH(R231)=7),(Y231+Z231)*CONFIG!$B$6/12,AA230)</f>
        <v/>
      </c>
      <c r="AB231" s="19">
        <f>MAX(0,Z231-AA231)</f>
        <v/>
      </c>
      <c r="AC231">
        <f>IF(OR(MONTH(R231)=3,MONTH(R231)=6,MONTH(R231)=9,MONTH(R231)=12),"Y","N")</f>
        <v/>
      </c>
      <c r="AD231" s="21">
        <f>IF((Y231+AB231)=0,0,AB231/(Y231+AB231))</f>
        <v/>
      </c>
      <c r="AE231">
        <f>IF(AND(AC231="Y",OR(AD231&lt;CONFIG!$B$8,AD231&gt;CONFIG!$B$9)),"Y","N")</f>
        <v/>
      </c>
      <c r="AF231" s="19">
        <f>IF(AE231="Y",(Y231+AB231)*0.8,Y231)</f>
        <v/>
      </c>
      <c r="AG231" s="19">
        <f>IF(AE231="Y",(Y231+AB231)*0.2,AB231)</f>
        <v/>
      </c>
      <c r="AI231" s="18">
        <f>DATA!A231</f>
        <v/>
      </c>
      <c r="AJ231">
        <f>DATA!B231</f>
        <v/>
      </c>
      <c r="AK231" s="19">
        <f>AW230</f>
        <v/>
      </c>
      <c r="AL231" s="19">
        <f>AX230</f>
        <v/>
      </c>
      <c r="AM231" s="19">
        <f>AK231+AL231</f>
        <v/>
      </c>
      <c r="AN231" s="20">
        <f>DATA!E231</f>
        <v/>
      </c>
      <c r="AO231" s="20">
        <f>DATA!F231</f>
        <v/>
      </c>
      <c r="AP231" s="19">
        <f>AK231*(1+AN231)</f>
        <v/>
      </c>
      <c r="AQ231" s="19">
        <f>AL231*(1+AO231)</f>
        <v/>
      </c>
      <c r="AR231" s="19">
        <f>IF(AND(CONFIG!$B$11="Annual",MONTH(AI231)=7),(AP231+AQ231)*CONFIG!$B$6/12,AR230)</f>
        <v/>
      </c>
      <c r="AS231" s="19">
        <f>MAX(0,AQ231-AR231)</f>
        <v/>
      </c>
      <c r="AT231">
        <f>IF(OR(MONTH(AI231)=3,MONTH(AI231)=6,MONTH(AI231)=9,MONTH(AI231)=12),"Y","N")</f>
        <v/>
      </c>
      <c r="AU231" s="21">
        <f>IF((AP231+AS231)=0,0,AS231/(AP231+AS231))</f>
        <v/>
      </c>
      <c r="AV231">
        <f>IF(AND(AT231="Y",OR(AU231&lt;CONFIG!$B$8,AU231&gt;CONFIG!$B$9)),"Y","N")</f>
        <v/>
      </c>
      <c r="AW231" s="19">
        <f>IF(AV231="Y",(AP231+AS231)*0.8,AP231)</f>
        <v/>
      </c>
      <c r="AX231" s="19">
        <f>IF(AV231="Y",(AP231+AS231)*0.2,AS231)</f>
        <v/>
      </c>
    </row>
    <row r="232">
      <c r="A232" s="18">
        <f>DATA!A232</f>
        <v/>
      </c>
      <c r="B232">
        <f>DATA!B232</f>
        <v/>
      </c>
      <c r="C232" s="19">
        <f>O231</f>
        <v/>
      </c>
      <c r="D232" s="19">
        <f>P231</f>
        <v/>
      </c>
      <c r="E232" s="19">
        <f>C232+D232</f>
        <v/>
      </c>
      <c r="F232" s="20">
        <f>DATA!C232</f>
        <v/>
      </c>
      <c r="G232" s="20">
        <f>DATA!F232</f>
        <v/>
      </c>
      <c r="H232" s="19">
        <f>C232*(1+F232)</f>
        <v/>
      </c>
      <c r="I232" s="19">
        <f>D232*(1+G232)</f>
        <v/>
      </c>
      <c r="J232" s="19">
        <f>IF(AND(CONFIG!$B$11="Annual",MONTH(A232)=7),(H232+I232)*CONFIG!$B$6/12,J231)</f>
        <v/>
      </c>
      <c r="K232" s="19">
        <f>MAX(0,I232-J232)</f>
        <v/>
      </c>
      <c r="L232">
        <f>IF(OR(MONTH(A232)=3,MONTH(A232)=6,MONTH(A232)=9,MONTH(A232)=12),"Y","N")</f>
        <v/>
      </c>
      <c r="M232" s="21">
        <f>IF((H232+K232)=0,0,K232/(H232+K232))</f>
        <v/>
      </c>
      <c r="N232">
        <f>IF(AND(L232="Y",OR(M232&lt;CONFIG!$B$8,M232&gt;CONFIG!$B$9)),"Y","N")</f>
        <v/>
      </c>
      <c r="O232" s="19">
        <f>IF(N232="Y",(H232+K232)*0.8,H232)</f>
        <v/>
      </c>
      <c r="P232" s="19">
        <f>IF(N232="Y",(H232+K232)*0.2,K232)</f>
        <v/>
      </c>
      <c r="R232" s="18">
        <f>DATA!A232</f>
        <v/>
      </c>
      <c r="S232">
        <f>DATA!B232</f>
        <v/>
      </c>
      <c r="T232" s="19">
        <f>AF231</f>
        <v/>
      </c>
      <c r="U232" s="19">
        <f>AG231</f>
        <v/>
      </c>
      <c r="V232" s="19">
        <f>T232+U232</f>
        <v/>
      </c>
      <c r="W232" s="20">
        <f>DATA!D232</f>
        <v/>
      </c>
      <c r="X232" s="20">
        <f>DATA!F232</f>
        <v/>
      </c>
      <c r="Y232" s="19">
        <f>T232*(1+W232)</f>
        <v/>
      </c>
      <c r="Z232" s="19">
        <f>U232*(1+X232)</f>
        <v/>
      </c>
      <c r="AA232" s="19">
        <f>IF(AND(CONFIG!$B$11="Annual",MONTH(R232)=7),(Y232+Z232)*CONFIG!$B$6/12,AA231)</f>
        <v/>
      </c>
      <c r="AB232" s="19">
        <f>MAX(0,Z232-AA232)</f>
        <v/>
      </c>
      <c r="AC232">
        <f>IF(OR(MONTH(R232)=3,MONTH(R232)=6,MONTH(R232)=9,MONTH(R232)=12),"Y","N")</f>
        <v/>
      </c>
      <c r="AD232" s="21">
        <f>IF((Y232+AB232)=0,0,AB232/(Y232+AB232))</f>
        <v/>
      </c>
      <c r="AE232">
        <f>IF(AND(AC232="Y",OR(AD232&lt;CONFIG!$B$8,AD232&gt;CONFIG!$B$9)),"Y","N")</f>
        <v/>
      </c>
      <c r="AF232" s="19">
        <f>IF(AE232="Y",(Y232+AB232)*0.8,Y232)</f>
        <v/>
      </c>
      <c r="AG232" s="19">
        <f>IF(AE232="Y",(Y232+AB232)*0.2,AB232)</f>
        <v/>
      </c>
      <c r="AI232" s="18">
        <f>DATA!A232</f>
        <v/>
      </c>
      <c r="AJ232">
        <f>DATA!B232</f>
        <v/>
      </c>
      <c r="AK232" s="19">
        <f>AW231</f>
        <v/>
      </c>
      <c r="AL232" s="19">
        <f>AX231</f>
        <v/>
      </c>
      <c r="AM232" s="19">
        <f>AK232+AL232</f>
        <v/>
      </c>
      <c r="AN232" s="20">
        <f>DATA!E232</f>
        <v/>
      </c>
      <c r="AO232" s="20">
        <f>DATA!F232</f>
        <v/>
      </c>
      <c r="AP232" s="19">
        <f>AK232*(1+AN232)</f>
        <v/>
      </c>
      <c r="AQ232" s="19">
        <f>AL232*(1+AO232)</f>
        <v/>
      </c>
      <c r="AR232" s="19">
        <f>IF(AND(CONFIG!$B$11="Annual",MONTH(AI232)=7),(AP232+AQ232)*CONFIG!$B$6/12,AR231)</f>
        <v/>
      </c>
      <c r="AS232" s="19">
        <f>MAX(0,AQ232-AR232)</f>
        <v/>
      </c>
      <c r="AT232">
        <f>IF(OR(MONTH(AI232)=3,MONTH(AI232)=6,MONTH(AI232)=9,MONTH(AI232)=12),"Y","N")</f>
        <v/>
      </c>
      <c r="AU232" s="21">
        <f>IF((AP232+AS232)=0,0,AS232/(AP232+AS232))</f>
        <v/>
      </c>
      <c r="AV232">
        <f>IF(AND(AT232="Y",OR(AU232&lt;CONFIG!$B$8,AU232&gt;CONFIG!$B$9)),"Y","N")</f>
        <v/>
      </c>
      <c r="AW232" s="19">
        <f>IF(AV232="Y",(AP232+AS232)*0.8,AP232)</f>
        <v/>
      </c>
      <c r="AX232" s="19">
        <f>IF(AV232="Y",(AP232+AS232)*0.2,AS232)</f>
        <v/>
      </c>
    </row>
    <row r="233">
      <c r="A233" s="18">
        <f>DATA!A233</f>
        <v/>
      </c>
      <c r="B233">
        <f>DATA!B233</f>
        <v/>
      </c>
      <c r="C233" s="19">
        <f>O232</f>
        <v/>
      </c>
      <c r="D233" s="19">
        <f>P232</f>
        <v/>
      </c>
      <c r="E233" s="19">
        <f>C233+D233</f>
        <v/>
      </c>
      <c r="F233" s="20">
        <f>DATA!C233</f>
        <v/>
      </c>
      <c r="G233" s="20">
        <f>DATA!F233</f>
        <v/>
      </c>
      <c r="H233" s="19">
        <f>C233*(1+F233)</f>
        <v/>
      </c>
      <c r="I233" s="19">
        <f>D233*(1+G233)</f>
        <v/>
      </c>
      <c r="J233" s="19">
        <f>IF(AND(CONFIG!$B$11="Annual",MONTH(A233)=7),(H233+I233)*CONFIG!$B$6/12,J232)</f>
        <v/>
      </c>
      <c r="K233" s="19">
        <f>MAX(0,I233-J233)</f>
        <v/>
      </c>
      <c r="L233">
        <f>IF(OR(MONTH(A233)=3,MONTH(A233)=6,MONTH(A233)=9,MONTH(A233)=12),"Y","N")</f>
        <v/>
      </c>
      <c r="M233" s="21">
        <f>IF((H233+K233)=0,0,K233/(H233+K233))</f>
        <v/>
      </c>
      <c r="N233">
        <f>IF(AND(L233="Y",OR(M233&lt;CONFIG!$B$8,M233&gt;CONFIG!$B$9)),"Y","N")</f>
        <v/>
      </c>
      <c r="O233" s="19">
        <f>IF(N233="Y",(H233+K233)*0.8,H233)</f>
        <v/>
      </c>
      <c r="P233" s="19">
        <f>IF(N233="Y",(H233+K233)*0.2,K233)</f>
        <v/>
      </c>
      <c r="R233" s="18">
        <f>DATA!A233</f>
        <v/>
      </c>
      <c r="S233">
        <f>DATA!B233</f>
        <v/>
      </c>
      <c r="T233" s="19">
        <f>AF232</f>
        <v/>
      </c>
      <c r="U233" s="19">
        <f>AG232</f>
        <v/>
      </c>
      <c r="V233" s="19">
        <f>T233+U233</f>
        <v/>
      </c>
      <c r="W233" s="20">
        <f>DATA!D233</f>
        <v/>
      </c>
      <c r="X233" s="20">
        <f>DATA!F233</f>
        <v/>
      </c>
      <c r="Y233" s="19">
        <f>T233*(1+W233)</f>
        <v/>
      </c>
      <c r="Z233" s="19">
        <f>U233*(1+X233)</f>
        <v/>
      </c>
      <c r="AA233" s="19">
        <f>IF(AND(CONFIG!$B$11="Annual",MONTH(R233)=7),(Y233+Z233)*CONFIG!$B$6/12,AA232)</f>
        <v/>
      </c>
      <c r="AB233" s="19">
        <f>MAX(0,Z233-AA233)</f>
        <v/>
      </c>
      <c r="AC233">
        <f>IF(OR(MONTH(R233)=3,MONTH(R233)=6,MONTH(R233)=9,MONTH(R233)=12),"Y","N")</f>
        <v/>
      </c>
      <c r="AD233" s="21">
        <f>IF((Y233+AB233)=0,0,AB233/(Y233+AB233))</f>
        <v/>
      </c>
      <c r="AE233">
        <f>IF(AND(AC233="Y",OR(AD233&lt;CONFIG!$B$8,AD233&gt;CONFIG!$B$9)),"Y","N")</f>
        <v/>
      </c>
      <c r="AF233" s="19">
        <f>IF(AE233="Y",(Y233+AB233)*0.8,Y233)</f>
        <v/>
      </c>
      <c r="AG233" s="19">
        <f>IF(AE233="Y",(Y233+AB233)*0.2,AB233)</f>
        <v/>
      </c>
      <c r="AI233" s="18">
        <f>DATA!A233</f>
        <v/>
      </c>
      <c r="AJ233">
        <f>DATA!B233</f>
        <v/>
      </c>
      <c r="AK233" s="19">
        <f>AW232</f>
        <v/>
      </c>
      <c r="AL233" s="19">
        <f>AX232</f>
        <v/>
      </c>
      <c r="AM233" s="19">
        <f>AK233+AL233</f>
        <v/>
      </c>
      <c r="AN233" s="20">
        <f>DATA!E233</f>
        <v/>
      </c>
      <c r="AO233" s="20">
        <f>DATA!F233</f>
        <v/>
      </c>
      <c r="AP233" s="19">
        <f>AK233*(1+AN233)</f>
        <v/>
      </c>
      <c r="AQ233" s="19">
        <f>AL233*(1+AO233)</f>
        <v/>
      </c>
      <c r="AR233" s="19">
        <f>IF(AND(CONFIG!$B$11="Annual",MONTH(AI233)=7),(AP233+AQ233)*CONFIG!$B$6/12,AR232)</f>
        <v/>
      </c>
      <c r="AS233" s="19">
        <f>MAX(0,AQ233-AR233)</f>
        <v/>
      </c>
      <c r="AT233">
        <f>IF(OR(MONTH(AI233)=3,MONTH(AI233)=6,MONTH(AI233)=9,MONTH(AI233)=12),"Y","N")</f>
        <v/>
      </c>
      <c r="AU233" s="21">
        <f>IF((AP233+AS233)=0,0,AS233/(AP233+AS233))</f>
        <v/>
      </c>
      <c r="AV233">
        <f>IF(AND(AT233="Y",OR(AU233&lt;CONFIG!$B$8,AU233&gt;CONFIG!$B$9)),"Y","N")</f>
        <v/>
      </c>
      <c r="AW233" s="19">
        <f>IF(AV233="Y",(AP233+AS233)*0.8,AP233)</f>
        <v/>
      </c>
      <c r="AX233" s="19">
        <f>IF(AV233="Y",(AP233+AS233)*0.2,AS233)</f>
        <v/>
      </c>
    </row>
    <row r="234">
      <c r="A234" s="18">
        <f>DATA!A234</f>
        <v/>
      </c>
      <c r="B234">
        <f>DATA!B234</f>
        <v/>
      </c>
      <c r="C234" s="19">
        <f>O233</f>
        <v/>
      </c>
      <c r="D234" s="19">
        <f>P233</f>
        <v/>
      </c>
      <c r="E234" s="19">
        <f>C234+D234</f>
        <v/>
      </c>
      <c r="F234" s="20">
        <f>DATA!C234</f>
        <v/>
      </c>
      <c r="G234" s="20">
        <f>DATA!F234</f>
        <v/>
      </c>
      <c r="H234" s="19">
        <f>C234*(1+F234)</f>
        <v/>
      </c>
      <c r="I234" s="19">
        <f>D234*(1+G234)</f>
        <v/>
      </c>
      <c r="J234" s="19">
        <f>IF(AND(CONFIG!$B$11="Annual",MONTH(A234)=7),(H234+I234)*CONFIG!$B$6/12,J233)</f>
        <v/>
      </c>
      <c r="K234" s="19">
        <f>MAX(0,I234-J234)</f>
        <v/>
      </c>
      <c r="L234">
        <f>IF(OR(MONTH(A234)=3,MONTH(A234)=6,MONTH(A234)=9,MONTH(A234)=12),"Y","N")</f>
        <v/>
      </c>
      <c r="M234" s="21">
        <f>IF((H234+K234)=0,0,K234/(H234+K234))</f>
        <v/>
      </c>
      <c r="N234">
        <f>IF(AND(L234="Y",OR(M234&lt;CONFIG!$B$8,M234&gt;CONFIG!$B$9)),"Y","N")</f>
        <v/>
      </c>
      <c r="O234" s="19">
        <f>IF(N234="Y",(H234+K234)*0.8,H234)</f>
        <v/>
      </c>
      <c r="P234" s="19">
        <f>IF(N234="Y",(H234+K234)*0.2,K234)</f>
        <v/>
      </c>
      <c r="R234" s="18">
        <f>DATA!A234</f>
        <v/>
      </c>
      <c r="S234">
        <f>DATA!B234</f>
        <v/>
      </c>
      <c r="T234" s="19">
        <f>AF233</f>
        <v/>
      </c>
      <c r="U234" s="19">
        <f>AG233</f>
        <v/>
      </c>
      <c r="V234" s="19">
        <f>T234+U234</f>
        <v/>
      </c>
      <c r="W234" s="20">
        <f>DATA!D234</f>
        <v/>
      </c>
      <c r="X234" s="20">
        <f>DATA!F234</f>
        <v/>
      </c>
      <c r="Y234" s="19">
        <f>T234*(1+W234)</f>
        <v/>
      </c>
      <c r="Z234" s="19">
        <f>U234*(1+X234)</f>
        <v/>
      </c>
      <c r="AA234" s="19">
        <f>IF(AND(CONFIG!$B$11="Annual",MONTH(R234)=7),(Y234+Z234)*CONFIG!$B$6/12,AA233)</f>
        <v/>
      </c>
      <c r="AB234" s="19">
        <f>MAX(0,Z234-AA234)</f>
        <v/>
      </c>
      <c r="AC234">
        <f>IF(OR(MONTH(R234)=3,MONTH(R234)=6,MONTH(R234)=9,MONTH(R234)=12),"Y","N")</f>
        <v/>
      </c>
      <c r="AD234" s="21">
        <f>IF((Y234+AB234)=0,0,AB234/(Y234+AB234))</f>
        <v/>
      </c>
      <c r="AE234">
        <f>IF(AND(AC234="Y",OR(AD234&lt;CONFIG!$B$8,AD234&gt;CONFIG!$B$9)),"Y","N")</f>
        <v/>
      </c>
      <c r="AF234" s="19">
        <f>IF(AE234="Y",(Y234+AB234)*0.8,Y234)</f>
        <v/>
      </c>
      <c r="AG234" s="19">
        <f>IF(AE234="Y",(Y234+AB234)*0.2,AB234)</f>
        <v/>
      </c>
      <c r="AI234" s="18">
        <f>DATA!A234</f>
        <v/>
      </c>
      <c r="AJ234">
        <f>DATA!B234</f>
        <v/>
      </c>
      <c r="AK234" s="19">
        <f>AW233</f>
        <v/>
      </c>
      <c r="AL234" s="19">
        <f>AX233</f>
        <v/>
      </c>
      <c r="AM234" s="19">
        <f>AK234+AL234</f>
        <v/>
      </c>
      <c r="AN234" s="20">
        <f>DATA!E234</f>
        <v/>
      </c>
      <c r="AO234" s="20">
        <f>DATA!F234</f>
        <v/>
      </c>
      <c r="AP234" s="19">
        <f>AK234*(1+AN234)</f>
        <v/>
      </c>
      <c r="AQ234" s="19">
        <f>AL234*(1+AO234)</f>
        <v/>
      </c>
      <c r="AR234" s="19">
        <f>IF(AND(CONFIG!$B$11="Annual",MONTH(AI234)=7),(AP234+AQ234)*CONFIG!$B$6/12,AR233)</f>
        <v/>
      </c>
      <c r="AS234" s="19">
        <f>MAX(0,AQ234-AR234)</f>
        <v/>
      </c>
      <c r="AT234">
        <f>IF(OR(MONTH(AI234)=3,MONTH(AI234)=6,MONTH(AI234)=9,MONTH(AI234)=12),"Y","N")</f>
        <v/>
      </c>
      <c r="AU234" s="21">
        <f>IF((AP234+AS234)=0,0,AS234/(AP234+AS234))</f>
        <v/>
      </c>
      <c r="AV234">
        <f>IF(AND(AT234="Y",OR(AU234&lt;CONFIG!$B$8,AU234&gt;CONFIG!$B$9)),"Y","N")</f>
        <v/>
      </c>
      <c r="AW234" s="19">
        <f>IF(AV234="Y",(AP234+AS234)*0.8,AP234)</f>
        <v/>
      </c>
      <c r="AX234" s="19">
        <f>IF(AV234="Y",(AP234+AS234)*0.2,AS234)</f>
        <v/>
      </c>
    </row>
    <row r="235">
      <c r="A235" s="18">
        <f>DATA!A235</f>
        <v/>
      </c>
      <c r="B235">
        <f>DATA!B235</f>
        <v/>
      </c>
      <c r="C235" s="19">
        <f>O234</f>
        <v/>
      </c>
      <c r="D235" s="19">
        <f>P234</f>
        <v/>
      </c>
      <c r="E235" s="19">
        <f>C235+D235</f>
        <v/>
      </c>
      <c r="F235" s="20">
        <f>DATA!C235</f>
        <v/>
      </c>
      <c r="G235" s="20">
        <f>DATA!F235</f>
        <v/>
      </c>
      <c r="H235" s="19">
        <f>C235*(1+F235)</f>
        <v/>
      </c>
      <c r="I235" s="19">
        <f>D235*(1+G235)</f>
        <v/>
      </c>
      <c r="J235" s="19">
        <f>IF(AND(CONFIG!$B$11="Annual",MONTH(A235)=7),(H235+I235)*CONFIG!$B$6/12,J234)</f>
        <v/>
      </c>
      <c r="K235" s="19">
        <f>MAX(0,I235-J235)</f>
        <v/>
      </c>
      <c r="L235">
        <f>IF(OR(MONTH(A235)=3,MONTH(A235)=6,MONTH(A235)=9,MONTH(A235)=12),"Y","N")</f>
        <v/>
      </c>
      <c r="M235" s="21">
        <f>IF((H235+K235)=0,0,K235/(H235+K235))</f>
        <v/>
      </c>
      <c r="N235">
        <f>IF(AND(L235="Y",OR(M235&lt;CONFIG!$B$8,M235&gt;CONFIG!$B$9)),"Y","N")</f>
        <v/>
      </c>
      <c r="O235" s="19">
        <f>IF(N235="Y",(H235+K235)*0.8,H235)</f>
        <v/>
      </c>
      <c r="P235" s="19">
        <f>IF(N235="Y",(H235+K235)*0.2,K235)</f>
        <v/>
      </c>
      <c r="R235" s="18">
        <f>DATA!A235</f>
        <v/>
      </c>
      <c r="S235">
        <f>DATA!B235</f>
        <v/>
      </c>
      <c r="T235" s="19">
        <f>AF234</f>
        <v/>
      </c>
      <c r="U235" s="19">
        <f>AG234</f>
        <v/>
      </c>
      <c r="V235" s="19">
        <f>T235+U235</f>
        <v/>
      </c>
      <c r="W235" s="20">
        <f>DATA!D235</f>
        <v/>
      </c>
      <c r="X235" s="20">
        <f>DATA!F235</f>
        <v/>
      </c>
      <c r="Y235" s="19">
        <f>T235*(1+W235)</f>
        <v/>
      </c>
      <c r="Z235" s="19">
        <f>U235*(1+X235)</f>
        <v/>
      </c>
      <c r="AA235" s="19">
        <f>IF(AND(CONFIG!$B$11="Annual",MONTH(R235)=7),(Y235+Z235)*CONFIG!$B$6/12,AA234)</f>
        <v/>
      </c>
      <c r="AB235" s="19">
        <f>MAX(0,Z235-AA235)</f>
        <v/>
      </c>
      <c r="AC235">
        <f>IF(OR(MONTH(R235)=3,MONTH(R235)=6,MONTH(R235)=9,MONTH(R235)=12),"Y","N")</f>
        <v/>
      </c>
      <c r="AD235" s="21">
        <f>IF((Y235+AB235)=0,0,AB235/(Y235+AB235))</f>
        <v/>
      </c>
      <c r="AE235">
        <f>IF(AND(AC235="Y",OR(AD235&lt;CONFIG!$B$8,AD235&gt;CONFIG!$B$9)),"Y","N")</f>
        <v/>
      </c>
      <c r="AF235" s="19">
        <f>IF(AE235="Y",(Y235+AB235)*0.8,Y235)</f>
        <v/>
      </c>
      <c r="AG235" s="19">
        <f>IF(AE235="Y",(Y235+AB235)*0.2,AB235)</f>
        <v/>
      </c>
      <c r="AI235" s="18">
        <f>DATA!A235</f>
        <v/>
      </c>
      <c r="AJ235">
        <f>DATA!B235</f>
        <v/>
      </c>
      <c r="AK235" s="19">
        <f>AW234</f>
        <v/>
      </c>
      <c r="AL235" s="19">
        <f>AX234</f>
        <v/>
      </c>
      <c r="AM235" s="19">
        <f>AK235+AL235</f>
        <v/>
      </c>
      <c r="AN235" s="20">
        <f>DATA!E235</f>
        <v/>
      </c>
      <c r="AO235" s="20">
        <f>DATA!F235</f>
        <v/>
      </c>
      <c r="AP235" s="19">
        <f>AK235*(1+AN235)</f>
        <v/>
      </c>
      <c r="AQ235" s="19">
        <f>AL235*(1+AO235)</f>
        <v/>
      </c>
      <c r="AR235" s="19">
        <f>IF(AND(CONFIG!$B$11="Annual",MONTH(AI235)=7),(AP235+AQ235)*CONFIG!$B$6/12,AR234)</f>
        <v/>
      </c>
      <c r="AS235" s="19">
        <f>MAX(0,AQ235-AR235)</f>
        <v/>
      </c>
      <c r="AT235">
        <f>IF(OR(MONTH(AI235)=3,MONTH(AI235)=6,MONTH(AI235)=9,MONTH(AI235)=12),"Y","N")</f>
        <v/>
      </c>
      <c r="AU235" s="21">
        <f>IF((AP235+AS235)=0,0,AS235/(AP235+AS235))</f>
        <v/>
      </c>
      <c r="AV235">
        <f>IF(AND(AT235="Y",OR(AU235&lt;CONFIG!$B$8,AU235&gt;CONFIG!$B$9)),"Y","N")</f>
        <v/>
      </c>
      <c r="AW235" s="19">
        <f>IF(AV235="Y",(AP235+AS235)*0.8,AP235)</f>
        <v/>
      </c>
      <c r="AX235" s="19">
        <f>IF(AV235="Y",(AP235+AS235)*0.2,AS235)</f>
        <v/>
      </c>
    </row>
    <row r="236">
      <c r="A236" s="18">
        <f>DATA!A236</f>
        <v/>
      </c>
      <c r="B236">
        <f>DATA!B236</f>
        <v/>
      </c>
      <c r="C236" s="19">
        <f>O235</f>
        <v/>
      </c>
      <c r="D236" s="19">
        <f>P235</f>
        <v/>
      </c>
      <c r="E236" s="19">
        <f>C236+D236</f>
        <v/>
      </c>
      <c r="F236" s="20">
        <f>DATA!C236</f>
        <v/>
      </c>
      <c r="G236" s="20">
        <f>DATA!F236</f>
        <v/>
      </c>
      <c r="H236" s="19">
        <f>C236*(1+F236)</f>
        <v/>
      </c>
      <c r="I236" s="19">
        <f>D236*(1+G236)</f>
        <v/>
      </c>
      <c r="J236" s="19">
        <f>IF(AND(CONFIG!$B$11="Annual",MONTH(A236)=7),(H236+I236)*CONFIG!$B$6/12,J235)</f>
        <v/>
      </c>
      <c r="K236" s="19">
        <f>MAX(0,I236-J236)</f>
        <v/>
      </c>
      <c r="L236">
        <f>IF(OR(MONTH(A236)=3,MONTH(A236)=6,MONTH(A236)=9,MONTH(A236)=12),"Y","N")</f>
        <v/>
      </c>
      <c r="M236" s="21">
        <f>IF((H236+K236)=0,0,K236/(H236+K236))</f>
        <v/>
      </c>
      <c r="N236">
        <f>IF(AND(L236="Y",OR(M236&lt;CONFIG!$B$8,M236&gt;CONFIG!$B$9)),"Y","N")</f>
        <v/>
      </c>
      <c r="O236" s="19">
        <f>IF(N236="Y",(H236+K236)*0.8,H236)</f>
        <v/>
      </c>
      <c r="P236" s="19">
        <f>IF(N236="Y",(H236+K236)*0.2,K236)</f>
        <v/>
      </c>
      <c r="R236" s="18">
        <f>DATA!A236</f>
        <v/>
      </c>
      <c r="S236">
        <f>DATA!B236</f>
        <v/>
      </c>
      <c r="T236" s="19">
        <f>AF235</f>
        <v/>
      </c>
      <c r="U236" s="19">
        <f>AG235</f>
        <v/>
      </c>
      <c r="V236" s="19">
        <f>T236+U236</f>
        <v/>
      </c>
      <c r="W236" s="20">
        <f>DATA!D236</f>
        <v/>
      </c>
      <c r="X236" s="20">
        <f>DATA!F236</f>
        <v/>
      </c>
      <c r="Y236" s="19">
        <f>T236*(1+W236)</f>
        <v/>
      </c>
      <c r="Z236" s="19">
        <f>U236*(1+X236)</f>
        <v/>
      </c>
      <c r="AA236" s="19">
        <f>IF(AND(CONFIG!$B$11="Annual",MONTH(R236)=7),(Y236+Z236)*CONFIG!$B$6/12,AA235)</f>
        <v/>
      </c>
      <c r="AB236" s="19">
        <f>MAX(0,Z236-AA236)</f>
        <v/>
      </c>
      <c r="AC236">
        <f>IF(OR(MONTH(R236)=3,MONTH(R236)=6,MONTH(R236)=9,MONTH(R236)=12),"Y","N")</f>
        <v/>
      </c>
      <c r="AD236" s="21">
        <f>IF((Y236+AB236)=0,0,AB236/(Y236+AB236))</f>
        <v/>
      </c>
      <c r="AE236">
        <f>IF(AND(AC236="Y",OR(AD236&lt;CONFIG!$B$8,AD236&gt;CONFIG!$B$9)),"Y","N")</f>
        <v/>
      </c>
      <c r="AF236" s="19">
        <f>IF(AE236="Y",(Y236+AB236)*0.8,Y236)</f>
        <v/>
      </c>
      <c r="AG236" s="19">
        <f>IF(AE236="Y",(Y236+AB236)*0.2,AB236)</f>
        <v/>
      </c>
      <c r="AI236" s="18">
        <f>DATA!A236</f>
        <v/>
      </c>
      <c r="AJ236">
        <f>DATA!B236</f>
        <v/>
      </c>
      <c r="AK236" s="19">
        <f>AW235</f>
        <v/>
      </c>
      <c r="AL236" s="19">
        <f>AX235</f>
        <v/>
      </c>
      <c r="AM236" s="19">
        <f>AK236+AL236</f>
        <v/>
      </c>
      <c r="AN236" s="20">
        <f>DATA!E236</f>
        <v/>
      </c>
      <c r="AO236" s="20">
        <f>DATA!F236</f>
        <v/>
      </c>
      <c r="AP236" s="19">
        <f>AK236*(1+AN236)</f>
        <v/>
      </c>
      <c r="AQ236" s="19">
        <f>AL236*(1+AO236)</f>
        <v/>
      </c>
      <c r="AR236" s="19">
        <f>IF(AND(CONFIG!$B$11="Annual",MONTH(AI236)=7),(AP236+AQ236)*CONFIG!$B$6/12,AR235)</f>
        <v/>
      </c>
      <c r="AS236" s="19">
        <f>MAX(0,AQ236-AR236)</f>
        <v/>
      </c>
      <c r="AT236">
        <f>IF(OR(MONTH(AI236)=3,MONTH(AI236)=6,MONTH(AI236)=9,MONTH(AI236)=12),"Y","N")</f>
        <v/>
      </c>
      <c r="AU236" s="21">
        <f>IF((AP236+AS236)=0,0,AS236/(AP236+AS236))</f>
        <v/>
      </c>
      <c r="AV236">
        <f>IF(AND(AT236="Y",OR(AU236&lt;CONFIG!$B$8,AU236&gt;CONFIG!$B$9)),"Y","N")</f>
        <v/>
      </c>
      <c r="AW236" s="19">
        <f>IF(AV236="Y",(AP236+AS236)*0.8,AP236)</f>
        <v/>
      </c>
      <c r="AX236" s="19">
        <f>IF(AV236="Y",(AP236+AS236)*0.2,AS236)</f>
        <v/>
      </c>
    </row>
    <row r="237">
      <c r="A237" s="18">
        <f>DATA!A237</f>
        <v/>
      </c>
      <c r="B237">
        <f>DATA!B237</f>
        <v/>
      </c>
      <c r="C237" s="19">
        <f>O236</f>
        <v/>
      </c>
      <c r="D237" s="19">
        <f>P236</f>
        <v/>
      </c>
      <c r="E237" s="19">
        <f>C237+D237</f>
        <v/>
      </c>
      <c r="F237" s="20">
        <f>DATA!C237</f>
        <v/>
      </c>
      <c r="G237" s="20">
        <f>DATA!F237</f>
        <v/>
      </c>
      <c r="H237" s="19">
        <f>C237*(1+F237)</f>
        <v/>
      </c>
      <c r="I237" s="19">
        <f>D237*(1+G237)</f>
        <v/>
      </c>
      <c r="J237" s="19">
        <f>IF(AND(CONFIG!$B$11="Annual",MONTH(A237)=7),(H237+I237)*CONFIG!$B$6/12,J236)</f>
        <v/>
      </c>
      <c r="K237" s="19">
        <f>MAX(0,I237-J237)</f>
        <v/>
      </c>
      <c r="L237">
        <f>IF(OR(MONTH(A237)=3,MONTH(A237)=6,MONTH(A237)=9,MONTH(A237)=12),"Y","N")</f>
        <v/>
      </c>
      <c r="M237" s="21">
        <f>IF((H237+K237)=0,0,K237/(H237+K237))</f>
        <v/>
      </c>
      <c r="N237">
        <f>IF(AND(L237="Y",OR(M237&lt;CONFIG!$B$8,M237&gt;CONFIG!$B$9)),"Y","N")</f>
        <v/>
      </c>
      <c r="O237" s="19">
        <f>IF(N237="Y",(H237+K237)*0.8,H237)</f>
        <v/>
      </c>
      <c r="P237" s="19">
        <f>IF(N237="Y",(H237+K237)*0.2,K237)</f>
        <v/>
      </c>
      <c r="R237" s="18">
        <f>DATA!A237</f>
        <v/>
      </c>
      <c r="S237">
        <f>DATA!B237</f>
        <v/>
      </c>
      <c r="T237" s="19">
        <f>AF236</f>
        <v/>
      </c>
      <c r="U237" s="19">
        <f>AG236</f>
        <v/>
      </c>
      <c r="V237" s="19">
        <f>T237+U237</f>
        <v/>
      </c>
      <c r="W237" s="20">
        <f>DATA!D237</f>
        <v/>
      </c>
      <c r="X237" s="20">
        <f>DATA!F237</f>
        <v/>
      </c>
      <c r="Y237" s="19">
        <f>T237*(1+W237)</f>
        <v/>
      </c>
      <c r="Z237" s="19">
        <f>U237*(1+X237)</f>
        <v/>
      </c>
      <c r="AA237" s="19">
        <f>IF(AND(CONFIG!$B$11="Annual",MONTH(R237)=7),(Y237+Z237)*CONFIG!$B$6/12,AA236)</f>
        <v/>
      </c>
      <c r="AB237" s="19">
        <f>MAX(0,Z237-AA237)</f>
        <v/>
      </c>
      <c r="AC237">
        <f>IF(OR(MONTH(R237)=3,MONTH(R237)=6,MONTH(R237)=9,MONTH(R237)=12),"Y","N")</f>
        <v/>
      </c>
      <c r="AD237" s="21">
        <f>IF((Y237+AB237)=0,0,AB237/(Y237+AB237))</f>
        <v/>
      </c>
      <c r="AE237">
        <f>IF(AND(AC237="Y",OR(AD237&lt;CONFIG!$B$8,AD237&gt;CONFIG!$B$9)),"Y","N")</f>
        <v/>
      </c>
      <c r="AF237" s="19">
        <f>IF(AE237="Y",(Y237+AB237)*0.8,Y237)</f>
        <v/>
      </c>
      <c r="AG237" s="19">
        <f>IF(AE237="Y",(Y237+AB237)*0.2,AB237)</f>
        <v/>
      </c>
      <c r="AI237" s="18">
        <f>DATA!A237</f>
        <v/>
      </c>
      <c r="AJ237">
        <f>DATA!B237</f>
        <v/>
      </c>
      <c r="AK237" s="19">
        <f>AW236</f>
        <v/>
      </c>
      <c r="AL237" s="19">
        <f>AX236</f>
        <v/>
      </c>
      <c r="AM237" s="19">
        <f>AK237+AL237</f>
        <v/>
      </c>
      <c r="AN237" s="20">
        <f>DATA!E237</f>
        <v/>
      </c>
      <c r="AO237" s="20">
        <f>DATA!F237</f>
        <v/>
      </c>
      <c r="AP237" s="19">
        <f>AK237*(1+AN237)</f>
        <v/>
      </c>
      <c r="AQ237" s="19">
        <f>AL237*(1+AO237)</f>
        <v/>
      </c>
      <c r="AR237" s="19">
        <f>IF(AND(CONFIG!$B$11="Annual",MONTH(AI237)=7),(AP237+AQ237)*CONFIG!$B$6/12,AR236)</f>
        <v/>
      </c>
      <c r="AS237" s="19">
        <f>MAX(0,AQ237-AR237)</f>
        <v/>
      </c>
      <c r="AT237">
        <f>IF(OR(MONTH(AI237)=3,MONTH(AI237)=6,MONTH(AI237)=9,MONTH(AI237)=12),"Y","N")</f>
        <v/>
      </c>
      <c r="AU237" s="21">
        <f>IF((AP237+AS237)=0,0,AS237/(AP237+AS237))</f>
        <v/>
      </c>
      <c r="AV237">
        <f>IF(AND(AT237="Y",OR(AU237&lt;CONFIG!$B$8,AU237&gt;CONFIG!$B$9)),"Y","N")</f>
        <v/>
      </c>
      <c r="AW237" s="19">
        <f>IF(AV237="Y",(AP237+AS237)*0.8,AP237)</f>
        <v/>
      </c>
      <c r="AX237" s="19">
        <f>IF(AV237="Y",(AP237+AS237)*0.2,AS237)</f>
        <v/>
      </c>
    </row>
    <row r="238">
      <c r="A238" s="18">
        <f>DATA!A238</f>
        <v/>
      </c>
      <c r="B238">
        <f>DATA!B238</f>
        <v/>
      </c>
      <c r="C238" s="19">
        <f>O237</f>
        <v/>
      </c>
      <c r="D238" s="19">
        <f>P237</f>
        <v/>
      </c>
      <c r="E238" s="19">
        <f>C238+D238</f>
        <v/>
      </c>
      <c r="F238" s="20">
        <f>DATA!C238</f>
        <v/>
      </c>
      <c r="G238" s="20">
        <f>DATA!F238</f>
        <v/>
      </c>
      <c r="H238" s="19">
        <f>C238*(1+F238)</f>
        <v/>
      </c>
      <c r="I238" s="19">
        <f>D238*(1+G238)</f>
        <v/>
      </c>
      <c r="J238" s="19">
        <f>IF(AND(CONFIG!$B$11="Annual",MONTH(A238)=7),(H238+I238)*CONFIG!$B$6/12,J237)</f>
        <v/>
      </c>
      <c r="K238" s="19">
        <f>MAX(0,I238-J238)</f>
        <v/>
      </c>
      <c r="L238">
        <f>IF(OR(MONTH(A238)=3,MONTH(A238)=6,MONTH(A238)=9,MONTH(A238)=12),"Y","N")</f>
        <v/>
      </c>
      <c r="M238" s="21">
        <f>IF((H238+K238)=0,0,K238/(H238+K238))</f>
        <v/>
      </c>
      <c r="N238">
        <f>IF(AND(L238="Y",OR(M238&lt;CONFIG!$B$8,M238&gt;CONFIG!$B$9)),"Y","N")</f>
        <v/>
      </c>
      <c r="O238" s="19">
        <f>IF(N238="Y",(H238+K238)*0.8,H238)</f>
        <v/>
      </c>
      <c r="P238" s="19">
        <f>IF(N238="Y",(H238+K238)*0.2,K238)</f>
        <v/>
      </c>
      <c r="R238" s="18">
        <f>DATA!A238</f>
        <v/>
      </c>
      <c r="S238">
        <f>DATA!B238</f>
        <v/>
      </c>
      <c r="T238" s="19">
        <f>AF237</f>
        <v/>
      </c>
      <c r="U238" s="19">
        <f>AG237</f>
        <v/>
      </c>
      <c r="V238" s="19">
        <f>T238+U238</f>
        <v/>
      </c>
      <c r="W238" s="20">
        <f>DATA!D238</f>
        <v/>
      </c>
      <c r="X238" s="20">
        <f>DATA!F238</f>
        <v/>
      </c>
      <c r="Y238" s="19">
        <f>T238*(1+W238)</f>
        <v/>
      </c>
      <c r="Z238" s="19">
        <f>U238*(1+X238)</f>
        <v/>
      </c>
      <c r="AA238" s="19">
        <f>IF(AND(CONFIG!$B$11="Annual",MONTH(R238)=7),(Y238+Z238)*CONFIG!$B$6/12,AA237)</f>
        <v/>
      </c>
      <c r="AB238" s="19">
        <f>MAX(0,Z238-AA238)</f>
        <v/>
      </c>
      <c r="AC238">
        <f>IF(OR(MONTH(R238)=3,MONTH(R238)=6,MONTH(R238)=9,MONTH(R238)=12),"Y","N")</f>
        <v/>
      </c>
      <c r="AD238" s="21">
        <f>IF((Y238+AB238)=0,0,AB238/(Y238+AB238))</f>
        <v/>
      </c>
      <c r="AE238">
        <f>IF(AND(AC238="Y",OR(AD238&lt;CONFIG!$B$8,AD238&gt;CONFIG!$B$9)),"Y","N")</f>
        <v/>
      </c>
      <c r="AF238" s="19">
        <f>IF(AE238="Y",(Y238+AB238)*0.8,Y238)</f>
        <v/>
      </c>
      <c r="AG238" s="19">
        <f>IF(AE238="Y",(Y238+AB238)*0.2,AB238)</f>
        <v/>
      </c>
      <c r="AI238" s="18">
        <f>DATA!A238</f>
        <v/>
      </c>
      <c r="AJ238">
        <f>DATA!B238</f>
        <v/>
      </c>
      <c r="AK238" s="19">
        <f>AW237</f>
        <v/>
      </c>
      <c r="AL238" s="19">
        <f>AX237</f>
        <v/>
      </c>
      <c r="AM238" s="19">
        <f>AK238+AL238</f>
        <v/>
      </c>
      <c r="AN238" s="20">
        <f>DATA!E238</f>
        <v/>
      </c>
      <c r="AO238" s="20">
        <f>DATA!F238</f>
        <v/>
      </c>
      <c r="AP238" s="19">
        <f>AK238*(1+AN238)</f>
        <v/>
      </c>
      <c r="AQ238" s="19">
        <f>AL238*(1+AO238)</f>
        <v/>
      </c>
      <c r="AR238" s="19">
        <f>IF(AND(CONFIG!$B$11="Annual",MONTH(AI238)=7),(AP238+AQ238)*CONFIG!$B$6/12,AR237)</f>
        <v/>
      </c>
      <c r="AS238" s="19">
        <f>MAX(0,AQ238-AR238)</f>
        <v/>
      </c>
      <c r="AT238">
        <f>IF(OR(MONTH(AI238)=3,MONTH(AI238)=6,MONTH(AI238)=9,MONTH(AI238)=12),"Y","N")</f>
        <v/>
      </c>
      <c r="AU238" s="21">
        <f>IF((AP238+AS238)=0,0,AS238/(AP238+AS238))</f>
        <v/>
      </c>
      <c r="AV238">
        <f>IF(AND(AT238="Y",OR(AU238&lt;CONFIG!$B$8,AU238&gt;CONFIG!$B$9)),"Y","N")</f>
        <v/>
      </c>
      <c r="AW238" s="19">
        <f>IF(AV238="Y",(AP238+AS238)*0.8,AP238)</f>
        <v/>
      </c>
      <c r="AX238" s="19">
        <f>IF(AV238="Y",(AP238+AS238)*0.2,AS238)</f>
        <v/>
      </c>
    </row>
    <row r="239">
      <c r="A239" s="18">
        <f>DATA!A239</f>
        <v/>
      </c>
      <c r="B239">
        <f>DATA!B239</f>
        <v/>
      </c>
      <c r="C239" s="19">
        <f>O238</f>
        <v/>
      </c>
      <c r="D239" s="19">
        <f>P238</f>
        <v/>
      </c>
      <c r="E239" s="19">
        <f>C239+D239</f>
        <v/>
      </c>
      <c r="F239" s="20">
        <f>DATA!C239</f>
        <v/>
      </c>
      <c r="G239" s="20">
        <f>DATA!F239</f>
        <v/>
      </c>
      <c r="H239" s="19">
        <f>C239*(1+F239)</f>
        <v/>
      </c>
      <c r="I239" s="19">
        <f>D239*(1+G239)</f>
        <v/>
      </c>
      <c r="J239" s="19">
        <f>IF(AND(CONFIG!$B$11="Annual",MONTH(A239)=7),(H239+I239)*CONFIG!$B$6/12,J238)</f>
        <v/>
      </c>
      <c r="K239" s="19">
        <f>MAX(0,I239-J239)</f>
        <v/>
      </c>
      <c r="L239">
        <f>IF(OR(MONTH(A239)=3,MONTH(A239)=6,MONTH(A239)=9,MONTH(A239)=12),"Y","N")</f>
        <v/>
      </c>
      <c r="M239" s="21">
        <f>IF((H239+K239)=0,0,K239/(H239+K239))</f>
        <v/>
      </c>
      <c r="N239">
        <f>IF(AND(L239="Y",OR(M239&lt;CONFIG!$B$8,M239&gt;CONFIG!$B$9)),"Y","N")</f>
        <v/>
      </c>
      <c r="O239" s="19">
        <f>IF(N239="Y",(H239+K239)*0.8,H239)</f>
        <v/>
      </c>
      <c r="P239" s="19">
        <f>IF(N239="Y",(H239+K239)*0.2,K239)</f>
        <v/>
      </c>
      <c r="R239" s="18">
        <f>DATA!A239</f>
        <v/>
      </c>
      <c r="S239">
        <f>DATA!B239</f>
        <v/>
      </c>
      <c r="T239" s="19">
        <f>AF238</f>
        <v/>
      </c>
      <c r="U239" s="19">
        <f>AG238</f>
        <v/>
      </c>
      <c r="V239" s="19">
        <f>T239+U239</f>
        <v/>
      </c>
      <c r="W239" s="20">
        <f>DATA!D239</f>
        <v/>
      </c>
      <c r="X239" s="20">
        <f>DATA!F239</f>
        <v/>
      </c>
      <c r="Y239" s="19">
        <f>T239*(1+W239)</f>
        <v/>
      </c>
      <c r="Z239" s="19">
        <f>U239*(1+X239)</f>
        <v/>
      </c>
      <c r="AA239" s="19">
        <f>IF(AND(CONFIG!$B$11="Annual",MONTH(R239)=7),(Y239+Z239)*CONFIG!$B$6/12,AA238)</f>
        <v/>
      </c>
      <c r="AB239" s="19">
        <f>MAX(0,Z239-AA239)</f>
        <v/>
      </c>
      <c r="AC239">
        <f>IF(OR(MONTH(R239)=3,MONTH(R239)=6,MONTH(R239)=9,MONTH(R239)=12),"Y","N")</f>
        <v/>
      </c>
      <c r="AD239" s="21">
        <f>IF((Y239+AB239)=0,0,AB239/(Y239+AB239))</f>
        <v/>
      </c>
      <c r="AE239">
        <f>IF(AND(AC239="Y",OR(AD239&lt;CONFIG!$B$8,AD239&gt;CONFIG!$B$9)),"Y","N")</f>
        <v/>
      </c>
      <c r="AF239" s="19">
        <f>IF(AE239="Y",(Y239+AB239)*0.8,Y239)</f>
        <v/>
      </c>
      <c r="AG239" s="19">
        <f>IF(AE239="Y",(Y239+AB239)*0.2,AB239)</f>
        <v/>
      </c>
      <c r="AI239" s="18">
        <f>DATA!A239</f>
        <v/>
      </c>
      <c r="AJ239">
        <f>DATA!B239</f>
        <v/>
      </c>
      <c r="AK239" s="19">
        <f>AW238</f>
        <v/>
      </c>
      <c r="AL239" s="19">
        <f>AX238</f>
        <v/>
      </c>
      <c r="AM239" s="19">
        <f>AK239+AL239</f>
        <v/>
      </c>
      <c r="AN239" s="20">
        <f>DATA!E239</f>
        <v/>
      </c>
      <c r="AO239" s="20">
        <f>DATA!F239</f>
        <v/>
      </c>
      <c r="AP239" s="19">
        <f>AK239*(1+AN239)</f>
        <v/>
      </c>
      <c r="AQ239" s="19">
        <f>AL239*(1+AO239)</f>
        <v/>
      </c>
      <c r="AR239" s="19">
        <f>IF(AND(CONFIG!$B$11="Annual",MONTH(AI239)=7),(AP239+AQ239)*CONFIG!$B$6/12,AR238)</f>
        <v/>
      </c>
      <c r="AS239" s="19">
        <f>MAX(0,AQ239-AR239)</f>
        <v/>
      </c>
      <c r="AT239">
        <f>IF(OR(MONTH(AI239)=3,MONTH(AI239)=6,MONTH(AI239)=9,MONTH(AI239)=12),"Y","N")</f>
        <v/>
      </c>
      <c r="AU239" s="21">
        <f>IF((AP239+AS239)=0,0,AS239/(AP239+AS239))</f>
        <v/>
      </c>
      <c r="AV239">
        <f>IF(AND(AT239="Y",OR(AU239&lt;CONFIG!$B$8,AU239&gt;CONFIG!$B$9)),"Y","N")</f>
        <v/>
      </c>
      <c r="AW239" s="19">
        <f>IF(AV239="Y",(AP239+AS239)*0.8,AP239)</f>
        <v/>
      </c>
      <c r="AX239" s="19">
        <f>IF(AV239="Y",(AP239+AS239)*0.2,AS239)</f>
        <v/>
      </c>
    </row>
    <row r="240">
      <c r="A240" s="18">
        <f>DATA!A240</f>
        <v/>
      </c>
      <c r="B240">
        <f>DATA!B240</f>
        <v/>
      </c>
      <c r="C240" s="19">
        <f>O239</f>
        <v/>
      </c>
      <c r="D240" s="19">
        <f>P239</f>
        <v/>
      </c>
      <c r="E240" s="19">
        <f>C240+D240</f>
        <v/>
      </c>
      <c r="F240" s="20">
        <f>DATA!C240</f>
        <v/>
      </c>
      <c r="G240" s="20">
        <f>DATA!F240</f>
        <v/>
      </c>
      <c r="H240" s="19">
        <f>C240*(1+F240)</f>
        <v/>
      </c>
      <c r="I240" s="19">
        <f>D240*(1+G240)</f>
        <v/>
      </c>
      <c r="J240" s="19">
        <f>IF(AND(CONFIG!$B$11="Annual",MONTH(A240)=7),(H240+I240)*CONFIG!$B$6/12,J239)</f>
        <v/>
      </c>
      <c r="K240" s="19">
        <f>MAX(0,I240-J240)</f>
        <v/>
      </c>
      <c r="L240">
        <f>IF(OR(MONTH(A240)=3,MONTH(A240)=6,MONTH(A240)=9,MONTH(A240)=12),"Y","N")</f>
        <v/>
      </c>
      <c r="M240" s="21">
        <f>IF((H240+K240)=0,0,K240/(H240+K240))</f>
        <v/>
      </c>
      <c r="N240">
        <f>IF(AND(L240="Y",OR(M240&lt;CONFIG!$B$8,M240&gt;CONFIG!$B$9)),"Y","N")</f>
        <v/>
      </c>
      <c r="O240" s="19">
        <f>IF(N240="Y",(H240+K240)*0.8,H240)</f>
        <v/>
      </c>
      <c r="P240" s="19">
        <f>IF(N240="Y",(H240+K240)*0.2,K240)</f>
        <v/>
      </c>
      <c r="R240" s="18">
        <f>DATA!A240</f>
        <v/>
      </c>
      <c r="S240">
        <f>DATA!B240</f>
        <v/>
      </c>
      <c r="T240" s="19">
        <f>AF239</f>
        <v/>
      </c>
      <c r="U240" s="19">
        <f>AG239</f>
        <v/>
      </c>
      <c r="V240" s="19">
        <f>T240+U240</f>
        <v/>
      </c>
      <c r="W240" s="20">
        <f>DATA!D240</f>
        <v/>
      </c>
      <c r="X240" s="20">
        <f>DATA!F240</f>
        <v/>
      </c>
      <c r="Y240" s="19">
        <f>T240*(1+W240)</f>
        <v/>
      </c>
      <c r="Z240" s="19">
        <f>U240*(1+X240)</f>
        <v/>
      </c>
      <c r="AA240" s="19">
        <f>IF(AND(CONFIG!$B$11="Annual",MONTH(R240)=7),(Y240+Z240)*CONFIG!$B$6/12,AA239)</f>
        <v/>
      </c>
      <c r="AB240" s="19">
        <f>MAX(0,Z240-AA240)</f>
        <v/>
      </c>
      <c r="AC240">
        <f>IF(OR(MONTH(R240)=3,MONTH(R240)=6,MONTH(R240)=9,MONTH(R240)=12),"Y","N")</f>
        <v/>
      </c>
      <c r="AD240" s="21">
        <f>IF((Y240+AB240)=0,0,AB240/(Y240+AB240))</f>
        <v/>
      </c>
      <c r="AE240">
        <f>IF(AND(AC240="Y",OR(AD240&lt;CONFIG!$B$8,AD240&gt;CONFIG!$B$9)),"Y","N")</f>
        <v/>
      </c>
      <c r="AF240" s="19">
        <f>IF(AE240="Y",(Y240+AB240)*0.8,Y240)</f>
        <v/>
      </c>
      <c r="AG240" s="19">
        <f>IF(AE240="Y",(Y240+AB240)*0.2,AB240)</f>
        <v/>
      </c>
      <c r="AI240" s="18">
        <f>DATA!A240</f>
        <v/>
      </c>
      <c r="AJ240">
        <f>DATA!B240</f>
        <v/>
      </c>
      <c r="AK240" s="19">
        <f>AW239</f>
        <v/>
      </c>
      <c r="AL240" s="19">
        <f>AX239</f>
        <v/>
      </c>
      <c r="AM240" s="19">
        <f>AK240+AL240</f>
        <v/>
      </c>
      <c r="AN240" s="20">
        <f>DATA!E240</f>
        <v/>
      </c>
      <c r="AO240" s="20">
        <f>DATA!F240</f>
        <v/>
      </c>
      <c r="AP240" s="19">
        <f>AK240*(1+AN240)</f>
        <v/>
      </c>
      <c r="AQ240" s="19">
        <f>AL240*(1+AO240)</f>
        <v/>
      </c>
      <c r="AR240" s="19">
        <f>IF(AND(CONFIG!$B$11="Annual",MONTH(AI240)=7),(AP240+AQ240)*CONFIG!$B$6/12,AR239)</f>
        <v/>
      </c>
      <c r="AS240" s="19">
        <f>MAX(0,AQ240-AR240)</f>
        <v/>
      </c>
      <c r="AT240">
        <f>IF(OR(MONTH(AI240)=3,MONTH(AI240)=6,MONTH(AI240)=9,MONTH(AI240)=12),"Y","N")</f>
        <v/>
      </c>
      <c r="AU240" s="21">
        <f>IF((AP240+AS240)=0,0,AS240/(AP240+AS240))</f>
        <v/>
      </c>
      <c r="AV240">
        <f>IF(AND(AT240="Y",OR(AU240&lt;CONFIG!$B$8,AU240&gt;CONFIG!$B$9)),"Y","N")</f>
        <v/>
      </c>
      <c r="AW240" s="19">
        <f>IF(AV240="Y",(AP240+AS240)*0.8,AP240)</f>
        <v/>
      </c>
      <c r="AX240" s="19">
        <f>IF(AV240="Y",(AP240+AS240)*0.2,AS240)</f>
        <v/>
      </c>
    </row>
    <row r="241">
      <c r="A241" s="18">
        <f>DATA!A241</f>
        <v/>
      </c>
      <c r="B241">
        <f>DATA!B241</f>
        <v/>
      </c>
      <c r="C241" s="19">
        <f>O240</f>
        <v/>
      </c>
      <c r="D241" s="19">
        <f>P240</f>
        <v/>
      </c>
      <c r="E241" s="19">
        <f>C241+D241</f>
        <v/>
      </c>
      <c r="F241" s="20">
        <f>DATA!C241</f>
        <v/>
      </c>
      <c r="G241" s="20">
        <f>DATA!F241</f>
        <v/>
      </c>
      <c r="H241" s="19">
        <f>C241*(1+F241)</f>
        <v/>
      </c>
      <c r="I241" s="19">
        <f>D241*(1+G241)</f>
        <v/>
      </c>
      <c r="J241" s="19">
        <f>IF(AND(CONFIG!$B$11="Annual",MONTH(A241)=7),(H241+I241)*CONFIG!$B$6/12,J240)</f>
        <v/>
      </c>
      <c r="K241" s="19">
        <f>MAX(0,I241-J241)</f>
        <v/>
      </c>
      <c r="L241">
        <f>IF(OR(MONTH(A241)=3,MONTH(A241)=6,MONTH(A241)=9,MONTH(A241)=12),"Y","N")</f>
        <v/>
      </c>
      <c r="M241" s="21">
        <f>IF((H241+K241)=0,0,K241/(H241+K241))</f>
        <v/>
      </c>
      <c r="N241">
        <f>IF(AND(L241="Y",OR(M241&lt;CONFIG!$B$8,M241&gt;CONFIG!$B$9)),"Y","N")</f>
        <v/>
      </c>
      <c r="O241" s="19">
        <f>IF(N241="Y",(H241+K241)*0.8,H241)</f>
        <v/>
      </c>
      <c r="P241" s="19">
        <f>IF(N241="Y",(H241+K241)*0.2,K241)</f>
        <v/>
      </c>
      <c r="R241" s="18">
        <f>DATA!A241</f>
        <v/>
      </c>
      <c r="S241">
        <f>DATA!B241</f>
        <v/>
      </c>
      <c r="T241" s="19">
        <f>AF240</f>
        <v/>
      </c>
      <c r="U241" s="19">
        <f>AG240</f>
        <v/>
      </c>
      <c r="V241" s="19">
        <f>T241+U241</f>
        <v/>
      </c>
      <c r="W241" s="20">
        <f>DATA!D241</f>
        <v/>
      </c>
      <c r="X241" s="20">
        <f>DATA!F241</f>
        <v/>
      </c>
      <c r="Y241" s="19">
        <f>T241*(1+W241)</f>
        <v/>
      </c>
      <c r="Z241" s="19">
        <f>U241*(1+X241)</f>
        <v/>
      </c>
      <c r="AA241" s="19">
        <f>IF(AND(CONFIG!$B$11="Annual",MONTH(R241)=7),(Y241+Z241)*CONFIG!$B$6/12,AA240)</f>
        <v/>
      </c>
      <c r="AB241" s="19">
        <f>MAX(0,Z241-AA241)</f>
        <v/>
      </c>
      <c r="AC241">
        <f>IF(OR(MONTH(R241)=3,MONTH(R241)=6,MONTH(R241)=9,MONTH(R241)=12),"Y","N")</f>
        <v/>
      </c>
      <c r="AD241" s="21">
        <f>IF((Y241+AB241)=0,0,AB241/(Y241+AB241))</f>
        <v/>
      </c>
      <c r="AE241">
        <f>IF(AND(AC241="Y",OR(AD241&lt;CONFIG!$B$8,AD241&gt;CONFIG!$B$9)),"Y","N")</f>
        <v/>
      </c>
      <c r="AF241" s="19">
        <f>IF(AE241="Y",(Y241+AB241)*0.8,Y241)</f>
        <v/>
      </c>
      <c r="AG241" s="19">
        <f>IF(AE241="Y",(Y241+AB241)*0.2,AB241)</f>
        <v/>
      </c>
      <c r="AI241" s="18">
        <f>DATA!A241</f>
        <v/>
      </c>
      <c r="AJ241">
        <f>DATA!B241</f>
        <v/>
      </c>
      <c r="AK241" s="19">
        <f>AW240</f>
        <v/>
      </c>
      <c r="AL241" s="19">
        <f>AX240</f>
        <v/>
      </c>
      <c r="AM241" s="19">
        <f>AK241+AL241</f>
        <v/>
      </c>
      <c r="AN241" s="20">
        <f>DATA!E241</f>
        <v/>
      </c>
      <c r="AO241" s="20">
        <f>DATA!F241</f>
        <v/>
      </c>
      <c r="AP241" s="19">
        <f>AK241*(1+AN241)</f>
        <v/>
      </c>
      <c r="AQ241" s="19">
        <f>AL241*(1+AO241)</f>
        <v/>
      </c>
      <c r="AR241" s="19">
        <f>IF(AND(CONFIG!$B$11="Annual",MONTH(AI241)=7),(AP241+AQ241)*CONFIG!$B$6/12,AR240)</f>
        <v/>
      </c>
      <c r="AS241" s="19">
        <f>MAX(0,AQ241-AR241)</f>
        <v/>
      </c>
      <c r="AT241">
        <f>IF(OR(MONTH(AI241)=3,MONTH(AI241)=6,MONTH(AI241)=9,MONTH(AI241)=12),"Y","N")</f>
        <v/>
      </c>
      <c r="AU241" s="21">
        <f>IF((AP241+AS241)=0,0,AS241/(AP241+AS241))</f>
        <v/>
      </c>
      <c r="AV241">
        <f>IF(AND(AT241="Y",OR(AU241&lt;CONFIG!$B$8,AU241&gt;CONFIG!$B$9)),"Y","N")</f>
        <v/>
      </c>
      <c r="AW241" s="19">
        <f>IF(AV241="Y",(AP241+AS241)*0.8,AP241)</f>
        <v/>
      </c>
      <c r="AX241" s="19">
        <f>IF(AV241="Y",(AP241+AS241)*0.2,AS241)</f>
        <v/>
      </c>
    </row>
    <row r="242">
      <c r="A242" s="18">
        <f>DATA!A242</f>
        <v/>
      </c>
      <c r="B242">
        <f>DATA!B242</f>
        <v/>
      </c>
      <c r="C242" s="19">
        <f>O241</f>
        <v/>
      </c>
      <c r="D242" s="19">
        <f>P241</f>
        <v/>
      </c>
      <c r="E242" s="19">
        <f>C242+D242</f>
        <v/>
      </c>
      <c r="F242" s="20">
        <f>DATA!C242</f>
        <v/>
      </c>
      <c r="G242" s="20">
        <f>DATA!F242</f>
        <v/>
      </c>
      <c r="H242" s="19">
        <f>C242*(1+F242)</f>
        <v/>
      </c>
      <c r="I242" s="19">
        <f>D242*(1+G242)</f>
        <v/>
      </c>
      <c r="J242" s="19">
        <f>IF(AND(CONFIG!$B$11="Annual",MONTH(A242)=7),(H242+I242)*CONFIG!$B$6/12,J241)</f>
        <v/>
      </c>
      <c r="K242" s="19">
        <f>MAX(0,I242-J242)</f>
        <v/>
      </c>
      <c r="L242">
        <f>IF(OR(MONTH(A242)=3,MONTH(A242)=6,MONTH(A242)=9,MONTH(A242)=12),"Y","N")</f>
        <v/>
      </c>
      <c r="M242" s="21">
        <f>IF((H242+K242)=0,0,K242/(H242+K242))</f>
        <v/>
      </c>
      <c r="N242">
        <f>IF(AND(L242="Y",OR(M242&lt;CONFIG!$B$8,M242&gt;CONFIG!$B$9)),"Y","N")</f>
        <v/>
      </c>
      <c r="O242" s="19">
        <f>IF(N242="Y",(H242+K242)*0.8,H242)</f>
        <v/>
      </c>
      <c r="P242" s="19">
        <f>IF(N242="Y",(H242+K242)*0.2,K242)</f>
        <v/>
      </c>
      <c r="R242" s="18">
        <f>DATA!A242</f>
        <v/>
      </c>
      <c r="S242">
        <f>DATA!B242</f>
        <v/>
      </c>
      <c r="T242" s="19">
        <f>AF241</f>
        <v/>
      </c>
      <c r="U242" s="19">
        <f>AG241</f>
        <v/>
      </c>
      <c r="V242" s="19">
        <f>T242+U242</f>
        <v/>
      </c>
      <c r="W242" s="20">
        <f>DATA!D242</f>
        <v/>
      </c>
      <c r="X242" s="20">
        <f>DATA!F242</f>
        <v/>
      </c>
      <c r="Y242" s="19">
        <f>T242*(1+W242)</f>
        <v/>
      </c>
      <c r="Z242" s="19">
        <f>U242*(1+X242)</f>
        <v/>
      </c>
      <c r="AA242" s="19">
        <f>IF(AND(CONFIG!$B$11="Annual",MONTH(R242)=7),(Y242+Z242)*CONFIG!$B$6/12,AA241)</f>
        <v/>
      </c>
      <c r="AB242" s="19">
        <f>MAX(0,Z242-AA242)</f>
        <v/>
      </c>
      <c r="AC242">
        <f>IF(OR(MONTH(R242)=3,MONTH(R242)=6,MONTH(R242)=9,MONTH(R242)=12),"Y","N")</f>
        <v/>
      </c>
      <c r="AD242" s="21">
        <f>IF((Y242+AB242)=0,0,AB242/(Y242+AB242))</f>
        <v/>
      </c>
      <c r="AE242">
        <f>IF(AND(AC242="Y",OR(AD242&lt;CONFIG!$B$8,AD242&gt;CONFIG!$B$9)),"Y","N")</f>
        <v/>
      </c>
      <c r="AF242" s="19">
        <f>IF(AE242="Y",(Y242+AB242)*0.8,Y242)</f>
        <v/>
      </c>
      <c r="AG242" s="19">
        <f>IF(AE242="Y",(Y242+AB242)*0.2,AB242)</f>
        <v/>
      </c>
      <c r="AI242" s="18">
        <f>DATA!A242</f>
        <v/>
      </c>
      <c r="AJ242">
        <f>DATA!B242</f>
        <v/>
      </c>
      <c r="AK242" s="19">
        <f>AW241</f>
        <v/>
      </c>
      <c r="AL242" s="19">
        <f>AX241</f>
        <v/>
      </c>
      <c r="AM242" s="19">
        <f>AK242+AL242</f>
        <v/>
      </c>
      <c r="AN242" s="20">
        <f>DATA!E242</f>
        <v/>
      </c>
      <c r="AO242" s="20">
        <f>DATA!F242</f>
        <v/>
      </c>
      <c r="AP242" s="19">
        <f>AK242*(1+AN242)</f>
        <v/>
      </c>
      <c r="AQ242" s="19">
        <f>AL242*(1+AO242)</f>
        <v/>
      </c>
      <c r="AR242" s="19">
        <f>IF(AND(CONFIG!$B$11="Annual",MONTH(AI242)=7),(AP242+AQ242)*CONFIG!$B$6/12,AR241)</f>
        <v/>
      </c>
      <c r="AS242" s="19">
        <f>MAX(0,AQ242-AR242)</f>
        <v/>
      </c>
      <c r="AT242">
        <f>IF(OR(MONTH(AI242)=3,MONTH(AI242)=6,MONTH(AI242)=9,MONTH(AI242)=12),"Y","N")</f>
        <v/>
      </c>
      <c r="AU242" s="21">
        <f>IF((AP242+AS242)=0,0,AS242/(AP242+AS242))</f>
        <v/>
      </c>
      <c r="AV242">
        <f>IF(AND(AT242="Y",OR(AU242&lt;CONFIG!$B$8,AU242&gt;CONFIG!$B$9)),"Y","N")</f>
        <v/>
      </c>
      <c r="AW242" s="19">
        <f>IF(AV242="Y",(AP242+AS242)*0.8,AP242)</f>
        <v/>
      </c>
      <c r="AX242" s="19">
        <f>IF(AV242="Y",(AP242+AS242)*0.2,AS242)</f>
        <v/>
      </c>
    </row>
    <row r="243">
      <c r="A243" s="18">
        <f>DATA!A243</f>
        <v/>
      </c>
      <c r="B243">
        <f>DATA!B243</f>
        <v/>
      </c>
      <c r="C243" s="19">
        <f>O242</f>
        <v/>
      </c>
      <c r="D243" s="19">
        <f>P242</f>
        <v/>
      </c>
      <c r="E243" s="19">
        <f>C243+D243</f>
        <v/>
      </c>
      <c r="F243" s="20">
        <f>DATA!C243</f>
        <v/>
      </c>
      <c r="G243" s="20">
        <f>DATA!F243</f>
        <v/>
      </c>
      <c r="H243" s="19">
        <f>C243*(1+F243)</f>
        <v/>
      </c>
      <c r="I243" s="19">
        <f>D243*(1+G243)</f>
        <v/>
      </c>
      <c r="J243" s="19">
        <f>IF(AND(CONFIG!$B$11="Annual",MONTH(A243)=7),(H243+I243)*CONFIG!$B$6/12,J242)</f>
        <v/>
      </c>
      <c r="K243" s="19">
        <f>MAX(0,I243-J243)</f>
        <v/>
      </c>
      <c r="L243">
        <f>IF(OR(MONTH(A243)=3,MONTH(A243)=6,MONTH(A243)=9,MONTH(A243)=12),"Y","N")</f>
        <v/>
      </c>
      <c r="M243" s="21">
        <f>IF((H243+K243)=0,0,K243/(H243+K243))</f>
        <v/>
      </c>
      <c r="N243">
        <f>IF(AND(L243="Y",OR(M243&lt;CONFIG!$B$8,M243&gt;CONFIG!$B$9)),"Y","N")</f>
        <v/>
      </c>
      <c r="O243" s="19">
        <f>IF(N243="Y",(H243+K243)*0.8,H243)</f>
        <v/>
      </c>
      <c r="P243" s="19">
        <f>IF(N243="Y",(H243+K243)*0.2,K243)</f>
        <v/>
      </c>
      <c r="R243" s="18">
        <f>DATA!A243</f>
        <v/>
      </c>
      <c r="S243">
        <f>DATA!B243</f>
        <v/>
      </c>
      <c r="T243" s="19">
        <f>AF242</f>
        <v/>
      </c>
      <c r="U243" s="19">
        <f>AG242</f>
        <v/>
      </c>
      <c r="V243" s="19">
        <f>T243+U243</f>
        <v/>
      </c>
      <c r="W243" s="20">
        <f>DATA!D243</f>
        <v/>
      </c>
      <c r="X243" s="20">
        <f>DATA!F243</f>
        <v/>
      </c>
      <c r="Y243" s="19">
        <f>T243*(1+W243)</f>
        <v/>
      </c>
      <c r="Z243" s="19">
        <f>U243*(1+X243)</f>
        <v/>
      </c>
      <c r="AA243" s="19">
        <f>IF(AND(CONFIG!$B$11="Annual",MONTH(R243)=7),(Y243+Z243)*CONFIG!$B$6/12,AA242)</f>
        <v/>
      </c>
      <c r="AB243" s="19">
        <f>MAX(0,Z243-AA243)</f>
        <v/>
      </c>
      <c r="AC243">
        <f>IF(OR(MONTH(R243)=3,MONTH(R243)=6,MONTH(R243)=9,MONTH(R243)=12),"Y","N")</f>
        <v/>
      </c>
      <c r="AD243" s="21">
        <f>IF((Y243+AB243)=0,0,AB243/(Y243+AB243))</f>
        <v/>
      </c>
      <c r="AE243">
        <f>IF(AND(AC243="Y",OR(AD243&lt;CONFIG!$B$8,AD243&gt;CONFIG!$B$9)),"Y","N")</f>
        <v/>
      </c>
      <c r="AF243" s="19">
        <f>IF(AE243="Y",(Y243+AB243)*0.8,Y243)</f>
        <v/>
      </c>
      <c r="AG243" s="19">
        <f>IF(AE243="Y",(Y243+AB243)*0.2,AB243)</f>
        <v/>
      </c>
      <c r="AI243" s="18">
        <f>DATA!A243</f>
        <v/>
      </c>
      <c r="AJ243">
        <f>DATA!B243</f>
        <v/>
      </c>
      <c r="AK243" s="19">
        <f>AW242</f>
        <v/>
      </c>
      <c r="AL243" s="19">
        <f>AX242</f>
        <v/>
      </c>
      <c r="AM243" s="19">
        <f>AK243+AL243</f>
        <v/>
      </c>
      <c r="AN243" s="20">
        <f>DATA!E243</f>
        <v/>
      </c>
      <c r="AO243" s="20">
        <f>DATA!F243</f>
        <v/>
      </c>
      <c r="AP243" s="19">
        <f>AK243*(1+AN243)</f>
        <v/>
      </c>
      <c r="AQ243" s="19">
        <f>AL243*(1+AO243)</f>
        <v/>
      </c>
      <c r="AR243" s="19">
        <f>IF(AND(CONFIG!$B$11="Annual",MONTH(AI243)=7),(AP243+AQ243)*CONFIG!$B$6/12,AR242)</f>
        <v/>
      </c>
      <c r="AS243" s="19">
        <f>MAX(0,AQ243-AR243)</f>
        <v/>
      </c>
      <c r="AT243">
        <f>IF(OR(MONTH(AI243)=3,MONTH(AI243)=6,MONTH(AI243)=9,MONTH(AI243)=12),"Y","N")</f>
        <v/>
      </c>
      <c r="AU243" s="21">
        <f>IF((AP243+AS243)=0,0,AS243/(AP243+AS243))</f>
        <v/>
      </c>
      <c r="AV243">
        <f>IF(AND(AT243="Y",OR(AU243&lt;CONFIG!$B$8,AU243&gt;CONFIG!$B$9)),"Y","N")</f>
        <v/>
      </c>
      <c r="AW243" s="19">
        <f>IF(AV243="Y",(AP243+AS243)*0.8,AP243)</f>
        <v/>
      </c>
      <c r="AX243" s="19">
        <f>IF(AV243="Y",(AP243+AS243)*0.2,AS243)</f>
        <v/>
      </c>
    </row>
    <row r="244">
      <c r="A244" s="18">
        <f>DATA!A244</f>
        <v/>
      </c>
      <c r="B244">
        <f>DATA!B244</f>
        <v/>
      </c>
      <c r="C244" s="19">
        <f>O243</f>
        <v/>
      </c>
      <c r="D244" s="19">
        <f>P243</f>
        <v/>
      </c>
      <c r="E244" s="19">
        <f>C244+D244</f>
        <v/>
      </c>
      <c r="F244" s="20">
        <f>DATA!C244</f>
        <v/>
      </c>
      <c r="G244" s="20">
        <f>DATA!F244</f>
        <v/>
      </c>
      <c r="H244" s="19">
        <f>C244*(1+F244)</f>
        <v/>
      </c>
      <c r="I244" s="19">
        <f>D244*(1+G244)</f>
        <v/>
      </c>
      <c r="J244" s="19">
        <f>IF(AND(CONFIG!$B$11="Annual",MONTH(A244)=7),(H244+I244)*CONFIG!$B$6/12,J243)</f>
        <v/>
      </c>
      <c r="K244" s="19">
        <f>MAX(0,I244-J244)</f>
        <v/>
      </c>
      <c r="L244">
        <f>IF(OR(MONTH(A244)=3,MONTH(A244)=6,MONTH(A244)=9,MONTH(A244)=12),"Y","N")</f>
        <v/>
      </c>
      <c r="M244" s="21">
        <f>IF((H244+K244)=0,0,K244/(H244+K244))</f>
        <v/>
      </c>
      <c r="N244">
        <f>IF(AND(L244="Y",OR(M244&lt;CONFIG!$B$8,M244&gt;CONFIG!$B$9)),"Y","N")</f>
        <v/>
      </c>
      <c r="O244" s="19">
        <f>IF(N244="Y",(H244+K244)*0.8,H244)</f>
        <v/>
      </c>
      <c r="P244" s="19">
        <f>IF(N244="Y",(H244+K244)*0.2,K244)</f>
        <v/>
      </c>
      <c r="R244" s="18">
        <f>DATA!A244</f>
        <v/>
      </c>
      <c r="S244">
        <f>DATA!B244</f>
        <v/>
      </c>
      <c r="T244" s="19">
        <f>AF243</f>
        <v/>
      </c>
      <c r="U244" s="19">
        <f>AG243</f>
        <v/>
      </c>
      <c r="V244" s="19">
        <f>T244+U244</f>
        <v/>
      </c>
      <c r="W244" s="20">
        <f>DATA!D244</f>
        <v/>
      </c>
      <c r="X244" s="20">
        <f>DATA!F244</f>
        <v/>
      </c>
      <c r="Y244" s="19">
        <f>T244*(1+W244)</f>
        <v/>
      </c>
      <c r="Z244" s="19">
        <f>U244*(1+X244)</f>
        <v/>
      </c>
      <c r="AA244" s="19">
        <f>IF(AND(CONFIG!$B$11="Annual",MONTH(R244)=7),(Y244+Z244)*CONFIG!$B$6/12,AA243)</f>
        <v/>
      </c>
      <c r="AB244" s="19">
        <f>MAX(0,Z244-AA244)</f>
        <v/>
      </c>
      <c r="AC244">
        <f>IF(OR(MONTH(R244)=3,MONTH(R244)=6,MONTH(R244)=9,MONTH(R244)=12),"Y","N")</f>
        <v/>
      </c>
      <c r="AD244" s="21">
        <f>IF((Y244+AB244)=0,0,AB244/(Y244+AB244))</f>
        <v/>
      </c>
      <c r="AE244">
        <f>IF(AND(AC244="Y",OR(AD244&lt;CONFIG!$B$8,AD244&gt;CONFIG!$B$9)),"Y","N")</f>
        <v/>
      </c>
      <c r="AF244" s="19">
        <f>IF(AE244="Y",(Y244+AB244)*0.8,Y244)</f>
        <v/>
      </c>
      <c r="AG244" s="19">
        <f>IF(AE244="Y",(Y244+AB244)*0.2,AB244)</f>
        <v/>
      </c>
      <c r="AI244" s="18">
        <f>DATA!A244</f>
        <v/>
      </c>
      <c r="AJ244">
        <f>DATA!B244</f>
        <v/>
      </c>
      <c r="AK244" s="19">
        <f>AW243</f>
        <v/>
      </c>
      <c r="AL244" s="19">
        <f>AX243</f>
        <v/>
      </c>
      <c r="AM244" s="19">
        <f>AK244+AL244</f>
        <v/>
      </c>
      <c r="AN244" s="20">
        <f>DATA!E244</f>
        <v/>
      </c>
      <c r="AO244" s="20">
        <f>DATA!F244</f>
        <v/>
      </c>
      <c r="AP244" s="19">
        <f>AK244*(1+AN244)</f>
        <v/>
      </c>
      <c r="AQ244" s="19">
        <f>AL244*(1+AO244)</f>
        <v/>
      </c>
      <c r="AR244" s="19">
        <f>IF(AND(CONFIG!$B$11="Annual",MONTH(AI244)=7),(AP244+AQ244)*CONFIG!$B$6/12,AR243)</f>
        <v/>
      </c>
      <c r="AS244" s="19">
        <f>MAX(0,AQ244-AR244)</f>
        <v/>
      </c>
      <c r="AT244">
        <f>IF(OR(MONTH(AI244)=3,MONTH(AI244)=6,MONTH(AI244)=9,MONTH(AI244)=12),"Y","N")</f>
        <v/>
      </c>
      <c r="AU244" s="21">
        <f>IF((AP244+AS244)=0,0,AS244/(AP244+AS244))</f>
        <v/>
      </c>
      <c r="AV244">
        <f>IF(AND(AT244="Y",OR(AU244&lt;CONFIG!$B$8,AU244&gt;CONFIG!$B$9)),"Y","N")</f>
        <v/>
      </c>
      <c r="AW244" s="19">
        <f>IF(AV244="Y",(AP244+AS244)*0.8,AP244)</f>
        <v/>
      </c>
      <c r="AX244" s="19">
        <f>IF(AV244="Y",(AP244+AS244)*0.2,AS244)</f>
        <v/>
      </c>
    </row>
    <row r="245">
      <c r="A245" s="18">
        <f>DATA!A245</f>
        <v/>
      </c>
      <c r="B245">
        <f>DATA!B245</f>
        <v/>
      </c>
      <c r="C245" s="19">
        <f>O244</f>
        <v/>
      </c>
      <c r="D245" s="19">
        <f>P244</f>
        <v/>
      </c>
      <c r="E245" s="19">
        <f>C245+D245</f>
        <v/>
      </c>
      <c r="F245" s="20">
        <f>DATA!C245</f>
        <v/>
      </c>
      <c r="G245" s="20">
        <f>DATA!F245</f>
        <v/>
      </c>
      <c r="H245" s="19">
        <f>C245*(1+F245)</f>
        <v/>
      </c>
      <c r="I245" s="19">
        <f>D245*(1+G245)</f>
        <v/>
      </c>
      <c r="J245" s="19">
        <f>IF(AND(CONFIG!$B$11="Annual",MONTH(A245)=7),(H245+I245)*CONFIG!$B$6/12,J244)</f>
        <v/>
      </c>
      <c r="K245" s="19">
        <f>MAX(0,I245-J245)</f>
        <v/>
      </c>
      <c r="L245">
        <f>IF(OR(MONTH(A245)=3,MONTH(A245)=6,MONTH(A245)=9,MONTH(A245)=12),"Y","N")</f>
        <v/>
      </c>
      <c r="M245" s="21">
        <f>IF((H245+K245)=0,0,K245/(H245+K245))</f>
        <v/>
      </c>
      <c r="N245">
        <f>IF(AND(L245="Y",OR(M245&lt;CONFIG!$B$8,M245&gt;CONFIG!$B$9)),"Y","N")</f>
        <v/>
      </c>
      <c r="O245" s="19">
        <f>IF(N245="Y",(H245+K245)*0.8,H245)</f>
        <v/>
      </c>
      <c r="P245" s="19">
        <f>IF(N245="Y",(H245+K245)*0.2,K245)</f>
        <v/>
      </c>
      <c r="R245" s="18">
        <f>DATA!A245</f>
        <v/>
      </c>
      <c r="S245">
        <f>DATA!B245</f>
        <v/>
      </c>
      <c r="T245" s="19">
        <f>AF244</f>
        <v/>
      </c>
      <c r="U245" s="19">
        <f>AG244</f>
        <v/>
      </c>
      <c r="V245" s="19">
        <f>T245+U245</f>
        <v/>
      </c>
      <c r="W245" s="20">
        <f>DATA!D245</f>
        <v/>
      </c>
      <c r="X245" s="20">
        <f>DATA!F245</f>
        <v/>
      </c>
      <c r="Y245" s="19">
        <f>T245*(1+W245)</f>
        <v/>
      </c>
      <c r="Z245" s="19">
        <f>U245*(1+X245)</f>
        <v/>
      </c>
      <c r="AA245" s="19">
        <f>IF(AND(CONFIG!$B$11="Annual",MONTH(R245)=7),(Y245+Z245)*CONFIG!$B$6/12,AA244)</f>
        <v/>
      </c>
      <c r="AB245" s="19">
        <f>MAX(0,Z245-AA245)</f>
        <v/>
      </c>
      <c r="AC245">
        <f>IF(OR(MONTH(R245)=3,MONTH(R245)=6,MONTH(R245)=9,MONTH(R245)=12),"Y","N")</f>
        <v/>
      </c>
      <c r="AD245" s="21">
        <f>IF((Y245+AB245)=0,0,AB245/(Y245+AB245))</f>
        <v/>
      </c>
      <c r="AE245">
        <f>IF(AND(AC245="Y",OR(AD245&lt;CONFIG!$B$8,AD245&gt;CONFIG!$B$9)),"Y","N")</f>
        <v/>
      </c>
      <c r="AF245" s="19">
        <f>IF(AE245="Y",(Y245+AB245)*0.8,Y245)</f>
        <v/>
      </c>
      <c r="AG245" s="19">
        <f>IF(AE245="Y",(Y245+AB245)*0.2,AB245)</f>
        <v/>
      </c>
      <c r="AI245" s="18">
        <f>DATA!A245</f>
        <v/>
      </c>
      <c r="AJ245">
        <f>DATA!B245</f>
        <v/>
      </c>
      <c r="AK245" s="19">
        <f>AW244</f>
        <v/>
      </c>
      <c r="AL245" s="19">
        <f>AX244</f>
        <v/>
      </c>
      <c r="AM245" s="19">
        <f>AK245+AL245</f>
        <v/>
      </c>
      <c r="AN245" s="20">
        <f>DATA!E245</f>
        <v/>
      </c>
      <c r="AO245" s="20">
        <f>DATA!F245</f>
        <v/>
      </c>
      <c r="AP245" s="19">
        <f>AK245*(1+AN245)</f>
        <v/>
      </c>
      <c r="AQ245" s="19">
        <f>AL245*(1+AO245)</f>
        <v/>
      </c>
      <c r="AR245" s="19">
        <f>IF(AND(CONFIG!$B$11="Annual",MONTH(AI245)=7),(AP245+AQ245)*CONFIG!$B$6/12,AR244)</f>
        <v/>
      </c>
      <c r="AS245" s="19">
        <f>MAX(0,AQ245-AR245)</f>
        <v/>
      </c>
      <c r="AT245">
        <f>IF(OR(MONTH(AI245)=3,MONTH(AI245)=6,MONTH(AI245)=9,MONTH(AI245)=12),"Y","N")</f>
        <v/>
      </c>
      <c r="AU245" s="21">
        <f>IF((AP245+AS245)=0,0,AS245/(AP245+AS245))</f>
        <v/>
      </c>
      <c r="AV245">
        <f>IF(AND(AT245="Y",OR(AU245&lt;CONFIG!$B$8,AU245&gt;CONFIG!$B$9)),"Y","N")</f>
        <v/>
      </c>
      <c r="AW245" s="19">
        <f>IF(AV245="Y",(AP245+AS245)*0.8,AP245)</f>
        <v/>
      </c>
      <c r="AX245" s="19">
        <f>IF(AV245="Y",(AP245+AS245)*0.2,AS245)</f>
        <v/>
      </c>
    </row>
    <row r="246">
      <c r="A246" s="18">
        <f>DATA!A246</f>
        <v/>
      </c>
      <c r="B246">
        <f>DATA!B246</f>
        <v/>
      </c>
      <c r="C246" s="19">
        <f>O245</f>
        <v/>
      </c>
      <c r="D246" s="19">
        <f>P245</f>
        <v/>
      </c>
      <c r="E246" s="19">
        <f>C246+D246</f>
        <v/>
      </c>
      <c r="F246" s="20">
        <f>DATA!C246</f>
        <v/>
      </c>
      <c r="G246" s="20">
        <f>DATA!F246</f>
        <v/>
      </c>
      <c r="H246" s="19">
        <f>C246*(1+F246)</f>
        <v/>
      </c>
      <c r="I246" s="19">
        <f>D246*(1+G246)</f>
        <v/>
      </c>
      <c r="J246" s="19">
        <f>IF(AND(CONFIG!$B$11="Annual",MONTH(A246)=7),(H246+I246)*CONFIG!$B$6/12,J245)</f>
        <v/>
      </c>
      <c r="K246" s="19">
        <f>MAX(0,I246-J246)</f>
        <v/>
      </c>
      <c r="L246">
        <f>IF(OR(MONTH(A246)=3,MONTH(A246)=6,MONTH(A246)=9,MONTH(A246)=12),"Y","N")</f>
        <v/>
      </c>
      <c r="M246" s="21">
        <f>IF((H246+K246)=0,0,K246/(H246+K246))</f>
        <v/>
      </c>
      <c r="N246">
        <f>IF(AND(L246="Y",OR(M246&lt;CONFIG!$B$8,M246&gt;CONFIG!$B$9)),"Y","N")</f>
        <v/>
      </c>
      <c r="O246" s="19">
        <f>IF(N246="Y",(H246+K246)*0.8,H246)</f>
        <v/>
      </c>
      <c r="P246" s="19">
        <f>IF(N246="Y",(H246+K246)*0.2,K246)</f>
        <v/>
      </c>
      <c r="R246" s="18">
        <f>DATA!A246</f>
        <v/>
      </c>
      <c r="S246">
        <f>DATA!B246</f>
        <v/>
      </c>
      <c r="T246" s="19">
        <f>AF245</f>
        <v/>
      </c>
      <c r="U246" s="19">
        <f>AG245</f>
        <v/>
      </c>
      <c r="V246" s="19">
        <f>T246+U246</f>
        <v/>
      </c>
      <c r="W246" s="20">
        <f>DATA!D246</f>
        <v/>
      </c>
      <c r="X246" s="20">
        <f>DATA!F246</f>
        <v/>
      </c>
      <c r="Y246" s="19">
        <f>T246*(1+W246)</f>
        <v/>
      </c>
      <c r="Z246" s="19">
        <f>U246*(1+X246)</f>
        <v/>
      </c>
      <c r="AA246" s="19">
        <f>IF(AND(CONFIG!$B$11="Annual",MONTH(R246)=7),(Y246+Z246)*CONFIG!$B$6/12,AA245)</f>
        <v/>
      </c>
      <c r="AB246" s="19">
        <f>MAX(0,Z246-AA246)</f>
        <v/>
      </c>
      <c r="AC246">
        <f>IF(OR(MONTH(R246)=3,MONTH(R246)=6,MONTH(R246)=9,MONTH(R246)=12),"Y","N")</f>
        <v/>
      </c>
      <c r="AD246" s="21">
        <f>IF((Y246+AB246)=0,0,AB246/(Y246+AB246))</f>
        <v/>
      </c>
      <c r="AE246">
        <f>IF(AND(AC246="Y",OR(AD246&lt;CONFIG!$B$8,AD246&gt;CONFIG!$B$9)),"Y","N")</f>
        <v/>
      </c>
      <c r="AF246" s="19">
        <f>IF(AE246="Y",(Y246+AB246)*0.8,Y246)</f>
        <v/>
      </c>
      <c r="AG246" s="19">
        <f>IF(AE246="Y",(Y246+AB246)*0.2,AB246)</f>
        <v/>
      </c>
      <c r="AI246" s="18">
        <f>DATA!A246</f>
        <v/>
      </c>
      <c r="AJ246">
        <f>DATA!B246</f>
        <v/>
      </c>
      <c r="AK246" s="19">
        <f>AW245</f>
        <v/>
      </c>
      <c r="AL246" s="19">
        <f>AX245</f>
        <v/>
      </c>
      <c r="AM246" s="19">
        <f>AK246+AL246</f>
        <v/>
      </c>
      <c r="AN246" s="20">
        <f>DATA!E246</f>
        <v/>
      </c>
      <c r="AO246" s="20">
        <f>DATA!F246</f>
        <v/>
      </c>
      <c r="AP246" s="19">
        <f>AK246*(1+AN246)</f>
        <v/>
      </c>
      <c r="AQ246" s="19">
        <f>AL246*(1+AO246)</f>
        <v/>
      </c>
      <c r="AR246" s="19">
        <f>IF(AND(CONFIG!$B$11="Annual",MONTH(AI246)=7),(AP246+AQ246)*CONFIG!$B$6/12,AR245)</f>
        <v/>
      </c>
      <c r="AS246" s="19">
        <f>MAX(0,AQ246-AR246)</f>
        <v/>
      </c>
      <c r="AT246">
        <f>IF(OR(MONTH(AI246)=3,MONTH(AI246)=6,MONTH(AI246)=9,MONTH(AI246)=12),"Y","N")</f>
        <v/>
      </c>
      <c r="AU246" s="21">
        <f>IF((AP246+AS246)=0,0,AS246/(AP246+AS246))</f>
        <v/>
      </c>
      <c r="AV246">
        <f>IF(AND(AT246="Y",OR(AU246&lt;CONFIG!$B$8,AU246&gt;CONFIG!$B$9)),"Y","N")</f>
        <v/>
      </c>
      <c r="AW246" s="19">
        <f>IF(AV246="Y",(AP246+AS246)*0.8,AP246)</f>
        <v/>
      </c>
      <c r="AX246" s="19">
        <f>IF(AV246="Y",(AP246+AS246)*0.2,AS246)</f>
        <v/>
      </c>
    </row>
    <row r="247">
      <c r="A247" s="18">
        <f>DATA!A247</f>
        <v/>
      </c>
      <c r="B247">
        <f>DATA!B247</f>
        <v/>
      </c>
      <c r="C247" s="19">
        <f>O246</f>
        <v/>
      </c>
      <c r="D247" s="19">
        <f>P246</f>
        <v/>
      </c>
      <c r="E247" s="19">
        <f>C247+D247</f>
        <v/>
      </c>
      <c r="F247" s="20">
        <f>DATA!C247</f>
        <v/>
      </c>
      <c r="G247" s="20">
        <f>DATA!F247</f>
        <v/>
      </c>
      <c r="H247" s="19">
        <f>C247*(1+F247)</f>
        <v/>
      </c>
      <c r="I247" s="19">
        <f>D247*(1+G247)</f>
        <v/>
      </c>
      <c r="J247" s="19">
        <f>IF(AND(CONFIG!$B$11="Annual",MONTH(A247)=7),(H247+I247)*CONFIG!$B$6/12,J246)</f>
        <v/>
      </c>
      <c r="K247" s="19">
        <f>MAX(0,I247-J247)</f>
        <v/>
      </c>
      <c r="L247">
        <f>IF(OR(MONTH(A247)=3,MONTH(A247)=6,MONTH(A247)=9,MONTH(A247)=12),"Y","N")</f>
        <v/>
      </c>
      <c r="M247" s="21">
        <f>IF((H247+K247)=0,0,K247/(H247+K247))</f>
        <v/>
      </c>
      <c r="N247">
        <f>IF(AND(L247="Y",OR(M247&lt;CONFIG!$B$8,M247&gt;CONFIG!$B$9)),"Y","N")</f>
        <v/>
      </c>
      <c r="O247" s="19">
        <f>IF(N247="Y",(H247+K247)*0.8,H247)</f>
        <v/>
      </c>
      <c r="P247" s="19">
        <f>IF(N247="Y",(H247+K247)*0.2,K247)</f>
        <v/>
      </c>
      <c r="R247" s="18">
        <f>DATA!A247</f>
        <v/>
      </c>
      <c r="S247">
        <f>DATA!B247</f>
        <v/>
      </c>
      <c r="T247" s="19">
        <f>AF246</f>
        <v/>
      </c>
      <c r="U247" s="19">
        <f>AG246</f>
        <v/>
      </c>
      <c r="V247" s="19">
        <f>T247+U247</f>
        <v/>
      </c>
      <c r="W247" s="20">
        <f>DATA!D247</f>
        <v/>
      </c>
      <c r="X247" s="20">
        <f>DATA!F247</f>
        <v/>
      </c>
      <c r="Y247" s="19">
        <f>T247*(1+W247)</f>
        <v/>
      </c>
      <c r="Z247" s="19">
        <f>U247*(1+X247)</f>
        <v/>
      </c>
      <c r="AA247" s="19">
        <f>IF(AND(CONFIG!$B$11="Annual",MONTH(R247)=7),(Y247+Z247)*CONFIG!$B$6/12,AA246)</f>
        <v/>
      </c>
      <c r="AB247" s="19">
        <f>MAX(0,Z247-AA247)</f>
        <v/>
      </c>
      <c r="AC247">
        <f>IF(OR(MONTH(R247)=3,MONTH(R247)=6,MONTH(R247)=9,MONTH(R247)=12),"Y","N")</f>
        <v/>
      </c>
      <c r="AD247" s="21">
        <f>IF((Y247+AB247)=0,0,AB247/(Y247+AB247))</f>
        <v/>
      </c>
      <c r="AE247">
        <f>IF(AND(AC247="Y",OR(AD247&lt;CONFIG!$B$8,AD247&gt;CONFIG!$B$9)),"Y","N")</f>
        <v/>
      </c>
      <c r="AF247" s="19">
        <f>IF(AE247="Y",(Y247+AB247)*0.8,Y247)</f>
        <v/>
      </c>
      <c r="AG247" s="19">
        <f>IF(AE247="Y",(Y247+AB247)*0.2,AB247)</f>
        <v/>
      </c>
      <c r="AI247" s="18">
        <f>DATA!A247</f>
        <v/>
      </c>
      <c r="AJ247">
        <f>DATA!B247</f>
        <v/>
      </c>
      <c r="AK247" s="19">
        <f>AW246</f>
        <v/>
      </c>
      <c r="AL247" s="19">
        <f>AX246</f>
        <v/>
      </c>
      <c r="AM247" s="19">
        <f>AK247+AL247</f>
        <v/>
      </c>
      <c r="AN247" s="20">
        <f>DATA!E247</f>
        <v/>
      </c>
      <c r="AO247" s="20">
        <f>DATA!F247</f>
        <v/>
      </c>
      <c r="AP247" s="19">
        <f>AK247*(1+AN247)</f>
        <v/>
      </c>
      <c r="AQ247" s="19">
        <f>AL247*(1+AO247)</f>
        <v/>
      </c>
      <c r="AR247" s="19">
        <f>IF(AND(CONFIG!$B$11="Annual",MONTH(AI247)=7),(AP247+AQ247)*CONFIG!$B$6/12,AR246)</f>
        <v/>
      </c>
      <c r="AS247" s="19">
        <f>MAX(0,AQ247-AR247)</f>
        <v/>
      </c>
      <c r="AT247">
        <f>IF(OR(MONTH(AI247)=3,MONTH(AI247)=6,MONTH(AI247)=9,MONTH(AI247)=12),"Y","N")</f>
        <v/>
      </c>
      <c r="AU247" s="21">
        <f>IF((AP247+AS247)=0,0,AS247/(AP247+AS247))</f>
        <v/>
      </c>
      <c r="AV247">
        <f>IF(AND(AT247="Y",OR(AU247&lt;CONFIG!$B$8,AU247&gt;CONFIG!$B$9)),"Y","N")</f>
        <v/>
      </c>
      <c r="AW247" s="19">
        <f>IF(AV247="Y",(AP247+AS247)*0.8,AP247)</f>
        <v/>
      </c>
      <c r="AX247" s="19">
        <f>IF(AV247="Y",(AP247+AS247)*0.2,AS247)</f>
        <v/>
      </c>
    </row>
    <row r="248">
      <c r="A248" s="18">
        <f>DATA!A248</f>
        <v/>
      </c>
      <c r="B248">
        <f>DATA!B248</f>
        <v/>
      </c>
      <c r="C248" s="19">
        <f>O247</f>
        <v/>
      </c>
      <c r="D248" s="19">
        <f>P247</f>
        <v/>
      </c>
      <c r="E248" s="19">
        <f>C248+D248</f>
        <v/>
      </c>
      <c r="F248" s="20">
        <f>DATA!C248</f>
        <v/>
      </c>
      <c r="G248" s="20">
        <f>DATA!F248</f>
        <v/>
      </c>
      <c r="H248" s="19">
        <f>C248*(1+F248)</f>
        <v/>
      </c>
      <c r="I248" s="19">
        <f>D248*(1+G248)</f>
        <v/>
      </c>
      <c r="J248" s="19">
        <f>IF(AND(CONFIG!$B$11="Annual",MONTH(A248)=7),(H248+I248)*CONFIG!$B$6/12,J247)</f>
        <v/>
      </c>
      <c r="K248" s="19">
        <f>MAX(0,I248-J248)</f>
        <v/>
      </c>
      <c r="L248">
        <f>IF(OR(MONTH(A248)=3,MONTH(A248)=6,MONTH(A248)=9,MONTH(A248)=12),"Y","N")</f>
        <v/>
      </c>
      <c r="M248" s="21">
        <f>IF((H248+K248)=0,0,K248/(H248+K248))</f>
        <v/>
      </c>
      <c r="N248">
        <f>IF(AND(L248="Y",OR(M248&lt;CONFIG!$B$8,M248&gt;CONFIG!$B$9)),"Y","N")</f>
        <v/>
      </c>
      <c r="O248" s="19">
        <f>IF(N248="Y",(H248+K248)*0.8,H248)</f>
        <v/>
      </c>
      <c r="P248" s="19">
        <f>IF(N248="Y",(H248+K248)*0.2,K248)</f>
        <v/>
      </c>
      <c r="R248" s="18">
        <f>DATA!A248</f>
        <v/>
      </c>
      <c r="S248">
        <f>DATA!B248</f>
        <v/>
      </c>
      <c r="T248" s="19">
        <f>AF247</f>
        <v/>
      </c>
      <c r="U248" s="19">
        <f>AG247</f>
        <v/>
      </c>
      <c r="V248" s="19">
        <f>T248+U248</f>
        <v/>
      </c>
      <c r="W248" s="20">
        <f>DATA!D248</f>
        <v/>
      </c>
      <c r="X248" s="20">
        <f>DATA!F248</f>
        <v/>
      </c>
      <c r="Y248" s="19">
        <f>T248*(1+W248)</f>
        <v/>
      </c>
      <c r="Z248" s="19">
        <f>U248*(1+X248)</f>
        <v/>
      </c>
      <c r="AA248" s="19">
        <f>IF(AND(CONFIG!$B$11="Annual",MONTH(R248)=7),(Y248+Z248)*CONFIG!$B$6/12,AA247)</f>
        <v/>
      </c>
      <c r="AB248" s="19">
        <f>MAX(0,Z248-AA248)</f>
        <v/>
      </c>
      <c r="AC248">
        <f>IF(OR(MONTH(R248)=3,MONTH(R248)=6,MONTH(R248)=9,MONTH(R248)=12),"Y","N")</f>
        <v/>
      </c>
      <c r="AD248" s="21">
        <f>IF((Y248+AB248)=0,0,AB248/(Y248+AB248))</f>
        <v/>
      </c>
      <c r="AE248">
        <f>IF(AND(AC248="Y",OR(AD248&lt;CONFIG!$B$8,AD248&gt;CONFIG!$B$9)),"Y","N")</f>
        <v/>
      </c>
      <c r="AF248" s="19">
        <f>IF(AE248="Y",(Y248+AB248)*0.8,Y248)</f>
        <v/>
      </c>
      <c r="AG248" s="19">
        <f>IF(AE248="Y",(Y248+AB248)*0.2,AB248)</f>
        <v/>
      </c>
      <c r="AI248" s="18">
        <f>DATA!A248</f>
        <v/>
      </c>
      <c r="AJ248">
        <f>DATA!B248</f>
        <v/>
      </c>
      <c r="AK248" s="19">
        <f>AW247</f>
        <v/>
      </c>
      <c r="AL248" s="19">
        <f>AX247</f>
        <v/>
      </c>
      <c r="AM248" s="19">
        <f>AK248+AL248</f>
        <v/>
      </c>
      <c r="AN248" s="20">
        <f>DATA!E248</f>
        <v/>
      </c>
      <c r="AO248" s="20">
        <f>DATA!F248</f>
        <v/>
      </c>
      <c r="AP248" s="19">
        <f>AK248*(1+AN248)</f>
        <v/>
      </c>
      <c r="AQ248" s="19">
        <f>AL248*(1+AO248)</f>
        <v/>
      </c>
      <c r="AR248" s="19">
        <f>IF(AND(CONFIG!$B$11="Annual",MONTH(AI248)=7),(AP248+AQ248)*CONFIG!$B$6/12,AR247)</f>
        <v/>
      </c>
      <c r="AS248" s="19">
        <f>MAX(0,AQ248-AR248)</f>
        <v/>
      </c>
      <c r="AT248">
        <f>IF(OR(MONTH(AI248)=3,MONTH(AI248)=6,MONTH(AI248)=9,MONTH(AI248)=12),"Y","N")</f>
        <v/>
      </c>
      <c r="AU248" s="21">
        <f>IF((AP248+AS248)=0,0,AS248/(AP248+AS248))</f>
        <v/>
      </c>
      <c r="AV248">
        <f>IF(AND(AT248="Y",OR(AU248&lt;CONFIG!$B$8,AU248&gt;CONFIG!$B$9)),"Y","N")</f>
        <v/>
      </c>
      <c r="AW248" s="19">
        <f>IF(AV248="Y",(AP248+AS248)*0.8,AP248)</f>
        <v/>
      </c>
      <c r="AX248" s="19">
        <f>IF(AV248="Y",(AP248+AS248)*0.2,AS248)</f>
        <v/>
      </c>
    </row>
    <row r="249">
      <c r="A249" s="18">
        <f>DATA!A249</f>
        <v/>
      </c>
      <c r="B249">
        <f>DATA!B249</f>
        <v/>
      </c>
      <c r="C249" s="19">
        <f>O248</f>
        <v/>
      </c>
      <c r="D249" s="19">
        <f>P248</f>
        <v/>
      </c>
      <c r="E249" s="19">
        <f>C249+D249</f>
        <v/>
      </c>
      <c r="F249" s="20">
        <f>DATA!C249</f>
        <v/>
      </c>
      <c r="G249" s="20">
        <f>DATA!F249</f>
        <v/>
      </c>
      <c r="H249" s="19">
        <f>C249*(1+F249)</f>
        <v/>
      </c>
      <c r="I249" s="19">
        <f>D249*(1+G249)</f>
        <v/>
      </c>
      <c r="J249" s="19">
        <f>IF(AND(CONFIG!$B$11="Annual",MONTH(A249)=7),(H249+I249)*CONFIG!$B$6/12,J248)</f>
        <v/>
      </c>
      <c r="K249" s="19">
        <f>MAX(0,I249-J249)</f>
        <v/>
      </c>
      <c r="L249">
        <f>IF(OR(MONTH(A249)=3,MONTH(A249)=6,MONTH(A249)=9,MONTH(A249)=12),"Y","N")</f>
        <v/>
      </c>
      <c r="M249" s="21">
        <f>IF((H249+K249)=0,0,K249/(H249+K249))</f>
        <v/>
      </c>
      <c r="N249">
        <f>IF(AND(L249="Y",OR(M249&lt;CONFIG!$B$8,M249&gt;CONFIG!$B$9)),"Y","N")</f>
        <v/>
      </c>
      <c r="O249" s="19">
        <f>IF(N249="Y",(H249+K249)*0.8,H249)</f>
        <v/>
      </c>
      <c r="P249" s="19">
        <f>IF(N249="Y",(H249+K249)*0.2,K249)</f>
        <v/>
      </c>
      <c r="R249" s="18">
        <f>DATA!A249</f>
        <v/>
      </c>
      <c r="S249">
        <f>DATA!B249</f>
        <v/>
      </c>
      <c r="T249" s="19">
        <f>AF248</f>
        <v/>
      </c>
      <c r="U249" s="19">
        <f>AG248</f>
        <v/>
      </c>
      <c r="V249" s="19">
        <f>T249+U249</f>
        <v/>
      </c>
      <c r="W249" s="20">
        <f>DATA!D249</f>
        <v/>
      </c>
      <c r="X249" s="20">
        <f>DATA!F249</f>
        <v/>
      </c>
      <c r="Y249" s="19">
        <f>T249*(1+W249)</f>
        <v/>
      </c>
      <c r="Z249" s="19">
        <f>U249*(1+X249)</f>
        <v/>
      </c>
      <c r="AA249" s="19">
        <f>IF(AND(CONFIG!$B$11="Annual",MONTH(R249)=7),(Y249+Z249)*CONFIG!$B$6/12,AA248)</f>
        <v/>
      </c>
      <c r="AB249" s="19">
        <f>MAX(0,Z249-AA249)</f>
        <v/>
      </c>
      <c r="AC249">
        <f>IF(OR(MONTH(R249)=3,MONTH(R249)=6,MONTH(R249)=9,MONTH(R249)=12),"Y","N")</f>
        <v/>
      </c>
      <c r="AD249" s="21">
        <f>IF((Y249+AB249)=0,0,AB249/(Y249+AB249))</f>
        <v/>
      </c>
      <c r="AE249">
        <f>IF(AND(AC249="Y",OR(AD249&lt;CONFIG!$B$8,AD249&gt;CONFIG!$B$9)),"Y","N")</f>
        <v/>
      </c>
      <c r="AF249" s="19">
        <f>IF(AE249="Y",(Y249+AB249)*0.8,Y249)</f>
        <v/>
      </c>
      <c r="AG249" s="19">
        <f>IF(AE249="Y",(Y249+AB249)*0.2,AB249)</f>
        <v/>
      </c>
      <c r="AI249" s="18">
        <f>DATA!A249</f>
        <v/>
      </c>
      <c r="AJ249">
        <f>DATA!B249</f>
        <v/>
      </c>
      <c r="AK249" s="19">
        <f>AW248</f>
        <v/>
      </c>
      <c r="AL249" s="19">
        <f>AX248</f>
        <v/>
      </c>
      <c r="AM249" s="19">
        <f>AK249+AL249</f>
        <v/>
      </c>
      <c r="AN249" s="20">
        <f>DATA!E249</f>
        <v/>
      </c>
      <c r="AO249" s="20">
        <f>DATA!F249</f>
        <v/>
      </c>
      <c r="AP249" s="19">
        <f>AK249*(1+AN249)</f>
        <v/>
      </c>
      <c r="AQ249" s="19">
        <f>AL249*(1+AO249)</f>
        <v/>
      </c>
      <c r="AR249" s="19">
        <f>IF(AND(CONFIG!$B$11="Annual",MONTH(AI249)=7),(AP249+AQ249)*CONFIG!$B$6/12,AR248)</f>
        <v/>
      </c>
      <c r="AS249" s="19">
        <f>MAX(0,AQ249-AR249)</f>
        <v/>
      </c>
      <c r="AT249">
        <f>IF(OR(MONTH(AI249)=3,MONTH(AI249)=6,MONTH(AI249)=9,MONTH(AI249)=12),"Y","N")</f>
        <v/>
      </c>
      <c r="AU249" s="21">
        <f>IF((AP249+AS249)=0,0,AS249/(AP249+AS249))</f>
        <v/>
      </c>
      <c r="AV249">
        <f>IF(AND(AT249="Y",OR(AU249&lt;CONFIG!$B$8,AU249&gt;CONFIG!$B$9)),"Y","N")</f>
        <v/>
      </c>
      <c r="AW249" s="19">
        <f>IF(AV249="Y",(AP249+AS249)*0.8,AP249)</f>
        <v/>
      </c>
      <c r="AX249" s="19">
        <f>IF(AV249="Y",(AP249+AS249)*0.2,AS249)</f>
        <v/>
      </c>
    </row>
    <row r="250">
      <c r="A250" s="18">
        <f>DATA!A250</f>
        <v/>
      </c>
      <c r="B250">
        <f>DATA!B250</f>
        <v/>
      </c>
      <c r="C250" s="19">
        <f>O249</f>
        <v/>
      </c>
      <c r="D250" s="19">
        <f>P249</f>
        <v/>
      </c>
      <c r="E250" s="19">
        <f>C250+D250</f>
        <v/>
      </c>
      <c r="F250" s="20">
        <f>DATA!C250</f>
        <v/>
      </c>
      <c r="G250" s="20">
        <f>DATA!F250</f>
        <v/>
      </c>
      <c r="H250" s="19">
        <f>C250*(1+F250)</f>
        <v/>
      </c>
      <c r="I250" s="19">
        <f>D250*(1+G250)</f>
        <v/>
      </c>
      <c r="J250" s="19">
        <f>IF(AND(CONFIG!$B$11="Annual",MONTH(A250)=7),(H250+I250)*CONFIG!$B$6/12,J249)</f>
        <v/>
      </c>
      <c r="K250" s="19">
        <f>MAX(0,I250-J250)</f>
        <v/>
      </c>
      <c r="L250">
        <f>IF(OR(MONTH(A250)=3,MONTH(A250)=6,MONTH(A250)=9,MONTH(A250)=12),"Y","N")</f>
        <v/>
      </c>
      <c r="M250" s="21">
        <f>IF((H250+K250)=0,0,K250/(H250+K250))</f>
        <v/>
      </c>
      <c r="N250">
        <f>IF(AND(L250="Y",OR(M250&lt;CONFIG!$B$8,M250&gt;CONFIG!$B$9)),"Y","N")</f>
        <v/>
      </c>
      <c r="O250" s="19">
        <f>IF(N250="Y",(H250+K250)*0.8,H250)</f>
        <v/>
      </c>
      <c r="P250" s="19">
        <f>IF(N250="Y",(H250+K250)*0.2,K250)</f>
        <v/>
      </c>
      <c r="R250" s="18">
        <f>DATA!A250</f>
        <v/>
      </c>
      <c r="S250">
        <f>DATA!B250</f>
        <v/>
      </c>
      <c r="T250" s="19">
        <f>AF249</f>
        <v/>
      </c>
      <c r="U250" s="19">
        <f>AG249</f>
        <v/>
      </c>
      <c r="V250" s="19">
        <f>T250+U250</f>
        <v/>
      </c>
      <c r="W250" s="20">
        <f>DATA!D250</f>
        <v/>
      </c>
      <c r="X250" s="20">
        <f>DATA!F250</f>
        <v/>
      </c>
      <c r="Y250" s="19">
        <f>T250*(1+W250)</f>
        <v/>
      </c>
      <c r="Z250" s="19">
        <f>U250*(1+X250)</f>
        <v/>
      </c>
      <c r="AA250" s="19">
        <f>IF(AND(CONFIG!$B$11="Annual",MONTH(R250)=7),(Y250+Z250)*CONFIG!$B$6/12,AA249)</f>
        <v/>
      </c>
      <c r="AB250" s="19">
        <f>MAX(0,Z250-AA250)</f>
        <v/>
      </c>
      <c r="AC250">
        <f>IF(OR(MONTH(R250)=3,MONTH(R250)=6,MONTH(R250)=9,MONTH(R250)=12),"Y","N")</f>
        <v/>
      </c>
      <c r="AD250" s="21">
        <f>IF((Y250+AB250)=0,0,AB250/(Y250+AB250))</f>
        <v/>
      </c>
      <c r="AE250">
        <f>IF(AND(AC250="Y",OR(AD250&lt;CONFIG!$B$8,AD250&gt;CONFIG!$B$9)),"Y","N")</f>
        <v/>
      </c>
      <c r="AF250" s="19">
        <f>IF(AE250="Y",(Y250+AB250)*0.8,Y250)</f>
        <v/>
      </c>
      <c r="AG250" s="19">
        <f>IF(AE250="Y",(Y250+AB250)*0.2,AB250)</f>
        <v/>
      </c>
      <c r="AI250" s="18">
        <f>DATA!A250</f>
        <v/>
      </c>
      <c r="AJ250">
        <f>DATA!B250</f>
        <v/>
      </c>
      <c r="AK250" s="19">
        <f>AW249</f>
        <v/>
      </c>
      <c r="AL250" s="19">
        <f>AX249</f>
        <v/>
      </c>
      <c r="AM250" s="19">
        <f>AK250+AL250</f>
        <v/>
      </c>
      <c r="AN250" s="20">
        <f>DATA!E250</f>
        <v/>
      </c>
      <c r="AO250" s="20">
        <f>DATA!F250</f>
        <v/>
      </c>
      <c r="AP250" s="19">
        <f>AK250*(1+AN250)</f>
        <v/>
      </c>
      <c r="AQ250" s="19">
        <f>AL250*(1+AO250)</f>
        <v/>
      </c>
      <c r="AR250" s="19">
        <f>IF(AND(CONFIG!$B$11="Annual",MONTH(AI250)=7),(AP250+AQ250)*CONFIG!$B$6/12,AR249)</f>
        <v/>
      </c>
      <c r="AS250" s="19">
        <f>MAX(0,AQ250-AR250)</f>
        <v/>
      </c>
      <c r="AT250">
        <f>IF(OR(MONTH(AI250)=3,MONTH(AI250)=6,MONTH(AI250)=9,MONTH(AI250)=12),"Y","N")</f>
        <v/>
      </c>
      <c r="AU250" s="21">
        <f>IF((AP250+AS250)=0,0,AS250/(AP250+AS250))</f>
        <v/>
      </c>
      <c r="AV250">
        <f>IF(AND(AT250="Y",OR(AU250&lt;CONFIG!$B$8,AU250&gt;CONFIG!$B$9)),"Y","N")</f>
        <v/>
      </c>
      <c r="AW250" s="19">
        <f>IF(AV250="Y",(AP250+AS250)*0.8,AP250)</f>
        <v/>
      </c>
      <c r="AX250" s="19">
        <f>IF(AV250="Y",(AP250+AS250)*0.2,AS250)</f>
        <v/>
      </c>
    </row>
    <row r="251">
      <c r="A251" s="18">
        <f>DATA!A251</f>
        <v/>
      </c>
      <c r="B251">
        <f>DATA!B251</f>
        <v/>
      </c>
      <c r="C251" s="19">
        <f>O250</f>
        <v/>
      </c>
      <c r="D251" s="19">
        <f>P250</f>
        <v/>
      </c>
      <c r="E251" s="19">
        <f>C251+D251</f>
        <v/>
      </c>
      <c r="F251" s="20">
        <f>DATA!C251</f>
        <v/>
      </c>
      <c r="G251" s="20">
        <f>DATA!F251</f>
        <v/>
      </c>
      <c r="H251" s="19">
        <f>C251*(1+F251)</f>
        <v/>
      </c>
      <c r="I251" s="19">
        <f>D251*(1+G251)</f>
        <v/>
      </c>
      <c r="J251" s="19">
        <f>IF(AND(CONFIG!$B$11="Annual",MONTH(A251)=7),(H251+I251)*CONFIG!$B$6/12,J250)</f>
        <v/>
      </c>
      <c r="K251" s="19">
        <f>MAX(0,I251-J251)</f>
        <v/>
      </c>
      <c r="L251">
        <f>IF(OR(MONTH(A251)=3,MONTH(A251)=6,MONTH(A251)=9,MONTH(A251)=12),"Y","N")</f>
        <v/>
      </c>
      <c r="M251" s="21">
        <f>IF((H251+K251)=0,0,K251/(H251+K251))</f>
        <v/>
      </c>
      <c r="N251">
        <f>IF(AND(L251="Y",OR(M251&lt;CONFIG!$B$8,M251&gt;CONFIG!$B$9)),"Y","N")</f>
        <v/>
      </c>
      <c r="O251" s="19">
        <f>IF(N251="Y",(H251+K251)*0.8,H251)</f>
        <v/>
      </c>
      <c r="P251" s="19">
        <f>IF(N251="Y",(H251+K251)*0.2,K251)</f>
        <v/>
      </c>
      <c r="R251" s="18">
        <f>DATA!A251</f>
        <v/>
      </c>
      <c r="S251">
        <f>DATA!B251</f>
        <v/>
      </c>
      <c r="T251" s="19">
        <f>AF250</f>
        <v/>
      </c>
      <c r="U251" s="19">
        <f>AG250</f>
        <v/>
      </c>
      <c r="V251" s="19">
        <f>T251+U251</f>
        <v/>
      </c>
      <c r="W251" s="20">
        <f>DATA!D251</f>
        <v/>
      </c>
      <c r="X251" s="20">
        <f>DATA!F251</f>
        <v/>
      </c>
      <c r="Y251" s="19">
        <f>T251*(1+W251)</f>
        <v/>
      </c>
      <c r="Z251" s="19">
        <f>U251*(1+X251)</f>
        <v/>
      </c>
      <c r="AA251" s="19">
        <f>IF(AND(CONFIG!$B$11="Annual",MONTH(R251)=7),(Y251+Z251)*CONFIG!$B$6/12,AA250)</f>
        <v/>
      </c>
      <c r="AB251" s="19">
        <f>MAX(0,Z251-AA251)</f>
        <v/>
      </c>
      <c r="AC251">
        <f>IF(OR(MONTH(R251)=3,MONTH(R251)=6,MONTH(R251)=9,MONTH(R251)=12),"Y","N")</f>
        <v/>
      </c>
      <c r="AD251" s="21">
        <f>IF((Y251+AB251)=0,0,AB251/(Y251+AB251))</f>
        <v/>
      </c>
      <c r="AE251">
        <f>IF(AND(AC251="Y",OR(AD251&lt;CONFIG!$B$8,AD251&gt;CONFIG!$B$9)),"Y","N")</f>
        <v/>
      </c>
      <c r="AF251" s="19">
        <f>IF(AE251="Y",(Y251+AB251)*0.8,Y251)</f>
        <v/>
      </c>
      <c r="AG251" s="19">
        <f>IF(AE251="Y",(Y251+AB251)*0.2,AB251)</f>
        <v/>
      </c>
      <c r="AI251" s="18">
        <f>DATA!A251</f>
        <v/>
      </c>
      <c r="AJ251">
        <f>DATA!B251</f>
        <v/>
      </c>
      <c r="AK251" s="19">
        <f>AW250</f>
        <v/>
      </c>
      <c r="AL251" s="19">
        <f>AX250</f>
        <v/>
      </c>
      <c r="AM251" s="19">
        <f>AK251+AL251</f>
        <v/>
      </c>
      <c r="AN251" s="20">
        <f>DATA!E251</f>
        <v/>
      </c>
      <c r="AO251" s="20">
        <f>DATA!F251</f>
        <v/>
      </c>
      <c r="AP251" s="19">
        <f>AK251*(1+AN251)</f>
        <v/>
      </c>
      <c r="AQ251" s="19">
        <f>AL251*(1+AO251)</f>
        <v/>
      </c>
      <c r="AR251" s="19">
        <f>IF(AND(CONFIG!$B$11="Annual",MONTH(AI251)=7),(AP251+AQ251)*CONFIG!$B$6/12,AR250)</f>
        <v/>
      </c>
      <c r="AS251" s="19">
        <f>MAX(0,AQ251-AR251)</f>
        <v/>
      </c>
      <c r="AT251">
        <f>IF(OR(MONTH(AI251)=3,MONTH(AI251)=6,MONTH(AI251)=9,MONTH(AI251)=12),"Y","N")</f>
        <v/>
      </c>
      <c r="AU251" s="21">
        <f>IF((AP251+AS251)=0,0,AS251/(AP251+AS251))</f>
        <v/>
      </c>
      <c r="AV251">
        <f>IF(AND(AT251="Y",OR(AU251&lt;CONFIG!$B$8,AU251&gt;CONFIG!$B$9)),"Y","N")</f>
        <v/>
      </c>
      <c r="AW251" s="19">
        <f>IF(AV251="Y",(AP251+AS251)*0.8,AP251)</f>
        <v/>
      </c>
      <c r="AX251" s="19">
        <f>IF(AV251="Y",(AP251+AS251)*0.2,AS251)</f>
        <v/>
      </c>
    </row>
    <row r="252">
      <c r="A252" s="18">
        <f>DATA!A252</f>
        <v/>
      </c>
      <c r="B252">
        <f>DATA!B252</f>
        <v/>
      </c>
      <c r="C252" s="19">
        <f>O251</f>
        <v/>
      </c>
      <c r="D252" s="19">
        <f>P251</f>
        <v/>
      </c>
      <c r="E252" s="19">
        <f>C252+D252</f>
        <v/>
      </c>
      <c r="F252" s="20">
        <f>DATA!C252</f>
        <v/>
      </c>
      <c r="G252" s="20">
        <f>DATA!F252</f>
        <v/>
      </c>
      <c r="H252" s="19">
        <f>C252*(1+F252)</f>
        <v/>
      </c>
      <c r="I252" s="19">
        <f>D252*(1+G252)</f>
        <v/>
      </c>
      <c r="J252" s="19">
        <f>IF(AND(CONFIG!$B$11="Annual",MONTH(A252)=7),(H252+I252)*CONFIG!$B$6/12,J251)</f>
        <v/>
      </c>
      <c r="K252" s="19">
        <f>MAX(0,I252-J252)</f>
        <v/>
      </c>
      <c r="L252">
        <f>IF(OR(MONTH(A252)=3,MONTH(A252)=6,MONTH(A252)=9,MONTH(A252)=12),"Y","N")</f>
        <v/>
      </c>
      <c r="M252" s="21">
        <f>IF((H252+K252)=0,0,K252/(H252+K252))</f>
        <v/>
      </c>
      <c r="N252">
        <f>IF(AND(L252="Y",OR(M252&lt;CONFIG!$B$8,M252&gt;CONFIG!$B$9)),"Y","N")</f>
        <v/>
      </c>
      <c r="O252" s="19">
        <f>IF(N252="Y",(H252+K252)*0.8,H252)</f>
        <v/>
      </c>
      <c r="P252" s="19">
        <f>IF(N252="Y",(H252+K252)*0.2,K252)</f>
        <v/>
      </c>
      <c r="R252" s="18">
        <f>DATA!A252</f>
        <v/>
      </c>
      <c r="S252">
        <f>DATA!B252</f>
        <v/>
      </c>
      <c r="T252" s="19">
        <f>AF251</f>
        <v/>
      </c>
      <c r="U252" s="19">
        <f>AG251</f>
        <v/>
      </c>
      <c r="V252" s="19">
        <f>T252+U252</f>
        <v/>
      </c>
      <c r="W252" s="20">
        <f>DATA!D252</f>
        <v/>
      </c>
      <c r="X252" s="20">
        <f>DATA!F252</f>
        <v/>
      </c>
      <c r="Y252" s="19">
        <f>T252*(1+W252)</f>
        <v/>
      </c>
      <c r="Z252" s="19">
        <f>U252*(1+X252)</f>
        <v/>
      </c>
      <c r="AA252" s="19">
        <f>IF(AND(CONFIG!$B$11="Annual",MONTH(R252)=7),(Y252+Z252)*CONFIG!$B$6/12,AA251)</f>
        <v/>
      </c>
      <c r="AB252" s="19">
        <f>MAX(0,Z252-AA252)</f>
        <v/>
      </c>
      <c r="AC252">
        <f>IF(OR(MONTH(R252)=3,MONTH(R252)=6,MONTH(R252)=9,MONTH(R252)=12),"Y","N")</f>
        <v/>
      </c>
      <c r="AD252" s="21">
        <f>IF((Y252+AB252)=0,0,AB252/(Y252+AB252))</f>
        <v/>
      </c>
      <c r="AE252">
        <f>IF(AND(AC252="Y",OR(AD252&lt;CONFIG!$B$8,AD252&gt;CONFIG!$B$9)),"Y","N")</f>
        <v/>
      </c>
      <c r="AF252" s="19">
        <f>IF(AE252="Y",(Y252+AB252)*0.8,Y252)</f>
        <v/>
      </c>
      <c r="AG252" s="19">
        <f>IF(AE252="Y",(Y252+AB252)*0.2,AB252)</f>
        <v/>
      </c>
      <c r="AI252" s="18">
        <f>DATA!A252</f>
        <v/>
      </c>
      <c r="AJ252">
        <f>DATA!B252</f>
        <v/>
      </c>
      <c r="AK252" s="19">
        <f>AW251</f>
        <v/>
      </c>
      <c r="AL252" s="19">
        <f>AX251</f>
        <v/>
      </c>
      <c r="AM252" s="19">
        <f>AK252+AL252</f>
        <v/>
      </c>
      <c r="AN252" s="20">
        <f>DATA!E252</f>
        <v/>
      </c>
      <c r="AO252" s="20">
        <f>DATA!F252</f>
        <v/>
      </c>
      <c r="AP252" s="19">
        <f>AK252*(1+AN252)</f>
        <v/>
      </c>
      <c r="AQ252" s="19">
        <f>AL252*(1+AO252)</f>
        <v/>
      </c>
      <c r="AR252" s="19">
        <f>IF(AND(CONFIG!$B$11="Annual",MONTH(AI252)=7),(AP252+AQ252)*CONFIG!$B$6/12,AR251)</f>
        <v/>
      </c>
      <c r="AS252" s="19">
        <f>MAX(0,AQ252-AR252)</f>
        <v/>
      </c>
      <c r="AT252">
        <f>IF(OR(MONTH(AI252)=3,MONTH(AI252)=6,MONTH(AI252)=9,MONTH(AI252)=12),"Y","N")</f>
        <v/>
      </c>
      <c r="AU252" s="21">
        <f>IF((AP252+AS252)=0,0,AS252/(AP252+AS252))</f>
        <v/>
      </c>
      <c r="AV252">
        <f>IF(AND(AT252="Y",OR(AU252&lt;CONFIG!$B$8,AU252&gt;CONFIG!$B$9)),"Y","N")</f>
        <v/>
      </c>
      <c r="AW252" s="19">
        <f>IF(AV252="Y",(AP252+AS252)*0.8,AP252)</f>
        <v/>
      </c>
      <c r="AX252" s="19">
        <f>IF(AV252="Y",(AP252+AS252)*0.2,AS252)</f>
        <v/>
      </c>
    </row>
    <row r="253">
      <c r="A253" s="18">
        <f>DATA!A253</f>
        <v/>
      </c>
      <c r="B253">
        <f>DATA!B253</f>
        <v/>
      </c>
      <c r="C253" s="19">
        <f>O252</f>
        <v/>
      </c>
      <c r="D253" s="19">
        <f>P252</f>
        <v/>
      </c>
      <c r="E253" s="19">
        <f>C253+D253</f>
        <v/>
      </c>
      <c r="F253" s="20">
        <f>DATA!C253</f>
        <v/>
      </c>
      <c r="G253" s="20">
        <f>DATA!F253</f>
        <v/>
      </c>
      <c r="H253" s="19">
        <f>C253*(1+F253)</f>
        <v/>
      </c>
      <c r="I253" s="19">
        <f>D253*(1+G253)</f>
        <v/>
      </c>
      <c r="J253" s="19">
        <f>IF(AND(CONFIG!$B$11="Annual",MONTH(A253)=7),(H253+I253)*CONFIG!$B$6/12,J252)</f>
        <v/>
      </c>
      <c r="K253" s="19">
        <f>MAX(0,I253-J253)</f>
        <v/>
      </c>
      <c r="L253">
        <f>IF(OR(MONTH(A253)=3,MONTH(A253)=6,MONTH(A253)=9,MONTH(A253)=12),"Y","N")</f>
        <v/>
      </c>
      <c r="M253" s="21">
        <f>IF((H253+K253)=0,0,K253/(H253+K253))</f>
        <v/>
      </c>
      <c r="N253">
        <f>IF(AND(L253="Y",OR(M253&lt;CONFIG!$B$8,M253&gt;CONFIG!$B$9)),"Y","N")</f>
        <v/>
      </c>
      <c r="O253" s="19">
        <f>IF(N253="Y",(H253+K253)*0.8,H253)</f>
        <v/>
      </c>
      <c r="P253" s="19">
        <f>IF(N253="Y",(H253+K253)*0.2,K253)</f>
        <v/>
      </c>
      <c r="R253" s="18">
        <f>DATA!A253</f>
        <v/>
      </c>
      <c r="S253">
        <f>DATA!B253</f>
        <v/>
      </c>
      <c r="T253" s="19">
        <f>AF252</f>
        <v/>
      </c>
      <c r="U253" s="19">
        <f>AG252</f>
        <v/>
      </c>
      <c r="V253" s="19">
        <f>T253+U253</f>
        <v/>
      </c>
      <c r="W253" s="20">
        <f>DATA!D253</f>
        <v/>
      </c>
      <c r="X253" s="20">
        <f>DATA!F253</f>
        <v/>
      </c>
      <c r="Y253" s="19">
        <f>T253*(1+W253)</f>
        <v/>
      </c>
      <c r="Z253" s="19">
        <f>U253*(1+X253)</f>
        <v/>
      </c>
      <c r="AA253" s="19">
        <f>IF(AND(CONFIG!$B$11="Annual",MONTH(R253)=7),(Y253+Z253)*CONFIG!$B$6/12,AA252)</f>
        <v/>
      </c>
      <c r="AB253" s="19">
        <f>MAX(0,Z253-AA253)</f>
        <v/>
      </c>
      <c r="AC253">
        <f>IF(OR(MONTH(R253)=3,MONTH(R253)=6,MONTH(R253)=9,MONTH(R253)=12),"Y","N")</f>
        <v/>
      </c>
      <c r="AD253" s="21">
        <f>IF((Y253+AB253)=0,0,AB253/(Y253+AB253))</f>
        <v/>
      </c>
      <c r="AE253">
        <f>IF(AND(AC253="Y",OR(AD253&lt;CONFIG!$B$8,AD253&gt;CONFIG!$B$9)),"Y","N")</f>
        <v/>
      </c>
      <c r="AF253" s="19">
        <f>IF(AE253="Y",(Y253+AB253)*0.8,Y253)</f>
        <v/>
      </c>
      <c r="AG253" s="19">
        <f>IF(AE253="Y",(Y253+AB253)*0.2,AB253)</f>
        <v/>
      </c>
      <c r="AI253" s="18">
        <f>DATA!A253</f>
        <v/>
      </c>
      <c r="AJ253">
        <f>DATA!B253</f>
        <v/>
      </c>
      <c r="AK253" s="19">
        <f>AW252</f>
        <v/>
      </c>
      <c r="AL253" s="19">
        <f>AX252</f>
        <v/>
      </c>
      <c r="AM253" s="19">
        <f>AK253+AL253</f>
        <v/>
      </c>
      <c r="AN253" s="20">
        <f>DATA!E253</f>
        <v/>
      </c>
      <c r="AO253" s="20">
        <f>DATA!F253</f>
        <v/>
      </c>
      <c r="AP253" s="19">
        <f>AK253*(1+AN253)</f>
        <v/>
      </c>
      <c r="AQ253" s="19">
        <f>AL253*(1+AO253)</f>
        <v/>
      </c>
      <c r="AR253" s="19">
        <f>IF(AND(CONFIG!$B$11="Annual",MONTH(AI253)=7),(AP253+AQ253)*CONFIG!$B$6/12,AR252)</f>
        <v/>
      </c>
      <c r="AS253" s="19">
        <f>MAX(0,AQ253-AR253)</f>
        <v/>
      </c>
      <c r="AT253">
        <f>IF(OR(MONTH(AI253)=3,MONTH(AI253)=6,MONTH(AI253)=9,MONTH(AI253)=12),"Y","N")</f>
        <v/>
      </c>
      <c r="AU253" s="21">
        <f>IF((AP253+AS253)=0,0,AS253/(AP253+AS253))</f>
        <v/>
      </c>
      <c r="AV253">
        <f>IF(AND(AT253="Y",OR(AU253&lt;CONFIG!$B$8,AU253&gt;CONFIG!$B$9)),"Y","N")</f>
        <v/>
      </c>
      <c r="AW253" s="19">
        <f>IF(AV253="Y",(AP253+AS253)*0.8,AP253)</f>
        <v/>
      </c>
      <c r="AX253" s="19">
        <f>IF(AV253="Y",(AP253+AS253)*0.2,AS253)</f>
        <v/>
      </c>
    </row>
    <row r="254">
      <c r="A254" s="18">
        <f>DATA!A254</f>
        <v/>
      </c>
      <c r="B254">
        <f>DATA!B254</f>
        <v/>
      </c>
      <c r="C254" s="19">
        <f>O253</f>
        <v/>
      </c>
      <c r="D254" s="19">
        <f>P253</f>
        <v/>
      </c>
      <c r="E254" s="19">
        <f>C254+D254</f>
        <v/>
      </c>
      <c r="F254" s="20">
        <f>DATA!C254</f>
        <v/>
      </c>
      <c r="G254" s="20">
        <f>DATA!F254</f>
        <v/>
      </c>
      <c r="H254" s="19">
        <f>C254*(1+F254)</f>
        <v/>
      </c>
      <c r="I254" s="19">
        <f>D254*(1+G254)</f>
        <v/>
      </c>
      <c r="J254" s="19">
        <f>IF(AND(CONFIG!$B$11="Annual",MONTH(A254)=7),(H254+I254)*CONFIG!$B$6/12,J253)</f>
        <v/>
      </c>
      <c r="K254" s="19">
        <f>MAX(0,I254-J254)</f>
        <v/>
      </c>
      <c r="L254">
        <f>IF(OR(MONTH(A254)=3,MONTH(A254)=6,MONTH(A254)=9,MONTH(A254)=12),"Y","N")</f>
        <v/>
      </c>
      <c r="M254" s="21">
        <f>IF((H254+K254)=0,0,K254/(H254+K254))</f>
        <v/>
      </c>
      <c r="N254">
        <f>IF(AND(L254="Y",OR(M254&lt;CONFIG!$B$8,M254&gt;CONFIG!$B$9)),"Y","N")</f>
        <v/>
      </c>
      <c r="O254" s="19">
        <f>IF(N254="Y",(H254+K254)*0.8,H254)</f>
        <v/>
      </c>
      <c r="P254" s="19">
        <f>IF(N254="Y",(H254+K254)*0.2,K254)</f>
        <v/>
      </c>
      <c r="R254" s="18">
        <f>DATA!A254</f>
        <v/>
      </c>
      <c r="S254">
        <f>DATA!B254</f>
        <v/>
      </c>
      <c r="T254" s="19">
        <f>AF253</f>
        <v/>
      </c>
      <c r="U254" s="19">
        <f>AG253</f>
        <v/>
      </c>
      <c r="V254" s="19">
        <f>T254+U254</f>
        <v/>
      </c>
      <c r="W254" s="20">
        <f>DATA!D254</f>
        <v/>
      </c>
      <c r="X254" s="20">
        <f>DATA!F254</f>
        <v/>
      </c>
      <c r="Y254" s="19">
        <f>T254*(1+W254)</f>
        <v/>
      </c>
      <c r="Z254" s="19">
        <f>U254*(1+X254)</f>
        <v/>
      </c>
      <c r="AA254" s="19">
        <f>IF(AND(CONFIG!$B$11="Annual",MONTH(R254)=7),(Y254+Z254)*CONFIG!$B$6/12,AA253)</f>
        <v/>
      </c>
      <c r="AB254" s="19">
        <f>MAX(0,Z254-AA254)</f>
        <v/>
      </c>
      <c r="AC254">
        <f>IF(OR(MONTH(R254)=3,MONTH(R254)=6,MONTH(R254)=9,MONTH(R254)=12),"Y","N")</f>
        <v/>
      </c>
      <c r="AD254" s="21">
        <f>IF((Y254+AB254)=0,0,AB254/(Y254+AB254))</f>
        <v/>
      </c>
      <c r="AE254">
        <f>IF(AND(AC254="Y",OR(AD254&lt;CONFIG!$B$8,AD254&gt;CONFIG!$B$9)),"Y","N")</f>
        <v/>
      </c>
      <c r="AF254" s="19">
        <f>IF(AE254="Y",(Y254+AB254)*0.8,Y254)</f>
        <v/>
      </c>
      <c r="AG254" s="19">
        <f>IF(AE254="Y",(Y254+AB254)*0.2,AB254)</f>
        <v/>
      </c>
      <c r="AI254" s="18">
        <f>DATA!A254</f>
        <v/>
      </c>
      <c r="AJ254">
        <f>DATA!B254</f>
        <v/>
      </c>
      <c r="AK254" s="19">
        <f>AW253</f>
        <v/>
      </c>
      <c r="AL254" s="19">
        <f>AX253</f>
        <v/>
      </c>
      <c r="AM254" s="19">
        <f>AK254+AL254</f>
        <v/>
      </c>
      <c r="AN254" s="20">
        <f>DATA!E254</f>
        <v/>
      </c>
      <c r="AO254" s="20">
        <f>DATA!F254</f>
        <v/>
      </c>
      <c r="AP254" s="19">
        <f>AK254*(1+AN254)</f>
        <v/>
      </c>
      <c r="AQ254" s="19">
        <f>AL254*(1+AO254)</f>
        <v/>
      </c>
      <c r="AR254" s="19">
        <f>IF(AND(CONFIG!$B$11="Annual",MONTH(AI254)=7),(AP254+AQ254)*CONFIG!$B$6/12,AR253)</f>
        <v/>
      </c>
      <c r="AS254" s="19">
        <f>MAX(0,AQ254-AR254)</f>
        <v/>
      </c>
      <c r="AT254">
        <f>IF(OR(MONTH(AI254)=3,MONTH(AI254)=6,MONTH(AI254)=9,MONTH(AI254)=12),"Y","N")</f>
        <v/>
      </c>
      <c r="AU254" s="21">
        <f>IF((AP254+AS254)=0,0,AS254/(AP254+AS254))</f>
        <v/>
      </c>
      <c r="AV254">
        <f>IF(AND(AT254="Y",OR(AU254&lt;CONFIG!$B$8,AU254&gt;CONFIG!$B$9)),"Y","N")</f>
        <v/>
      </c>
      <c r="AW254" s="19">
        <f>IF(AV254="Y",(AP254+AS254)*0.8,AP254)</f>
        <v/>
      </c>
      <c r="AX254" s="19">
        <f>IF(AV254="Y",(AP254+AS254)*0.2,AS254)</f>
        <v/>
      </c>
    </row>
    <row r="255">
      <c r="A255" s="18">
        <f>DATA!A255</f>
        <v/>
      </c>
      <c r="B255">
        <f>DATA!B255</f>
        <v/>
      </c>
      <c r="C255" s="19">
        <f>O254</f>
        <v/>
      </c>
      <c r="D255" s="19">
        <f>P254</f>
        <v/>
      </c>
      <c r="E255" s="19">
        <f>C255+D255</f>
        <v/>
      </c>
      <c r="F255" s="20">
        <f>DATA!C255</f>
        <v/>
      </c>
      <c r="G255" s="20">
        <f>DATA!F255</f>
        <v/>
      </c>
      <c r="H255" s="19">
        <f>C255*(1+F255)</f>
        <v/>
      </c>
      <c r="I255" s="19">
        <f>D255*(1+G255)</f>
        <v/>
      </c>
      <c r="J255" s="19">
        <f>IF(AND(CONFIG!$B$11="Annual",MONTH(A255)=7),(H255+I255)*CONFIG!$B$6/12,J254)</f>
        <v/>
      </c>
      <c r="K255" s="19">
        <f>MAX(0,I255-J255)</f>
        <v/>
      </c>
      <c r="L255">
        <f>IF(OR(MONTH(A255)=3,MONTH(A255)=6,MONTH(A255)=9,MONTH(A255)=12),"Y","N")</f>
        <v/>
      </c>
      <c r="M255" s="21">
        <f>IF((H255+K255)=0,0,K255/(H255+K255))</f>
        <v/>
      </c>
      <c r="N255">
        <f>IF(AND(L255="Y",OR(M255&lt;CONFIG!$B$8,M255&gt;CONFIG!$B$9)),"Y","N")</f>
        <v/>
      </c>
      <c r="O255" s="19">
        <f>IF(N255="Y",(H255+K255)*0.8,H255)</f>
        <v/>
      </c>
      <c r="P255" s="19">
        <f>IF(N255="Y",(H255+K255)*0.2,K255)</f>
        <v/>
      </c>
      <c r="R255" s="18">
        <f>DATA!A255</f>
        <v/>
      </c>
      <c r="S255">
        <f>DATA!B255</f>
        <v/>
      </c>
      <c r="T255" s="19">
        <f>AF254</f>
        <v/>
      </c>
      <c r="U255" s="19">
        <f>AG254</f>
        <v/>
      </c>
      <c r="V255" s="19">
        <f>T255+U255</f>
        <v/>
      </c>
      <c r="W255" s="20">
        <f>DATA!D255</f>
        <v/>
      </c>
      <c r="X255" s="20">
        <f>DATA!F255</f>
        <v/>
      </c>
      <c r="Y255" s="19">
        <f>T255*(1+W255)</f>
        <v/>
      </c>
      <c r="Z255" s="19">
        <f>U255*(1+X255)</f>
        <v/>
      </c>
      <c r="AA255" s="19">
        <f>IF(AND(CONFIG!$B$11="Annual",MONTH(R255)=7),(Y255+Z255)*CONFIG!$B$6/12,AA254)</f>
        <v/>
      </c>
      <c r="AB255" s="19">
        <f>MAX(0,Z255-AA255)</f>
        <v/>
      </c>
      <c r="AC255">
        <f>IF(OR(MONTH(R255)=3,MONTH(R255)=6,MONTH(R255)=9,MONTH(R255)=12),"Y","N")</f>
        <v/>
      </c>
      <c r="AD255" s="21">
        <f>IF((Y255+AB255)=0,0,AB255/(Y255+AB255))</f>
        <v/>
      </c>
      <c r="AE255">
        <f>IF(AND(AC255="Y",OR(AD255&lt;CONFIG!$B$8,AD255&gt;CONFIG!$B$9)),"Y","N")</f>
        <v/>
      </c>
      <c r="AF255" s="19">
        <f>IF(AE255="Y",(Y255+AB255)*0.8,Y255)</f>
        <v/>
      </c>
      <c r="AG255" s="19">
        <f>IF(AE255="Y",(Y255+AB255)*0.2,AB255)</f>
        <v/>
      </c>
      <c r="AI255" s="18">
        <f>DATA!A255</f>
        <v/>
      </c>
      <c r="AJ255">
        <f>DATA!B255</f>
        <v/>
      </c>
      <c r="AK255" s="19">
        <f>AW254</f>
        <v/>
      </c>
      <c r="AL255" s="19">
        <f>AX254</f>
        <v/>
      </c>
      <c r="AM255" s="19">
        <f>AK255+AL255</f>
        <v/>
      </c>
      <c r="AN255" s="20">
        <f>DATA!E255</f>
        <v/>
      </c>
      <c r="AO255" s="20">
        <f>DATA!F255</f>
        <v/>
      </c>
      <c r="AP255" s="19">
        <f>AK255*(1+AN255)</f>
        <v/>
      </c>
      <c r="AQ255" s="19">
        <f>AL255*(1+AO255)</f>
        <v/>
      </c>
      <c r="AR255" s="19">
        <f>IF(AND(CONFIG!$B$11="Annual",MONTH(AI255)=7),(AP255+AQ255)*CONFIG!$B$6/12,AR254)</f>
        <v/>
      </c>
      <c r="AS255" s="19">
        <f>MAX(0,AQ255-AR255)</f>
        <v/>
      </c>
      <c r="AT255">
        <f>IF(OR(MONTH(AI255)=3,MONTH(AI255)=6,MONTH(AI255)=9,MONTH(AI255)=12),"Y","N")</f>
        <v/>
      </c>
      <c r="AU255" s="21">
        <f>IF((AP255+AS255)=0,0,AS255/(AP255+AS255))</f>
        <v/>
      </c>
      <c r="AV255">
        <f>IF(AND(AT255="Y",OR(AU255&lt;CONFIG!$B$8,AU255&gt;CONFIG!$B$9)),"Y","N")</f>
        <v/>
      </c>
      <c r="AW255" s="19">
        <f>IF(AV255="Y",(AP255+AS255)*0.8,AP255)</f>
        <v/>
      </c>
      <c r="AX255" s="19">
        <f>IF(AV255="Y",(AP255+AS255)*0.2,AS255)</f>
        <v/>
      </c>
    </row>
    <row r="256">
      <c r="A256" s="18">
        <f>DATA!A256</f>
        <v/>
      </c>
      <c r="B256">
        <f>DATA!B256</f>
        <v/>
      </c>
      <c r="C256" s="19">
        <f>O255</f>
        <v/>
      </c>
      <c r="D256" s="19">
        <f>P255</f>
        <v/>
      </c>
      <c r="E256" s="19">
        <f>C256+D256</f>
        <v/>
      </c>
      <c r="F256" s="20">
        <f>DATA!C256</f>
        <v/>
      </c>
      <c r="G256" s="20">
        <f>DATA!F256</f>
        <v/>
      </c>
      <c r="H256" s="19">
        <f>C256*(1+F256)</f>
        <v/>
      </c>
      <c r="I256" s="19">
        <f>D256*(1+G256)</f>
        <v/>
      </c>
      <c r="J256" s="19">
        <f>IF(AND(CONFIG!$B$11="Annual",MONTH(A256)=7),(H256+I256)*CONFIG!$B$6/12,J255)</f>
        <v/>
      </c>
      <c r="K256" s="19">
        <f>MAX(0,I256-J256)</f>
        <v/>
      </c>
      <c r="L256">
        <f>IF(OR(MONTH(A256)=3,MONTH(A256)=6,MONTH(A256)=9,MONTH(A256)=12),"Y","N")</f>
        <v/>
      </c>
      <c r="M256" s="21">
        <f>IF((H256+K256)=0,0,K256/(H256+K256))</f>
        <v/>
      </c>
      <c r="N256">
        <f>IF(AND(L256="Y",OR(M256&lt;CONFIG!$B$8,M256&gt;CONFIG!$B$9)),"Y","N")</f>
        <v/>
      </c>
      <c r="O256" s="19">
        <f>IF(N256="Y",(H256+K256)*0.8,H256)</f>
        <v/>
      </c>
      <c r="P256" s="19">
        <f>IF(N256="Y",(H256+K256)*0.2,K256)</f>
        <v/>
      </c>
      <c r="R256" s="18">
        <f>DATA!A256</f>
        <v/>
      </c>
      <c r="S256">
        <f>DATA!B256</f>
        <v/>
      </c>
      <c r="T256" s="19">
        <f>AF255</f>
        <v/>
      </c>
      <c r="U256" s="19">
        <f>AG255</f>
        <v/>
      </c>
      <c r="V256" s="19">
        <f>T256+U256</f>
        <v/>
      </c>
      <c r="W256" s="20">
        <f>DATA!D256</f>
        <v/>
      </c>
      <c r="X256" s="20">
        <f>DATA!F256</f>
        <v/>
      </c>
      <c r="Y256" s="19">
        <f>T256*(1+W256)</f>
        <v/>
      </c>
      <c r="Z256" s="19">
        <f>U256*(1+X256)</f>
        <v/>
      </c>
      <c r="AA256" s="19">
        <f>IF(AND(CONFIG!$B$11="Annual",MONTH(R256)=7),(Y256+Z256)*CONFIG!$B$6/12,AA255)</f>
        <v/>
      </c>
      <c r="AB256" s="19">
        <f>MAX(0,Z256-AA256)</f>
        <v/>
      </c>
      <c r="AC256">
        <f>IF(OR(MONTH(R256)=3,MONTH(R256)=6,MONTH(R256)=9,MONTH(R256)=12),"Y","N")</f>
        <v/>
      </c>
      <c r="AD256" s="21">
        <f>IF((Y256+AB256)=0,0,AB256/(Y256+AB256))</f>
        <v/>
      </c>
      <c r="AE256">
        <f>IF(AND(AC256="Y",OR(AD256&lt;CONFIG!$B$8,AD256&gt;CONFIG!$B$9)),"Y","N")</f>
        <v/>
      </c>
      <c r="AF256" s="19">
        <f>IF(AE256="Y",(Y256+AB256)*0.8,Y256)</f>
        <v/>
      </c>
      <c r="AG256" s="19">
        <f>IF(AE256="Y",(Y256+AB256)*0.2,AB256)</f>
        <v/>
      </c>
      <c r="AI256" s="18">
        <f>DATA!A256</f>
        <v/>
      </c>
      <c r="AJ256">
        <f>DATA!B256</f>
        <v/>
      </c>
      <c r="AK256" s="19">
        <f>AW255</f>
        <v/>
      </c>
      <c r="AL256" s="19">
        <f>AX255</f>
        <v/>
      </c>
      <c r="AM256" s="19">
        <f>AK256+AL256</f>
        <v/>
      </c>
      <c r="AN256" s="20">
        <f>DATA!E256</f>
        <v/>
      </c>
      <c r="AO256" s="20">
        <f>DATA!F256</f>
        <v/>
      </c>
      <c r="AP256" s="19">
        <f>AK256*(1+AN256)</f>
        <v/>
      </c>
      <c r="AQ256" s="19">
        <f>AL256*(1+AO256)</f>
        <v/>
      </c>
      <c r="AR256" s="19">
        <f>IF(AND(CONFIG!$B$11="Annual",MONTH(AI256)=7),(AP256+AQ256)*CONFIG!$B$6/12,AR255)</f>
        <v/>
      </c>
      <c r="AS256" s="19">
        <f>MAX(0,AQ256-AR256)</f>
        <v/>
      </c>
      <c r="AT256">
        <f>IF(OR(MONTH(AI256)=3,MONTH(AI256)=6,MONTH(AI256)=9,MONTH(AI256)=12),"Y","N")</f>
        <v/>
      </c>
      <c r="AU256" s="21">
        <f>IF((AP256+AS256)=0,0,AS256/(AP256+AS256))</f>
        <v/>
      </c>
      <c r="AV256">
        <f>IF(AND(AT256="Y",OR(AU256&lt;CONFIG!$B$8,AU256&gt;CONFIG!$B$9)),"Y","N")</f>
        <v/>
      </c>
      <c r="AW256" s="19">
        <f>IF(AV256="Y",(AP256+AS256)*0.8,AP256)</f>
        <v/>
      </c>
      <c r="AX256" s="19">
        <f>IF(AV256="Y",(AP256+AS256)*0.2,AS256)</f>
        <v/>
      </c>
    </row>
    <row r="257">
      <c r="A257" s="18">
        <f>DATA!A257</f>
        <v/>
      </c>
      <c r="B257">
        <f>DATA!B257</f>
        <v/>
      </c>
      <c r="C257" s="19">
        <f>O256</f>
        <v/>
      </c>
      <c r="D257" s="19">
        <f>P256</f>
        <v/>
      </c>
      <c r="E257" s="19">
        <f>C257+D257</f>
        <v/>
      </c>
      <c r="F257" s="20">
        <f>DATA!C257</f>
        <v/>
      </c>
      <c r="G257" s="20">
        <f>DATA!F257</f>
        <v/>
      </c>
      <c r="H257" s="19">
        <f>C257*(1+F257)</f>
        <v/>
      </c>
      <c r="I257" s="19">
        <f>D257*(1+G257)</f>
        <v/>
      </c>
      <c r="J257" s="19">
        <f>IF(AND(CONFIG!$B$11="Annual",MONTH(A257)=7),(H257+I257)*CONFIG!$B$6/12,J256)</f>
        <v/>
      </c>
      <c r="K257" s="19">
        <f>MAX(0,I257-J257)</f>
        <v/>
      </c>
      <c r="L257">
        <f>IF(OR(MONTH(A257)=3,MONTH(A257)=6,MONTH(A257)=9,MONTH(A257)=12),"Y","N")</f>
        <v/>
      </c>
      <c r="M257" s="21">
        <f>IF((H257+K257)=0,0,K257/(H257+K257))</f>
        <v/>
      </c>
      <c r="N257">
        <f>IF(AND(L257="Y",OR(M257&lt;CONFIG!$B$8,M257&gt;CONFIG!$B$9)),"Y","N")</f>
        <v/>
      </c>
      <c r="O257" s="19">
        <f>IF(N257="Y",(H257+K257)*0.8,H257)</f>
        <v/>
      </c>
      <c r="P257" s="19">
        <f>IF(N257="Y",(H257+K257)*0.2,K257)</f>
        <v/>
      </c>
      <c r="R257" s="18">
        <f>DATA!A257</f>
        <v/>
      </c>
      <c r="S257">
        <f>DATA!B257</f>
        <v/>
      </c>
      <c r="T257" s="19">
        <f>AF256</f>
        <v/>
      </c>
      <c r="U257" s="19">
        <f>AG256</f>
        <v/>
      </c>
      <c r="V257" s="19">
        <f>T257+U257</f>
        <v/>
      </c>
      <c r="W257" s="20">
        <f>DATA!D257</f>
        <v/>
      </c>
      <c r="X257" s="20">
        <f>DATA!F257</f>
        <v/>
      </c>
      <c r="Y257" s="19">
        <f>T257*(1+W257)</f>
        <v/>
      </c>
      <c r="Z257" s="19">
        <f>U257*(1+X257)</f>
        <v/>
      </c>
      <c r="AA257" s="19">
        <f>IF(AND(CONFIG!$B$11="Annual",MONTH(R257)=7),(Y257+Z257)*CONFIG!$B$6/12,AA256)</f>
        <v/>
      </c>
      <c r="AB257" s="19">
        <f>MAX(0,Z257-AA257)</f>
        <v/>
      </c>
      <c r="AC257">
        <f>IF(OR(MONTH(R257)=3,MONTH(R257)=6,MONTH(R257)=9,MONTH(R257)=12),"Y","N")</f>
        <v/>
      </c>
      <c r="AD257" s="21">
        <f>IF((Y257+AB257)=0,0,AB257/(Y257+AB257))</f>
        <v/>
      </c>
      <c r="AE257">
        <f>IF(AND(AC257="Y",OR(AD257&lt;CONFIG!$B$8,AD257&gt;CONFIG!$B$9)),"Y","N")</f>
        <v/>
      </c>
      <c r="AF257" s="19">
        <f>IF(AE257="Y",(Y257+AB257)*0.8,Y257)</f>
        <v/>
      </c>
      <c r="AG257" s="19">
        <f>IF(AE257="Y",(Y257+AB257)*0.2,AB257)</f>
        <v/>
      </c>
      <c r="AI257" s="18">
        <f>DATA!A257</f>
        <v/>
      </c>
      <c r="AJ257">
        <f>DATA!B257</f>
        <v/>
      </c>
      <c r="AK257" s="19">
        <f>AW256</f>
        <v/>
      </c>
      <c r="AL257" s="19">
        <f>AX256</f>
        <v/>
      </c>
      <c r="AM257" s="19">
        <f>AK257+AL257</f>
        <v/>
      </c>
      <c r="AN257" s="20">
        <f>DATA!E257</f>
        <v/>
      </c>
      <c r="AO257" s="20">
        <f>DATA!F257</f>
        <v/>
      </c>
      <c r="AP257" s="19">
        <f>AK257*(1+AN257)</f>
        <v/>
      </c>
      <c r="AQ257" s="19">
        <f>AL257*(1+AO257)</f>
        <v/>
      </c>
      <c r="AR257" s="19">
        <f>IF(AND(CONFIG!$B$11="Annual",MONTH(AI257)=7),(AP257+AQ257)*CONFIG!$B$6/12,AR256)</f>
        <v/>
      </c>
      <c r="AS257" s="19">
        <f>MAX(0,AQ257-AR257)</f>
        <v/>
      </c>
      <c r="AT257">
        <f>IF(OR(MONTH(AI257)=3,MONTH(AI257)=6,MONTH(AI257)=9,MONTH(AI257)=12),"Y","N")</f>
        <v/>
      </c>
      <c r="AU257" s="21">
        <f>IF((AP257+AS257)=0,0,AS257/(AP257+AS257))</f>
        <v/>
      </c>
      <c r="AV257">
        <f>IF(AND(AT257="Y",OR(AU257&lt;CONFIG!$B$8,AU257&gt;CONFIG!$B$9)),"Y","N")</f>
        <v/>
      </c>
      <c r="AW257" s="19">
        <f>IF(AV257="Y",(AP257+AS257)*0.8,AP257)</f>
        <v/>
      </c>
      <c r="AX257" s="19">
        <f>IF(AV257="Y",(AP257+AS257)*0.2,AS257)</f>
        <v/>
      </c>
    </row>
    <row r="258">
      <c r="A258" s="18">
        <f>DATA!A258</f>
        <v/>
      </c>
      <c r="B258">
        <f>DATA!B258</f>
        <v/>
      </c>
      <c r="C258" s="19">
        <f>O257</f>
        <v/>
      </c>
      <c r="D258" s="19">
        <f>P257</f>
        <v/>
      </c>
      <c r="E258" s="19">
        <f>C258+D258</f>
        <v/>
      </c>
      <c r="F258" s="20">
        <f>DATA!C258</f>
        <v/>
      </c>
      <c r="G258" s="20">
        <f>DATA!F258</f>
        <v/>
      </c>
      <c r="H258" s="19">
        <f>C258*(1+F258)</f>
        <v/>
      </c>
      <c r="I258" s="19">
        <f>D258*(1+G258)</f>
        <v/>
      </c>
      <c r="J258" s="19">
        <f>IF(AND(CONFIG!$B$11="Annual",MONTH(A258)=7),(H258+I258)*CONFIG!$B$6/12,J257)</f>
        <v/>
      </c>
      <c r="K258" s="19">
        <f>MAX(0,I258-J258)</f>
        <v/>
      </c>
      <c r="L258">
        <f>IF(OR(MONTH(A258)=3,MONTH(A258)=6,MONTH(A258)=9,MONTH(A258)=12),"Y","N")</f>
        <v/>
      </c>
      <c r="M258" s="21">
        <f>IF((H258+K258)=0,0,K258/(H258+K258))</f>
        <v/>
      </c>
      <c r="N258">
        <f>IF(AND(L258="Y",OR(M258&lt;CONFIG!$B$8,M258&gt;CONFIG!$B$9)),"Y","N")</f>
        <v/>
      </c>
      <c r="O258" s="19">
        <f>IF(N258="Y",(H258+K258)*0.8,H258)</f>
        <v/>
      </c>
      <c r="P258" s="19">
        <f>IF(N258="Y",(H258+K258)*0.2,K258)</f>
        <v/>
      </c>
      <c r="R258" s="18">
        <f>DATA!A258</f>
        <v/>
      </c>
      <c r="S258">
        <f>DATA!B258</f>
        <v/>
      </c>
      <c r="T258" s="19">
        <f>AF257</f>
        <v/>
      </c>
      <c r="U258" s="19">
        <f>AG257</f>
        <v/>
      </c>
      <c r="V258" s="19">
        <f>T258+U258</f>
        <v/>
      </c>
      <c r="W258" s="20">
        <f>DATA!D258</f>
        <v/>
      </c>
      <c r="X258" s="20">
        <f>DATA!F258</f>
        <v/>
      </c>
      <c r="Y258" s="19">
        <f>T258*(1+W258)</f>
        <v/>
      </c>
      <c r="Z258" s="19">
        <f>U258*(1+X258)</f>
        <v/>
      </c>
      <c r="AA258" s="19">
        <f>IF(AND(CONFIG!$B$11="Annual",MONTH(R258)=7),(Y258+Z258)*CONFIG!$B$6/12,AA257)</f>
        <v/>
      </c>
      <c r="AB258" s="19">
        <f>MAX(0,Z258-AA258)</f>
        <v/>
      </c>
      <c r="AC258">
        <f>IF(OR(MONTH(R258)=3,MONTH(R258)=6,MONTH(R258)=9,MONTH(R258)=12),"Y","N")</f>
        <v/>
      </c>
      <c r="AD258" s="21">
        <f>IF((Y258+AB258)=0,0,AB258/(Y258+AB258))</f>
        <v/>
      </c>
      <c r="AE258">
        <f>IF(AND(AC258="Y",OR(AD258&lt;CONFIG!$B$8,AD258&gt;CONFIG!$B$9)),"Y","N")</f>
        <v/>
      </c>
      <c r="AF258" s="19">
        <f>IF(AE258="Y",(Y258+AB258)*0.8,Y258)</f>
        <v/>
      </c>
      <c r="AG258" s="19">
        <f>IF(AE258="Y",(Y258+AB258)*0.2,AB258)</f>
        <v/>
      </c>
      <c r="AI258" s="18">
        <f>DATA!A258</f>
        <v/>
      </c>
      <c r="AJ258">
        <f>DATA!B258</f>
        <v/>
      </c>
      <c r="AK258" s="19">
        <f>AW257</f>
        <v/>
      </c>
      <c r="AL258" s="19">
        <f>AX257</f>
        <v/>
      </c>
      <c r="AM258" s="19">
        <f>AK258+AL258</f>
        <v/>
      </c>
      <c r="AN258" s="20">
        <f>DATA!E258</f>
        <v/>
      </c>
      <c r="AO258" s="20">
        <f>DATA!F258</f>
        <v/>
      </c>
      <c r="AP258" s="19">
        <f>AK258*(1+AN258)</f>
        <v/>
      </c>
      <c r="AQ258" s="19">
        <f>AL258*(1+AO258)</f>
        <v/>
      </c>
      <c r="AR258" s="19">
        <f>IF(AND(CONFIG!$B$11="Annual",MONTH(AI258)=7),(AP258+AQ258)*CONFIG!$B$6/12,AR257)</f>
        <v/>
      </c>
      <c r="AS258" s="19">
        <f>MAX(0,AQ258-AR258)</f>
        <v/>
      </c>
      <c r="AT258">
        <f>IF(OR(MONTH(AI258)=3,MONTH(AI258)=6,MONTH(AI258)=9,MONTH(AI258)=12),"Y","N")</f>
        <v/>
      </c>
      <c r="AU258" s="21">
        <f>IF((AP258+AS258)=0,0,AS258/(AP258+AS258))</f>
        <v/>
      </c>
      <c r="AV258">
        <f>IF(AND(AT258="Y",OR(AU258&lt;CONFIG!$B$8,AU258&gt;CONFIG!$B$9)),"Y","N")</f>
        <v/>
      </c>
      <c r="AW258" s="19">
        <f>IF(AV258="Y",(AP258+AS258)*0.8,AP258)</f>
        <v/>
      </c>
      <c r="AX258" s="19">
        <f>IF(AV258="Y",(AP258+AS258)*0.2,AS258)</f>
        <v/>
      </c>
    </row>
    <row r="259">
      <c r="A259" s="18">
        <f>DATA!A259</f>
        <v/>
      </c>
      <c r="B259">
        <f>DATA!B259</f>
        <v/>
      </c>
      <c r="C259" s="19">
        <f>O258</f>
        <v/>
      </c>
      <c r="D259" s="19">
        <f>P258</f>
        <v/>
      </c>
      <c r="E259" s="19">
        <f>C259+D259</f>
        <v/>
      </c>
      <c r="F259" s="20">
        <f>DATA!C259</f>
        <v/>
      </c>
      <c r="G259" s="20">
        <f>DATA!F259</f>
        <v/>
      </c>
      <c r="H259" s="19">
        <f>C259*(1+F259)</f>
        <v/>
      </c>
      <c r="I259" s="19">
        <f>D259*(1+G259)</f>
        <v/>
      </c>
      <c r="J259" s="19">
        <f>IF(AND(CONFIG!$B$11="Annual",MONTH(A259)=7),(H259+I259)*CONFIG!$B$6/12,J258)</f>
        <v/>
      </c>
      <c r="K259" s="19">
        <f>MAX(0,I259-J259)</f>
        <v/>
      </c>
      <c r="L259">
        <f>IF(OR(MONTH(A259)=3,MONTH(A259)=6,MONTH(A259)=9,MONTH(A259)=12),"Y","N")</f>
        <v/>
      </c>
      <c r="M259" s="21">
        <f>IF((H259+K259)=0,0,K259/(H259+K259))</f>
        <v/>
      </c>
      <c r="N259">
        <f>IF(AND(L259="Y",OR(M259&lt;CONFIG!$B$8,M259&gt;CONFIG!$B$9)),"Y","N")</f>
        <v/>
      </c>
      <c r="O259" s="19">
        <f>IF(N259="Y",(H259+K259)*0.8,H259)</f>
        <v/>
      </c>
      <c r="P259" s="19">
        <f>IF(N259="Y",(H259+K259)*0.2,K259)</f>
        <v/>
      </c>
      <c r="R259" s="18">
        <f>DATA!A259</f>
        <v/>
      </c>
      <c r="S259">
        <f>DATA!B259</f>
        <v/>
      </c>
      <c r="T259" s="19">
        <f>AF258</f>
        <v/>
      </c>
      <c r="U259" s="19">
        <f>AG258</f>
        <v/>
      </c>
      <c r="V259" s="19">
        <f>T259+U259</f>
        <v/>
      </c>
      <c r="W259" s="20">
        <f>DATA!D259</f>
        <v/>
      </c>
      <c r="X259" s="20">
        <f>DATA!F259</f>
        <v/>
      </c>
      <c r="Y259" s="19">
        <f>T259*(1+W259)</f>
        <v/>
      </c>
      <c r="Z259" s="19">
        <f>U259*(1+X259)</f>
        <v/>
      </c>
      <c r="AA259" s="19">
        <f>IF(AND(CONFIG!$B$11="Annual",MONTH(R259)=7),(Y259+Z259)*CONFIG!$B$6/12,AA258)</f>
        <v/>
      </c>
      <c r="AB259" s="19">
        <f>MAX(0,Z259-AA259)</f>
        <v/>
      </c>
      <c r="AC259">
        <f>IF(OR(MONTH(R259)=3,MONTH(R259)=6,MONTH(R259)=9,MONTH(R259)=12),"Y","N")</f>
        <v/>
      </c>
      <c r="AD259" s="21">
        <f>IF((Y259+AB259)=0,0,AB259/(Y259+AB259))</f>
        <v/>
      </c>
      <c r="AE259">
        <f>IF(AND(AC259="Y",OR(AD259&lt;CONFIG!$B$8,AD259&gt;CONFIG!$B$9)),"Y","N")</f>
        <v/>
      </c>
      <c r="AF259" s="19">
        <f>IF(AE259="Y",(Y259+AB259)*0.8,Y259)</f>
        <v/>
      </c>
      <c r="AG259" s="19">
        <f>IF(AE259="Y",(Y259+AB259)*0.2,AB259)</f>
        <v/>
      </c>
      <c r="AI259" s="18">
        <f>DATA!A259</f>
        <v/>
      </c>
      <c r="AJ259">
        <f>DATA!B259</f>
        <v/>
      </c>
      <c r="AK259" s="19">
        <f>AW258</f>
        <v/>
      </c>
      <c r="AL259" s="19">
        <f>AX258</f>
        <v/>
      </c>
      <c r="AM259" s="19">
        <f>AK259+AL259</f>
        <v/>
      </c>
      <c r="AN259" s="20">
        <f>DATA!E259</f>
        <v/>
      </c>
      <c r="AO259" s="20">
        <f>DATA!F259</f>
        <v/>
      </c>
      <c r="AP259" s="19">
        <f>AK259*(1+AN259)</f>
        <v/>
      </c>
      <c r="AQ259" s="19">
        <f>AL259*(1+AO259)</f>
        <v/>
      </c>
      <c r="AR259" s="19">
        <f>IF(AND(CONFIG!$B$11="Annual",MONTH(AI259)=7),(AP259+AQ259)*CONFIG!$B$6/12,AR258)</f>
        <v/>
      </c>
      <c r="AS259" s="19">
        <f>MAX(0,AQ259-AR259)</f>
        <v/>
      </c>
      <c r="AT259">
        <f>IF(OR(MONTH(AI259)=3,MONTH(AI259)=6,MONTH(AI259)=9,MONTH(AI259)=12),"Y","N")</f>
        <v/>
      </c>
      <c r="AU259" s="21">
        <f>IF((AP259+AS259)=0,0,AS259/(AP259+AS259))</f>
        <v/>
      </c>
      <c r="AV259">
        <f>IF(AND(AT259="Y",OR(AU259&lt;CONFIG!$B$8,AU259&gt;CONFIG!$B$9)),"Y","N")</f>
        <v/>
      </c>
      <c r="AW259" s="19">
        <f>IF(AV259="Y",(AP259+AS259)*0.8,AP259)</f>
        <v/>
      </c>
      <c r="AX259" s="19">
        <f>IF(AV259="Y",(AP259+AS259)*0.2,AS259)</f>
        <v/>
      </c>
    </row>
    <row r="260">
      <c r="A260" s="18">
        <f>DATA!A260</f>
        <v/>
      </c>
      <c r="B260">
        <f>DATA!B260</f>
        <v/>
      </c>
      <c r="C260" s="19">
        <f>O259</f>
        <v/>
      </c>
      <c r="D260" s="19">
        <f>P259</f>
        <v/>
      </c>
      <c r="E260" s="19">
        <f>C260+D260</f>
        <v/>
      </c>
      <c r="F260" s="20">
        <f>DATA!C260</f>
        <v/>
      </c>
      <c r="G260" s="20">
        <f>DATA!F260</f>
        <v/>
      </c>
      <c r="H260" s="19">
        <f>C260*(1+F260)</f>
        <v/>
      </c>
      <c r="I260" s="19">
        <f>D260*(1+G260)</f>
        <v/>
      </c>
      <c r="J260" s="19">
        <f>IF(AND(CONFIG!$B$11="Annual",MONTH(A260)=7),(H260+I260)*CONFIG!$B$6/12,J259)</f>
        <v/>
      </c>
      <c r="K260" s="19">
        <f>MAX(0,I260-J260)</f>
        <v/>
      </c>
      <c r="L260">
        <f>IF(OR(MONTH(A260)=3,MONTH(A260)=6,MONTH(A260)=9,MONTH(A260)=12),"Y","N")</f>
        <v/>
      </c>
      <c r="M260" s="21">
        <f>IF((H260+K260)=0,0,K260/(H260+K260))</f>
        <v/>
      </c>
      <c r="N260">
        <f>IF(AND(L260="Y",OR(M260&lt;CONFIG!$B$8,M260&gt;CONFIG!$B$9)),"Y","N")</f>
        <v/>
      </c>
      <c r="O260" s="19">
        <f>IF(N260="Y",(H260+K260)*0.8,H260)</f>
        <v/>
      </c>
      <c r="P260" s="19">
        <f>IF(N260="Y",(H260+K260)*0.2,K260)</f>
        <v/>
      </c>
      <c r="R260" s="18">
        <f>DATA!A260</f>
        <v/>
      </c>
      <c r="S260">
        <f>DATA!B260</f>
        <v/>
      </c>
      <c r="T260" s="19">
        <f>AF259</f>
        <v/>
      </c>
      <c r="U260" s="19">
        <f>AG259</f>
        <v/>
      </c>
      <c r="V260" s="19">
        <f>T260+U260</f>
        <v/>
      </c>
      <c r="W260" s="20">
        <f>DATA!D260</f>
        <v/>
      </c>
      <c r="X260" s="20">
        <f>DATA!F260</f>
        <v/>
      </c>
      <c r="Y260" s="19">
        <f>T260*(1+W260)</f>
        <v/>
      </c>
      <c r="Z260" s="19">
        <f>U260*(1+X260)</f>
        <v/>
      </c>
      <c r="AA260" s="19">
        <f>IF(AND(CONFIG!$B$11="Annual",MONTH(R260)=7),(Y260+Z260)*CONFIG!$B$6/12,AA259)</f>
        <v/>
      </c>
      <c r="AB260" s="19">
        <f>MAX(0,Z260-AA260)</f>
        <v/>
      </c>
      <c r="AC260">
        <f>IF(OR(MONTH(R260)=3,MONTH(R260)=6,MONTH(R260)=9,MONTH(R260)=12),"Y","N")</f>
        <v/>
      </c>
      <c r="AD260" s="21">
        <f>IF((Y260+AB260)=0,0,AB260/(Y260+AB260))</f>
        <v/>
      </c>
      <c r="AE260">
        <f>IF(AND(AC260="Y",OR(AD260&lt;CONFIG!$B$8,AD260&gt;CONFIG!$B$9)),"Y","N")</f>
        <v/>
      </c>
      <c r="AF260" s="19">
        <f>IF(AE260="Y",(Y260+AB260)*0.8,Y260)</f>
        <v/>
      </c>
      <c r="AG260" s="19">
        <f>IF(AE260="Y",(Y260+AB260)*0.2,AB260)</f>
        <v/>
      </c>
      <c r="AI260" s="18">
        <f>DATA!A260</f>
        <v/>
      </c>
      <c r="AJ260">
        <f>DATA!B260</f>
        <v/>
      </c>
      <c r="AK260" s="19">
        <f>AW259</f>
        <v/>
      </c>
      <c r="AL260" s="19">
        <f>AX259</f>
        <v/>
      </c>
      <c r="AM260" s="19">
        <f>AK260+AL260</f>
        <v/>
      </c>
      <c r="AN260" s="20">
        <f>DATA!E260</f>
        <v/>
      </c>
      <c r="AO260" s="20">
        <f>DATA!F260</f>
        <v/>
      </c>
      <c r="AP260" s="19">
        <f>AK260*(1+AN260)</f>
        <v/>
      </c>
      <c r="AQ260" s="19">
        <f>AL260*(1+AO260)</f>
        <v/>
      </c>
      <c r="AR260" s="19">
        <f>IF(AND(CONFIG!$B$11="Annual",MONTH(AI260)=7),(AP260+AQ260)*CONFIG!$B$6/12,AR259)</f>
        <v/>
      </c>
      <c r="AS260" s="19">
        <f>MAX(0,AQ260-AR260)</f>
        <v/>
      </c>
      <c r="AT260">
        <f>IF(OR(MONTH(AI260)=3,MONTH(AI260)=6,MONTH(AI260)=9,MONTH(AI260)=12),"Y","N")</f>
        <v/>
      </c>
      <c r="AU260" s="21">
        <f>IF((AP260+AS260)=0,0,AS260/(AP260+AS260))</f>
        <v/>
      </c>
      <c r="AV260">
        <f>IF(AND(AT260="Y",OR(AU260&lt;CONFIG!$B$8,AU260&gt;CONFIG!$B$9)),"Y","N")</f>
        <v/>
      </c>
      <c r="AW260" s="19">
        <f>IF(AV260="Y",(AP260+AS260)*0.8,AP260)</f>
        <v/>
      </c>
      <c r="AX260" s="19">
        <f>IF(AV260="Y",(AP260+AS260)*0.2,AS260)</f>
        <v/>
      </c>
    </row>
    <row r="261">
      <c r="A261" s="18">
        <f>DATA!A261</f>
        <v/>
      </c>
      <c r="B261">
        <f>DATA!B261</f>
        <v/>
      </c>
      <c r="C261" s="19">
        <f>O260</f>
        <v/>
      </c>
      <c r="D261" s="19">
        <f>P260</f>
        <v/>
      </c>
      <c r="E261" s="19">
        <f>C261+D261</f>
        <v/>
      </c>
      <c r="F261" s="20">
        <f>DATA!C261</f>
        <v/>
      </c>
      <c r="G261" s="20">
        <f>DATA!F261</f>
        <v/>
      </c>
      <c r="H261" s="19">
        <f>C261*(1+F261)</f>
        <v/>
      </c>
      <c r="I261" s="19">
        <f>D261*(1+G261)</f>
        <v/>
      </c>
      <c r="J261" s="19">
        <f>IF(AND(CONFIG!$B$11="Annual",MONTH(A261)=7),(H261+I261)*CONFIG!$B$6/12,J260)</f>
        <v/>
      </c>
      <c r="K261" s="19">
        <f>MAX(0,I261-J261)</f>
        <v/>
      </c>
      <c r="L261">
        <f>IF(OR(MONTH(A261)=3,MONTH(A261)=6,MONTH(A261)=9,MONTH(A261)=12),"Y","N")</f>
        <v/>
      </c>
      <c r="M261" s="21">
        <f>IF((H261+K261)=0,0,K261/(H261+K261))</f>
        <v/>
      </c>
      <c r="N261">
        <f>IF(AND(L261="Y",OR(M261&lt;CONFIG!$B$8,M261&gt;CONFIG!$B$9)),"Y","N")</f>
        <v/>
      </c>
      <c r="O261" s="19">
        <f>IF(N261="Y",(H261+K261)*0.8,H261)</f>
        <v/>
      </c>
      <c r="P261" s="19">
        <f>IF(N261="Y",(H261+K261)*0.2,K261)</f>
        <v/>
      </c>
      <c r="R261" s="18">
        <f>DATA!A261</f>
        <v/>
      </c>
      <c r="S261">
        <f>DATA!B261</f>
        <v/>
      </c>
      <c r="T261" s="19">
        <f>AF260</f>
        <v/>
      </c>
      <c r="U261" s="19">
        <f>AG260</f>
        <v/>
      </c>
      <c r="V261" s="19">
        <f>T261+U261</f>
        <v/>
      </c>
      <c r="W261" s="20">
        <f>DATA!D261</f>
        <v/>
      </c>
      <c r="X261" s="20">
        <f>DATA!F261</f>
        <v/>
      </c>
      <c r="Y261" s="19">
        <f>T261*(1+W261)</f>
        <v/>
      </c>
      <c r="Z261" s="19">
        <f>U261*(1+X261)</f>
        <v/>
      </c>
      <c r="AA261" s="19">
        <f>IF(AND(CONFIG!$B$11="Annual",MONTH(R261)=7),(Y261+Z261)*CONFIG!$B$6/12,AA260)</f>
        <v/>
      </c>
      <c r="AB261" s="19">
        <f>MAX(0,Z261-AA261)</f>
        <v/>
      </c>
      <c r="AC261">
        <f>IF(OR(MONTH(R261)=3,MONTH(R261)=6,MONTH(R261)=9,MONTH(R261)=12),"Y","N")</f>
        <v/>
      </c>
      <c r="AD261" s="21">
        <f>IF((Y261+AB261)=0,0,AB261/(Y261+AB261))</f>
        <v/>
      </c>
      <c r="AE261">
        <f>IF(AND(AC261="Y",OR(AD261&lt;CONFIG!$B$8,AD261&gt;CONFIG!$B$9)),"Y","N")</f>
        <v/>
      </c>
      <c r="AF261" s="19">
        <f>IF(AE261="Y",(Y261+AB261)*0.8,Y261)</f>
        <v/>
      </c>
      <c r="AG261" s="19">
        <f>IF(AE261="Y",(Y261+AB261)*0.2,AB261)</f>
        <v/>
      </c>
      <c r="AI261" s="18">
        <f>DATA!A261</f>
        <v/>
      </c>
      <c r="AJ261">
        <f>DATA!B261</f>
        <v/>
      </c>
      <c r="AK261" s="19">
        <f>AW260</f>
        <v/>
      </c>
      <c r="AL261" s="19">
        <f>AX260</f>
        <v/>
      </c>
      <c r="AM261" s="19">
        <f>AK261+AL261</f>
        <v/>
      </c>
      <c r="AN261" s="20">
        <f>DATA!E261</f>
        <v/>
      </c>
      <c r="AO261" s="20">
        <f>DATA!F261</f>
        <v/>
      </c>
      <c r="AP261" s="19">
        <f>AK261*(1+AN261)</f>
        <v/>
      </c>
      <c r="AQ261" s="19">
        <f>AL261*(1+AO261)</f>
        <v/>
      </c>
      <c r="AR261" s="19">
        <f>IF(AND(CONFIG!$B$11="Annual",MONTH(AI261)=7),(AP261+AQ261)*CONFIG!$B$6/12,AR260)</f>
        <v/>
      </c>
      <c r="AS261" s="19">
        <f>MAX(0,AQ261-AR261)</f>
        <v/>
      </c>
      <c r="AT261">
        <f>IF(OR(MONTH(AI261)=3,MONTH(AI261)=6,MONTH(AI261)=9,MONTH(AI261)=12),"Y","N")</f>
        <v/>
      </c>
      <c r="AU261" s="21">
        <f>IF((AP261+AS261)=0,0,AS261/(AP261+AS261))</f>
        <v/>
      </c>
      <c r="AV261">
        <f>IF(AND(AT261="Y",OR(AU261&lt;CONFIG!$B$8,AU261&gt;CONFIG!$B$9)),"Y","N")</f>
        <v/>
      </c>
      <c r="AW261" s="19">
        <f>IF(AV261="Y",(AP261+AS261)*0.8,AP261)</f>
        <v/>
      </c>
      <c r="AX261" s="19">
        <f>IF(AV261="Y",(AP261+AS261)*0.2,AS261)</f>
        <v/>
      </c>
    </row>
    <row r="262">
      <c r="A262" s="18">
        <f>DATA!A262</f>
        <v/>
      </c>
      <c r="B262">
        <f>DATA!B262</f>
        <v/>
      </c>
      <c r="C262" s="19">
        <f>O261</f>
        <v/>
      </c>
      <c r="D262" s="19">
        <f>P261</f>
        <v/>
      </c>
      <c r="E262" s="19">
        <f>C262+D262</f>
        <v/>
      </c>
      <c r="F262" s="20">
        <f>DATA!C262</f>
        <v/>
      </c>
      <c r="G262" s="20">
        <f>DATA!F262</f>
        <v/>
      </c>
      <c r="H262" s="19">
        <f>C262*(1+F262)</f>
        <v/>
      </c>
      <c r="I262" s="19">
        <f>D262*(1+G262)</f>
        <v/>
      </c>
      <c r="J262" s="19">
        <f>IF(AND(CONFIG!$B$11="Annual",MONTH(A262)=7),(H262+I262)*CONFIG!$B$6/12,J261)</f>
        <v/>
      </c>
      <c r="K262" s="19">
        <f>MAX(0,I262-J262)</f>
        <v/>
      </c>
      <c r="L262">
        <f>IF(OR(MONTH(A262)=3,MONTH(A262)=6,MONTH(A262)=9,MONTH(A262)=12),"Y","N")</f>
        <v/>
      </c>
      <c r="M262" s="21">
        <f>IF((H262+K262)=0,0,K262/(H262+K262))</f>
        <v/>
      </c>
      <c r="N262">
        <f>IF(AND(L262="Y",OR(M262&lt;CONFIG!$B$8,M262&gt;CONFIG!$B$9)),"Y","N")</f>
        <v/>
      </c>
      <c r="O262" s="19">
        <f>IF(N262="Y",(H262+K262)*0.8,H262)</f>
        <v/>
      </c>
      <c r="P262" s="19">
        <f>IF(N262="Y",(H262+K262)*0.2,K262)</f>
        <v/>
      </c>
      <c r="R262" s="18">
        <f>DATA!A262</f>
        <v/>
      </c>
      <c r="S262">
        <f>DATA!B262</f>
        <v/>
      </c>
      <c r="T262" s="19">
        <f>AF261</f>
        <v/>
      </c>
      <c r="U262" s="19">
        <f>AG261</f>
        <v/>
      </c>
      <c r="V262" s="19">
        <f>T262+U262</f>
        <v/>
      </c>
      <c r="W262" s="20">
        <f>DATA!D262</f>
        <v/>
      </c>
      <c r="X262" s="20">
        <f>DATA!F262</f>
        <v/>
      </c>
      <c r="Y262" s="19">
        <f>T262*(1+W262)</f>
        <v/>
      </c>
      <c r="Z262" s="19">
        <f>U262*(1+X262)</f>
        <v/>
      </c>
      <c r="AA262" s="19">
        <f>IF(AND(CONFIG!$B$11="Annual",MONTH(R262)=7),(Y262+Z262)*CONFIG!$B$6/12,AA261)</f>
        <v/>
      </c>
      <c r="AB262" s="19">
        <f>MAX(0,Z262-AA262)</f>
        <v/>
      </c>
      <c r="AC262">
        <f>IF(OR(MONTH(R262)=3,MONTH(R262)=6,MONTH(R262)=9,MONTH(R262)=12),"Y","N")</f>
        <v/>
      </c>
      <c r="AD262" s="21">
        <f>IF((Y262+AB262)=0,0,AB262/(Y262+AB262))</f>
        <v/>
      </c>
      <c r="AE262">
        <f>IF(AND(AC262="Y",OR(AD262&lt;CONFIG!$B$8,AD262&gt;CONFIG!$B$9)),"Y","N")</f>
        <v/>
      </c>
      <c r="AF262" s="19">
        <f>IF(AE262="Y",(Y262+AB262)*0.8,Y262)</f>
        <v/>
      </c>
      <c r="AG262" s="19">
        <f>IF(AE262="Y",(Y262+AB262)*0.2,AB262)</f>
        <v/>
      </c>
      <c r="AI262" s="18">
        <f>DATA!A262</f>
        <v/>
      </c>
      <c r="AJ262">
        <f>DATA!B262</f>
        <v/>
      </c>
      <c r="AK262" s="19">
        <f>AW261</f>
        <v/>
      </c>
      <c r="AL262" s="19">
        <f>AX261</f>
        <v/>
      </c>
      <c r="AM262" s="19">
        <f>AK262+AL262</f>
        <v/>
      </c>
      <c r="AN262" s="20">
        <f>DATA!E262</f>
        <v/>
      </c>
      <c r="AO262" s="20">
        <f>DATA!F262</f>
        <v/>
      </c>
      <c r="AP262" s="19">
        <f>AK262*(1+AN262)</f>
        <v/>
      </c>
      <c r="AQ262" s="19">
        <f>AL262*(1+AO262)</f>
        <v/>
      </c>
      <c r="AR262" s="19">
        <f>IF(AND(CONFIG!$B$11="Annual",MONTH(AI262)=7),(AP262+AQ262)*CONFIG!$B$6/12,AR261)</f>
        <v/>
      </c>
      <c r="AS262" s="19">
        <f>MAX(0,AQ262-AR262)</f>
        <v/>
      </c>
      <c r="AT262">
        <f>IF(OR(MONTH(AI262)=3,MONTH(AI262)=6,MONTH(AI262)=9,MONTH(AI262)=12),"Y","N")</f>
        <v/>
      </c>
      <c r="AU262" s="21">
        <f>IF((AP262+AS262)=0,0,AS262/(AP262+AS262))</f>
        <v/>
      </c>
      <c r="AV262">
        <f>IF(AND(AT262="Y",OR(AU262&lt;CONFIG!$B$8,AU262&gt;CONFIG!$B$9)),"Y","N")</f>
        <v/>
      </c>
      <c r="AW262" s="19">
        <f>IF(AV262="Y",(AP262+AS262)*0.8,AP262)</f>
        <v/>
      </c>
      <c r="AX262" s="19">
        <f>IF(AV262="Y",(AP262+AS262)*0.2,AS262)</f>
        <v/>
      </c>
    </row>
    <row r="263">
      <c r="A263" s="18">
        <f>DATA!A263</f>
        <v/>
      </c>
      <c r="B263">
        <f>DATA!B263</f>
        <v/>
      </c>
      <c r="C263" s="19">
        <f>O262</f>
        <v/>
      </c>
      <c r="D263" s="19">
        <f>P262</f>
        <v/>
      </c>
      <c r="E263" s="19">
        <f>C263+D263</f>
        <v/>
      </c>
      <c r="F263" s="20">
        <f>DATA!C263</f>
        <v/>
      </c>
      <c r="G263" s="20">
        <f>DATA!F263</f>
        <v/>
      </c>
      <c r="H263" s="19">
        <f>C263*(1+F263)</f>
        <v/>
      </c>
      <c r="I263" s="19">
        <f>D263*(1+G263)</f>
        <v/>
      </c>
      <c r="J263" s="19">
        <f>IF(AND(CONFIG!$B$11="Annual",MONTH(A263)=7),(H263+I263)*CONFIG!$B$6/12,J262)</f>
        <v/>
      </c>
      <c r="K263" s="19">
        <f>MAX(0,I263-J263)</f>
        <v/>
      </c>
      <c r="L263">
        <f>IF(OR(MONTH(A263)=3,MONTH(A263)=6,MONTH(A263)=9,MONTH(A263)=12),"Y","N")</f>
        <v/>
      </c>
      <c r="M263" s="21">
        <f>IF((H263+K263)=0,0,K263/(H263+K263))</f>
        <v/>
      </c>
      <c r="N263">
        <f>IF(AND(L263="Y",OR(M263&lt;CONFIG!$B$8,M263&gt;CONFIG!$B$9)),"Y","N")</f>
        <v/>
      </c>
      <c r="O263" s="19">
        <f>IF(N263="Y",(H263+K263)*0.8,H263)</f>
        <v/>
      </c>
      <c r="P263" s="19">
        <f>IF(N263="Y",(H263+K263)*0.2,K263)</f>
        <v/>
      </c>
      <c r="R263" s="18">
        <f>DATA!A263</f>
        <v/>
      </c>
      <c r="S263">
        <f>DATA!B263</f>
        <v/>
      </c>
      <c r="T263" s="19">
        <f>AF262</f>
        <v/>
      </c>
      <c r="U263" s="19">
        <f>AG262</f>
        <v/>
      </c>
      <c r="V263" s="19">
        <f>T263+U263</f>
        <v/>
      </c>
      <c r="W263" s="20">
        <f>DATA!D263</f>
        <v/>
      </c>
      <c r="X263" s="20">
        <f>DATA!F263</f>
        <v/>
      </c>
      <c r="Y263" s="19">
        <f>T263*(1+W263)</f>
        <v/>
      </c>
      <c r="Z263" s="19">
        <f>U263*(1+X263)</f>
        <v/>
      </c>
      <c r="AA263" s="19">
        <f>IF(AND(CONFIG!$B$11="Annual",MONTH(R263)=7),(Y263+Z263)*CONFIG!$B$6/12,AA262)</f>
        <v/>
      </c>
      <c r="AB263" s="19">
        <f>MAX(0,Z263-AA263)</f>
        <v/>
      </c>
      <c r="AC263">
        <f>IF(OR(MONTH(R263)=3,MONTH(R263)=6,MONTH(R263)=9,MONTH(R263)=12),"Y","N")</f>
        <v/>
      </c>
      <c r="AD263" s="21">
        <f>IF((Y263+AB263)=0,0,AB263/(Y263+AB263))</f>
        <v/>
      </c>
      <c r="AE263">
        <f>IF(AND(AC263="Y",OR(AD263&lt;CONFIG!$B$8,AD263&gt;CONFIG!$B$9)),"Y","N")</f>
        <v/>
      </c>
      <c r="AF263" s="19">
        <f>IF(AE263="Y",(Y263+AB263)*0.8,Y263)</f>
        <v/>
      </c>
      <c r="AG263" s="19">
        <f>IF(AE263="Y",(Y263+AB263)*0.2,AB263)</f>
        <v/>
      </c>
      <c r="AI263" s="18">
        <f>DATA!A263</f>
        <v/>
      </c>
      <c r="AJ263">
        <f>DATA!B263</f>
        <v/>
      </c>
      <c r="AK263" s="19">
        <f>AW262</f>
        <v/>
      </c>
      <c r="AL263" s="19">
        <f>AX262</f>
        <v/>
      </c>
      <c r="AM263" s="19">
        <f>AK263+AL263</f>
        <v/>
      </c>
      <c r="AN263" s="20">
        <f>DATA!E263</f>
        <v/>
      </c>
      <c r="AO263" s="20">
        <f>DATA!F263</f>
        <v/>
      </c>
      <c r="AP263" s="19">
        <f>AK263*(1+AN263)</f>
        <v/>
      </c>
      <c r="AQ263" s="19">
        <f>AL263*(1+AO263)</f>
        <v/>
      </c>
      <c r="AR263" s="19">
        <f>IF(AND(CONFIG!$B$11="Annual",MONTH(AI263)=7),(AP263+AQ263)*CONFIG!$B$6/12,AR262)</f>
        <v/>
      </c>
      <c r="AS263" s="19">
        <f>MAX(0,AQ263-AR263)</f>
        <v/>
      </c>
      <c r="AT263">
        <f>IF(OR(MONTH(AI263)=3,MONTH(AI263)=6,MONTH(AI263)=9,MONTH(AI263)=12),"Y","N")</f>
        <v/>
      </c>
      <c r="AU263" s="21">
        <f>IF((AP263+AS263)=0,0,AS263/(AP263+AS263))</f>
        <v/>
      </c>
      <c r="AV263">
        <f>IF(AND(AT263="Y",OR(AU263&lt;CONFIG!$B$8,AU263&gt;CONFIG!$B$9)),"Y","N")</f>
        <v/>
      </c>
      <c r="AW263" s="19">
        <f>IF(AV263="Y",(AP263+AS263)*0.8,AP263)</f>
        <v/>
      </c>
      <c r="AX263" s="19">
        <f>IF(AV263="Y",(AP263+AS263)*0.2,AS263)</f>
        <v/>
      </c>
    </row>
    <row r="264">
      <c r="A264" s="18">
        <f>DATA!A264</f>
        <v/>
      </c>
      <c r="B264">
        <f>DATA!B264</f>
        <v/>
      </c>
      <c r="C264" s="19">
        <f>O263</f>
        <v/>
      </c>
      <c r="D264" s="19">
        <f>P263</f>
        <v/>
      </c>
      <c r="E264" s="19">
        <f>C264+D264</f>
        <v/>
      </c>
      <c r="F264" s="20">
        <f>DATA!C264</f>
        <v/>
      </c>
      <c r="G264" s="20">
        <f>DATA!F264</f>
        <v/>
      </c>
      <c r="H264" s="19">
        <f>C264*(1+F264)</f>
        <v/>
      </c>
      <c r="I264" s="19">
        <f>D264*(1+G264)</f>
        <v/>
      </c>
      <c r="J264" s="19">
        <f>IF(AND(CONFIG!$B$11="Annual",MONTH(A264)=7),(H264+I264)*CONFIG!$B$6/12,J263)</f>
        <v/>
      </c>
      <c r="K264" s="19">
        <f>MAX(0,I264-J264)</f>
        <v/>
      </c>
      <c r="L264">
        <f>IF(OR(MONTH(A264)=3,MONTH(A264)=6,MONTH(A264)=9,MONTH(A264)=12),"Y","N")</f>
        <v/>
      </c>
      <c r="M264" s="21">
        <f>IF((H264+K264)=0,0,K264/(H264+K264))</f>
        <v/>
      </c>
      <c r="N264">
        <f>IF(AND(L264="Y",OR(M264&lt;CONFIG!$B$8,M264&gt;CONFIG!$B$9)),"Y","N")</f>
        <v/>
      </c>
      <c r="O264" s="19">
        <f>IF(N264="Y",(H264+K264)*0.8,H264)</f>
        <v/>
      </c>
      <c r="P264" s="19">
        <f>IF(N264="Y",(H264+K264)*0.2,K264)</f>
        <v/>
      </c>
      <c r="R264" s="18">
        <f>DATA!A264</f>
        <v/>
      </c>
      <c r="S264">
        <f>DATA!B264</f>
        <v/>
      </c>
      <c r="T264" s="19">
        <f>AF263</f>
        <v/>
      </c>
      <c r="U264" s="19">
        <f>AG263</f>
        <v/>
      </c>
      <c r="V264" s="19">
        <f>T264+U264</f>
        <v/>
      </c>
      <c r="W264" s="20">
        <f>DATA!D264</f>
        <v/>
      </c>
      <c r="X264" s="20">
        <f>DATA!F264</f>
        <v/>
      </c>
      <c r="Y264" s="19">
        <f>T264*(1+W264)</f>
        <v/>
      </c>
      <c r="Z264" s="19">
        <f>U264*(1+X264)</f>
        <v/>
      </c>
      <c r="AA264" s="19">
        <f>IF(AND(CONFIG!$B$11="Annual",MONTH(R264)=7),(Y264+Z264)*CONFIG!$B$6/12,AA263)</f>
        <v/>
      </c>
      <c r="AB264" s="19">
        <f>MAX(0,Z264-AA264)</f>
        <v/>
      </c>
      <c r="AC264">
        <f>IF(OR(MONTH(R264)=3,MONTH(R264)=6,MONTH(R264)=9,MONTH(R264)=12),"Y","N")</f>
        <v/>
      </c>
      <c r="AD264" s="21">
        <f>IF((Y264+AB264)=0,0,AB264/(Y264+AB264))</f>
        <v/>
      </c>
      <c r="AE264">
        <f>IF(AND(AC264="Y",OR(AD264&lt;CONFIG!$B$8,AD264&gt;CONFIG!$B$9)),"Y","N")</f>
        <v/>
      </c>
      <c r="AF264" s="19">
        <f>IF(AE264="Y",(Y264+AB264)*0.8,Y264)</f>
        <v/>
      </c>
      <c r="AG264" s="19">
        <f>IF(AE264="Y",(Y264+AB264)*0.2,AB264)</f>
        <v/>
      </c>
      <c r="AI264" s="18">
        <f>DATA!A264</f>
        <v/>
      </c>
      <c r="AJ264">
        <f>DATA!B264</f>
        <v/>
      </c>
      <c r="AK264" s="19">
        <f>AW263</f>
        <v/>
      </c>
      <c r="AL264" s="19">
        <f>AX263</f>
        <v/>
      </c>
      <c r="AM264" s="19">
        <f>AK264+AL264</f>
        <v/>
      </c>
      <c r="AN264" s="20">
        <f>DATA!E264</f>
        <v/>
      </c>
      <c r="AO264" s="20">
        <f>DATA!F264</f>
        <v/>
      </c>
      <c r="AP264" s="19">
        <f>AK264*(1+AN264)</f>
        <v/>
      </c>
      <c r="AQ264" s="19">
        <f>AL264*(1+AO264)</f>
        <v/>
      </c>
      <c r="AR264" s="19">
        <f>IF(AND(CONFIG!$B$11="Annual",MONTH(AI264)=7),(AP264+AQ264)*CONFIG!$B$6/12,AR263)</f>
        <v/>
      </c>
      <c r="AS264" s="19">
        <f>MAX(0,AQ264-AR264)</f>
        <v/>
      </c>
      <c r="AT264">
        <f>IF(OR(MONTH(AI264)=3,MONTH(AI264)=6,MONTH(AI264)=9,MONTH(AI264)=12),"Y","N")</f>
        <v/>
      </c>
      <c r="AU264" s="21">
        <f>IF((AP264+AS264)=0,0,AS264/(AP264+AS264))</f>
        <v/>
      </c>
      <c r="AV264">
        <f>IF(AND(AT264="Y",OR(AU264&lt;CONFIG!$B$8,AU264&gt;CONFIG!$B$9)),"Y","N")</f>
        <v/>
      </c>
      <c r="AW264" s="19">
        <f>IF(AV264="Y",(AP264+AS264)*0.8,AP264)</f>
        <v/>
      </c>
      <c r="AX264" s="19">
        <f>IF(AV264="Y",(AP264+AS264)*0.2,AS264)</f>
        <v/>
      </c>
    </row>
    <row r="265">
      <c r="A265" s="18">
        <f>DATA!A265</f>
        <v/>
      </c>
      <c r="B265">
        <f>DATA!B265</f>
        <v/>
      </c>
      <c r="C265" s="19">
        <f>O264</f>
        <v/>
      </c>
      <c r="D265" s="19">
        <f>P264</f>
        <v/>
      </c>
      <c r="E265" s="19">
        <f>C265+D265</f>
        <v/>
      </c>
      <c r="F265" s="20">
        <f>DATA!C265</f>
        <v/>
      </c>
      <c r="G265" s="20">
        <f>DATA!F265</f>
        <v/>
      </c>
      <c r="H265" s="19">
        <f>C265*(1+F265)</f>
        <v/>
      </c>
      <c r="I265" s="19">
        <f>D265*(1+G265)</f>
        <v/>
      </c>
      <c r="J265" s="19">
        <f>IF(AND(CONFIG!$B$11="Annual",MONTH(A265)=7),(H265+I265)*CONFIG!$B$6/12,J264)</f>
        <v/>
      </c>
      <c r="K265" s="19">
        <f>MAX(0,I265-J265)</f>
        <v/>
      </c>
      <c r="L265">
        <f>IF(OR(MONTH(A265)=3,MONTH(A265)=6,MONTH(A265)=9,MONTH(A265)=12),"Y","N")</f>
        <v/>
      </c>
      <c r="M265" s="21">
        <f>IF((H265+K265)=0,0,K265/(H265+K265))</f>
        <v/>
      </c>
      <c r="N265">
        <f>IF(AND(L265="Y",OR(M265&lt;CONFIG!$B$8,M265&gt;CONFIG!$B$9)),"Y","N")</f>
        <v/>
      </c>
      <c r="O265" s="19">
        <f>IF(N265="Y",(H265+K265)*0.8,H265)</f>
        <v/>
      </c>
      <c r="P265" s="19">
        <f>IF(N265="Y",(H265+K265)*0.2,K265)</f>
        <v/>
      </c>
      <c r="R265" s="18">
        <f>DATA!A265</f>
        <v/>
      </c>
      <c r="S265">
        <f>DATA!B265</f>
        <v/>
      </c>
      <c r="T265" s="19">
        <f>AF264</f>
        <v/>
      </c>
      <c r="U265" s="19">
        <f>AG264</f>
        <v/>
      </c>
      <c r="V265" s="19">
        <f>T265+U265</f>
        <v/>
      </c>
      <c r="W265" s="20">
        <f>DATA!D265</f>
        <v/>
      </c>
      <c r="X265" s="20">
        <f>DATA!F265</f>
        <v/>
      </c>
      <c r="Y265" s="19">
        <f>T265*(1+W265)</f>
        <v/>
      </c>
      <c r="Z265" s="19">
        <f>U265*(1+X265)</f>
        <v/>
      </c>
      <c r="AA265" s="19">
        <f>IF(AND(CONFIG!$B$11="Annual",MONTH(R265)=7),(Y265+Z265)*CONFIG!$B$6/12,AA264)</f>
        <v/>
      </c>
      <c r="AB265" s="19">
        <f>MAX(0,Z265-AA265)</f>
        <v/>
      </c>
      <c r="AC265">
        <f>IF(OR(MONTH(R265)=3,MONTH(R265)=6,MONTH(R265)=9,MONTH(R265)=12),"Y","N")</f>
        <v/>
      </c>
      <c r="AD265" s="21">
        <f>IF((Y265+AB265)=0,0,AB265/(Y265+AB265))</f>
        <v/>
      </c>
      <c r="AE265">
        <f>IF(AND(AC265="Y",OR(AD265&lt;CONFIG!$B$8,AD265&gt;CONFIG!$B$9)),"Y","N")</f>
        <v/>
      </c>
      <c r="AF265" s="19">
        <f>IF(AE265="Y",(Y265+AB265)*0.8,Y265)</f>
        <v/>
      </c>
      <c r="AG265" s="19">
        <f>IF(AE265="Y",(Y265+AB265)*0.2,AB265)</f>
        <v/>
      </c>
      <c r="AI265" s="18">
        <f>DATA!A265</f>
        <v/>
      </c>
      <c r="AJ265">
        <f>DATA!B265</f>
        <v/>
      </c>
      <c r="AK265" s="19">
        <f>AW264</f>
        <v/>
      </c>
      <c r="AL265" s="19">
        <f>AX264</f>
        <v/>
      </c>
      <c r="AM265" s="19">
        <f>AK265+AL265</f>
        <v/>
      </c>
      <c r="AN265" s="20">
        <f>DATA!E265</f>
        <v/>
      </c>
      <c r="AO265" s="20">
        <f>DATA!F265</f>
        <v/>
      </c>
      <c r="AP265" s="19">
        <f>AK265*(1+AN265)</f>
        <v/>
      </c>
      <c r="AQ265" s="19">
        <f>AL265*(1+AO265)</f>
        <v/>
      </c>
      <c r="AR265" s="19">
        <f>IF(AND(CONFIG!$B$11="Annual",MONTH(AI265)=7),(AP265+AQ265)*CONFIG!$B$6/12,AR264)</f>
        <v/>
      </c>
      <c r="AS265" s="19">
        <f>MAX(0,AQ265-AR265)</f>
        <v/>
      </c>
      <c r="AT265">
        <f>IF(OR(MONTH(AI265)=3,MONTH(AI265)=6,MONTH(AI265)=9,MONTH(AI265)=12),"Y","N")</f>
        <v/>
      </c>
      <c r="AU265" s="21">
        <f>IF((AP265+AS265)=0,0,AS265/(AP265+AS265))</f>
        <v/>
      </c>
      <c r="AV265">
        <f>IF(AND(AT265="Y",OR(AU265&lt;CONFIG!$B$8,AU265&gt;CONFIG!$B$9)),"Y","N")</f>
        <v/>
      </c>
      <c r="AW265" s="19">
        <f>IF(AV265="Y",(AP265+AS265)*0.8,AP265)</f>
        <v/>
      </c>
      <c r="AX265" s="19">
        <f>IF(AV265="Y",(AP265+AS265)*0.2,AS265)</f>
        <v/>
      </c>
    </row>
    <row r="266">
      <c r="A266" s="18">
        <f>DATA!A266</f>
        <v/>
      </c>
      <c r="B266">
        <f>DATA!B266</f>
        <v/>
      </c>
      <c r="C266" s="19">
        <f>O265</f>
        <v/>
      </c>
      <c r="D266" s="19">
        <f>P265</f>
        <v/>
      </c>
      <c r="E266" s="19">
        <f>C266+D266</f>
        <v/>
      </c>
      <c r="F266" s="20">
        <f>DATA!C266</f>
        <v/>
      </c>
      <c r="G266" s="20">
        <f>DATA!F266</f>
        <v/>
      </c>
      <c r="H266" s="19">
        <f>C266*(1+F266)</f>
        <v/>
      </c>
      <c r="I266" s="19">
        <f>D266*(1+G266)</f>
        <v/>
      </c>
      <c r="J266" s="19">
        <f>IF(AND(CONFIG!$B$11="Annual",MONTH(A266)=7),(H266+I266)*CONFIG!$B$6/12,J265)</f>
        <v/>
      </c>
      <c r="K266" s="19">
        <f>MAX(0,I266-J266)</f>
        <v/>
      </c>
      <c r="L266">
        <f>IF(OR(MONTH(A266)=3,MONTH(A266)=6,MONTH(A266)=9,MONTH(A266)=12),"Y","N")</f>
        <v/>
      </c>
      <c r="M266" s="21">
        <f>IF((H266+K266)=0,0,K266/(H266+K266))</f>
        <v/>
      </c>
      <c r="N266">
        <f>IF(AND(L266="Y",OR(M266&lt;CONFIG!$B$8,M266&gt;CONFIG!$B$9)),"Y","N")</f>
        <v/>
      </c>
      <c r="O266" s="19">
        <f>IF(N266="Y",(H266+K266)*0.8,H266)</f>
        <v/>
      </c>
      <c r="P266" s="19">
        <f>IF(N266="Y",(H266+K266)*0.2,K266)</f>
        <v/>
      </c>
      <c r="R266" s="18">
        <f>DATA!A266</f>
        <v/>
      </c>
      <c r="S266">
        <f>DATA!B266</f>
        <v/>
      </c>
      <c r="T266" s="19">
        <f>AF265</f>
        <v/>
      </c>
      <c r="U266" s="19">
        <f>AG265</f>
        <v/>
      </c>
      <c r="V266" s="19">
        <f>T266+U266</f>
        <v/>
      </c>
      <c r="W266" s="20">
        <f>DATA!D266</f>
        <v/>
      </c>
      <c r="X266" s="20">
        <f>DATA!F266</f>
        <v/>
      </c>
      <c r="Y266" s="19">
        <f>T266*(1+W266)</f>
        <v/>
      </c>
      <c r="Z266" s="19">
        <f>U266*(1+X266)</f>
        <v/>
      </c>
      <c r="AA266" s="19">
        <f>IF(AND(CONFIG!$B$11="Annual",MONTH(R266)=7),(Y266+Z266)*CONFIG!$B$6/12,AA265)</f>
        <v/>
      </c>
      <c r="AB266" s="19">
        <f>MAX(0,Z266-AA266)</f>
        <v/>
      </c>
      <c r="AC266">
        <f>IF(OR(MONTH(R266)=3,MONTH(R266)=6,MONTH(R266)=9,MONTH(R266)=12),"Y","N")</f>
        <v/>
      </c>
      <c r="AD266" s="21">
        <f>IF((Y266+AB266)=0,0,AB266/(Y266+AB266))</f>
        <v/>
      </c>
      <c r="AE266">
        <f>IF(AND(AC266="Y",OR(AD266&lt;CONFIG!$B$8,AD266&gt;CONFIG!$B$9)),"Y","N")</f>
        <v/>
      </c>
      <c r="AF266" s="19">
        <f>IF(AE266="Y",(Y266+AB266)*0.8,Y266)</f>
        <v/>
      </c>
      <c r="AG266" s="19">
        <f>IF(AE266="Y",(Y266+AB266)*0.2,AB266)</f>
        <v/>
      </c>
      <c r="AI266" s="18">
        <f>DATA!A266</f>
        <v/>
      </c>
      <c r="AJ266">
        <f>DATA!B266</f>
        <v/>
      </c>
      <c r="AK266" s="19">
        <f>AW265</f>
        <v/>
      </c>
      <c r="AL266" s="19">
        <f>AX265</f>
        <v/>
      </c>
      <c r="AM266" s="19">
        <f>AK266+AL266</f>
        <v/>
      </c>
      <c r="AN266" s="20">
        <f>DATA!E266</f>
        <v/>
      </c>
      <c r="AO266" s="20">
        <f>DATA!F266</f>
        <v/>
      </c>
      <c r="AP266" s="19">
        <f>AK266*(1+AN266)</f>
        <v/>
      </c>
      <c r="AQ266" s="19">
        <f>AL266*(1+AO266)</f>
        <v/>
      </c>
      <c r="AR266" s="19">
        <f>IF(AND(CONFIG!$B$11="Annual",MONTH(AI266)=7),(AP266+AQ266)*CONFIG!$B$6/12,AR265)</f>
        <v/>
      </c>
      <c r="AS266" s="19">
        <f>MAX(0,AQ266-AR266)</f>
        <v/>
      </c>
      <c r="AT266">
        <f>IF(OR(MONTH(AI266)=3,MONTH(AI266)=6,MONTH(AI266)=9,MONTH(AI266)=12),"Y","N")</f>
        <v/>
      </c>
      <c r="AU266" s="21">
        <f>IF((AP266+AS266)=0,0,AS266/(AP266+AS266))</f>
        <v/>
      </c>
      <c r="AV266">
        <f>IF(AND(AT266="Y",OR(AU266&lt;CONFIG!$B$8,AU266&gt;CONFIG!$B$9)),"Y","N")</f>
        <v/>
      </c>
      <c r="AW266" s="19">
        <f>IF(AV266="Y",(AP266+AS266)*0.8,AP266)</f>
        <v/>
      </c>
      <c r="AX266" s="19">
        <f>IF(AV266="Y",(AP266+AS266)*0.2,AS266)</f>
        <v/>
      </c>
    </row>
    <row r="267">
      <c r="A267" s="18">
        <f>DATA!A267</f>
        <v/>
      </c>
      <c r="B267">
        <f>DATA!B267</f>
        <v/>
      </c>
      <c r="C267" s="19">
        <f>O266</f>
        <v/>
      </c>
      <c r="D267" s="19">
        <f>P266</f>
        <v/>
      </c>
      <c r="E267" s="19">
        <f>C267+D267</f>
        <v/>
      </c>
      <c r="F267" s="20">
        <f>DATA!C267</f>
        <v/>
      </c>
      <c r="G267" s="20">
        <f>DATA!F267</f>
        <v/>
      </c>
      <c r="H267" s="19">
        <f>C267*(1+F267)</f>
        <v/>
      </c>
      <c r="I267" s="19">
        <f>D267*(1+G267)</f>
        <v/>
      </c>
      <c r="J267" s="19">
        <f>IF(AND(CONFIG!$B$11="Annual",MONTH(A267)=7),(H267+I267)*CONFIG!$B$6/12,J266)</f>
        <v/>
      </c>
      <c r="K267" s="19">
        <f>MAX(0,I267-J267)</f>
        <v/>
      </c>
      <c r="L267">
        <f>IF(OR(MONTH(A267)=3,MONTH(A267)=6,MONTH(A267)=9,MONTH(A267)=12),"Y","N")</f>
        <v/>
      </c>
      <c r="M267" s="21">
        <f>IF((H267+K267)=0,0,K267/(H267+K267))</f>
        <v/>
      </c>
      <c r="N267">
        <f>IF(AND(L267="Y",OR(M267&lt;CONFIG!$B$8,M267&gt;CONFIG!$B$9)),"Y","N")</f>
        <v/>
      </c>
      <c r="O267" s="19">
        <f>IF(N267="Y",(H267+K267)*0.8,H267)</f>
        <v/>
      </c>
      <c r="P267" s="19">
        <f>IF(N267="Y",(H267+K267)*0.2,K267)</f>
        <v/>
      </c>
      <c r="R267" s="18">
        <f>DATA!A267</f>
        <v/>
      </c>
      <c r="S267">
        <f>DATA!B267</f>
        <v/>
      </c>
      <c r="T267" s="19">
        <f>AF266</f>
        <v/>
      </c>
      <c r="U267" s="19">
        <f>AG266</f>
        <v/>
      </c>
      <c r="V267" s="19">
        <f>T267+U267</f>
        <v/>
      </c>
      <c r="W267" s="20">
        <f>DATA!D267</f>
        <v/>
      </c>
      <c r="X267" s="20">
        <f>DATA!F267</f>
        <v/>
      </c>
      <c r="Y267" s="19">
        <f>T267*(1+W267)</f>
        <v/>
      </c>
      <c r="Z267" s="19">
        <f>U267*(1+X267)</f>
        <v/>
      </c>
      <c r="AA267" s="19">
        <f>IF(AND(CONFIG!$B$11="Annual",MONTH(R267)=7),(Y267+Z267)*CONFIG!$B$6/12,AA266)</f>
        <v/>
      </c>
      <c r="AB267" s="19">
        <f>MAX(0,Z267-AA267)</f>
        <v/>
      </c>
      <c r="AC267">
        <f>IF(OR(MONTH(R267)=3,MONTH(R267)=6,MONTH(R267)=9,MONTH(R267)=12),"Y","N")</f>
        <v/>
      </c>
      <c r="AD267" s="21">
        <f>IF((Y267+AB267)=0,0,AB267/(Y267+AB267))</f>
        <v/>
      </c>
      <c r="AE267">
        <f>IF(AND(AC267="Y",OR(AD267&lt;CONFIG!$B$8,AD267&gt;CONFIG!$B$9)),"Y","N")</f>
        <v/>
      </c>
      <c r="AF267" s="19">
        <f>IF(AE267="Y",(Y267+AB267)*0.8,Y267)</f>
        <v/>
      </c>
      <c r="AG267" s="19">
        <f>IF(AE267="Y",(Y267+AB267)*0.2,AB267)</f>
        <v/>
      </c>
      <c r="AI267" s="18">
        <f>DATA!A267</f>
        <v/>
      </c>
      <c r="AJ267">
        <f>DATA!B267</f>
        <v/>
      </c>
      <c r="AK267" s="19">
        <f>AW266</f>
        <v/>
      </c>
      <c r="AL267" s="19">
        <f>AX266</f>
        <v/>
      </c>
      <c r="AM267" s="19">
        <f>AK267+AL267</f>
        <v/>
      </c>
      <c r="AN267" s="20">
        <f>DATA!E267</f>
        <v/>
      </c>
      <c r="AO267" s="20">
        <f>DATA!F267</f>
        <v/>
      </c>
      <c r="AP267" s="19">
        <f>AK267*(1+AN267)</f>
        <v/>
      </c>
      <c r="AQ267" s="19">
        <f>AL267*(1+AO267)</f>
        <v/>
      </c>
      <c r="AR267" s="19">
        <f>IF(AND(CONFIG!$B$11="Annual",MONTH(AI267)=7),(AP267+AQ267)*CONFIG!$B$6/12,AR266)</f>
        <v/>
      </c>
      <c r="AS267" s="19">
        <f>MAX(0,AQ267-AR267)</f>
        <v/>
      </c>
      <c r="AT267">
        <f>IF(OR(MONTH(AI267)=3,MONTH(AI267)=6,MONTH(AI267)=9,MONTH(AI267)=12),"Y","N")</f>
        <v/>
      </c>
      <c r="AU267" s="21">
        <f>IF((AP267+AS267)=0,0,AS267/(AP267+AS267))</f>
        <v/>
      </c>
      <c r="AV267">
        <f>IF(AND(AT267="Y",OR(AU267&lt;CONFIG!$B$8,AU267&gt;CONFIG!$B$9)),"Y","N")</f>
        <v/>
      </c>
      <c r="AW267" s="19">
        <f>IF(AV267="Y",(AP267+AS267)*0.8,AP267)</f>
        <v/>
      </c>
      <c r="AX267" s="19">
        <f>IF(AV267="Y",(AP267+AS267)*0.2,AS267)</f>
        <v/>
      </c>
    </row>
    <row r="268">
      <c r="A268" s="18">
        <f>DATA!A268</f>
        <v/>
      </c>
      <c r="B268">
        <f>DATA!B268</f>
        <v/>
      </c>
      <c r="C268" s="19">
        <f>O267</f>
        <v/>
      </c>
      <c r="D268" s="19">
        <f>P267</f>
        <v/>
      </c>
      <c r="E268" s="19">
        <f>C268+D268</f>
        <v/>
      </c>
      <c r="F268" s="20">
        <f>DATA!C268</f>
        <v/>
      </c>
      <c r="G268" s="20">
        <f>DATA!F268</f>
        <v/>
      </c>
      <c r="H268" s="19">
        <f>C268*(1+F268)</f>
        <v/>
      </c>
      <c r="I268" s="19">
        <f>D268*(1+G268)</f>
        <v/>
      </c>
      <c r="J268" s="19">
        <f>IF(AND(CONFIG!$B$11="Annual",MONTH(A268)=7),(H268+I268)*CONFIG!$B$6/12,J267)</f>
        <v/>
      </c>
      <c r="K268" s="19">
        <f>MAX(0,I268-J268)</f>
        <v/>
      </c>
      <c r="L268">
        <f>IF(OR(MONTH(A268)=3,MONTH(A268)=6,MONTH(A268)=9,MONTH(A268)=12),"Y","N")</f>
        <v/>
      </c>
      <c r="M268" s="21">
        <f>IF((H268+K268)=0,0,K268/(H268+K268))</f>
        <v/>
      </c>
      <c r="N268">
        <f>IF(AND(L268="Y",OR(M268&lt;CONFIG!$B$8,M268&gt;CONFIG!$B$9)),"Y","N")</f>
        <v/>
      </c>
      <c r="O268" s="19">
        <f>IF(N268="Y",(H268+K268)*0.8,H268)</f>
        <v/>
      </c>
      <c r="P268" s="19">
        <f>IF(N268="Y",(H268+K268)*0.2,K268)</f>
        <v/>
      </c>
      <c r="R268" s="18">
        <f>DATA!A268</f>
        <v/>
      </c>
      <c r="S268">
        <f>DATA!B268</f>
        <v/>
      </c>
      <c r="T268" s="19">
        <f>AF267</f>
        <v/>
      </c>
      <c r="U268" s="19">
        <f>AG267</f>
        <v/>
      </c>
      <c r="V268" s="19">
        <f>T268+U268</f>
        <v/>
      </c>
      <c r="W268" s="20">
        <f>DATA!D268</f>
        <v/>
      </c>
      <c r="X268" s="20">
        <f>DATA!F268</f>
        <v/>
      </c>
      <c r="Y268" s="19">
        <f>T268*(1+W268)</f>
        <v/>
      </c>
      <c r="Z268" s="19">
        <f>U268*(1+X268)</f>
        <v/>
      </c>
      <c r="AA268" s="19">
        <f>IF(AND(CONFIG!$B$11="Annual",MONTH(R268)=7),(Y268+Z268)*CONFIG!$B$6/12,AA267)</f>
        <v/>
      </c>
      <c r="AB268" s="19">
        <f>MAX(0,Z268-AA268)</f>
        <v/>
      </c>
      <c r="AC268">
        <f>IF(OR(MONTH(R268)=3,MONTH(R268)=6,MONTH(R268)=9,MONTH(R268)=12),"Y","N")</f>
        <v/>
      </c>
      <c r="AD268" s="21">
        <f>IF((Y268+AB268)=0,0,AB268/(Y268+AB268))</f>
        <v/>
      </c>
      <c r="AE268">
        <f>IF(AND(AC268="Y",OR(AD268&lt;CONFIG!$B$8,AD268&gt;CONFIG!$B$9)),"Y","N")</f>
        <v/>
      </c>
      <c r="AF268" s="19">
        <f>IF(AE268="Y",(Y268+AB268)*0.8,Y268)</f>
        <v/>
      </c>
      <c r="AG268" s="19">
        <f>IF(AE268="Y",(Y268+AB268)*0.2,AB268)</f>
        <v/>
      </c>
      <c r="AI268" s="18">
        <f>DATA!A268</f>
        <v/>
      </c>
      <c r="AJ268">
        <f>DATA!B268</f>
        <v/>
      </c>
      <c r="AK268" s="19">
        <f>AW267</f>
        <v/>
      </c>
      <c r="AL268" s="19">
        <f>AX267</f>
        <v/>
      </c>
      <c r="AM268" s="19">
        <f>AK268+AL268</f>
        <v/>
      </c>
      <c r="AN268" s="20">
        <f>DATA!E268</f>
        <v/>
      </c>
      <c r="AO268" s="20">
        <f>DATA!F268</f>
        <v/>
      </c>
      <c r="AP268" s="19">
        <f>AK268*(1+AN268)</f>
        <v/>
      </c>
      <c r="AQ268" s="19">
        <f>AL268*(1+AO268)</f>
        <v/>
      </c>
      <c r="AR268" s="19">
        <f>IF(AND(CONFIG!$B$11="Annual",MONTH(AI268)=7),(AP268+AQ268)*CONFIG!$B$6/12,AR267)</f>
        <v/>
      </c>
      <c r="AS268" s="19">
        <f>MAX(0,AQ268-AR268)</f>
        <v/>
      </c>
      <c r="AT268">
        <f>IF(OR(MONTH(AI268)=3,MONTH(AI268)=6,MONTH(AI268)=9,MONTH(AI268)=12),"Y","N")</f>
        <v/>
      </c>
      <c r="AU268" s="21">
        <f>IF((AP268+AS268)=0,0,AS268/(AP268+AS268))</f>
        <v/>
      </c>
      <c r="AV268">
        <f>IF(AND(AT268="Y",OR(AU268&lt;CONFIG!$B$8,AU268&gt;CONFIG!$B$9)),"Y","N")</f>
        <v/>
      </c>
      <c r="AW268" s="19">
        <f>IF(AV268="Y",(AP268+AS268)*0.8,AP268)</f>
        <v/>
      </c>
      <c r="AX268" s="19">
        <f>IF(AV268="Y",(AP268+AS268)*0.2,AS268)</f>
        <v/>
      </c>
    </row>
    <row r="269">
      <c r="A269" s="18">
        <f>DATA!A269</f>
        <v/>
      </c>
      <c r="B269">
        <f>DATA!B269</f>
        <v/>
      </c>
      <c r="C269" s="19">
        <f>O268</f>
        <v/>
      </c>
      <c r="D269" s="19">
        <f>P268</f>
        <v/>
      </c>
      <c r="E269" s="19">
        <f>C269+D269</f>
        <v/>
      </c>
      <c r="F269" s="20">
        <f>DATA!C269</f>
        <v/>
      </c>
      <c r="G269" s="20">
        <f>DATA!F269</f>
        <v/>
      </c>
      <c r="H269" s="19">
        <f>C269*(1+F269)</f>
        <v/>
      </c>
      <c r="I269" s="19">
        <f>D269*(1+G269)</f>
        <v/>
      </c>
      <c r="J269" s="19">
        <f>IF(AND(CONFIG!$B$11="Annual",MONTH(A269)=7),(H269+I269)*CONFIG!$B$6/12,J268)</f>
        <v/>
      </c>
      <c r="K269" s="19">
        <f>MAX(0,I269-J269)</f>
        <v/>
      </c>
      <c r="L269">
        <f>IF(OR(MONTH(A269)=3,MONTH(A269)=6,MONTH(A269)=9,MONTH(A269)=12),"Y","N")</f>
        <v/>
      </c>
      <c r="M269" s="21">
        <f>IF((H269+K269)=0,0,K269/(H269+K269))</f>
        <v/>
      </c>
      <c r="N269">
        <f>IF(AND(L269="Y",OR(M269&lt;CONFIG!$B$8,M269&gt;CONFIG!$B$9)),"Y","N")</f>
        <v/>
      </c>
      <c r="O269" s="19">
        <f>IF(N269="Y",(H269+K269)*0.8,H269)</f>
        <v/>
      </c>
      <c r="P269" s="19">
        <f>IF(N269="Y",(H269+K269)*0.2,K269)</f>
        <v/>
      </c>
      <c r="R269" s="18">
        <f>DATA!A269</f>
        <v/>
      </c>
      <c r="S269">
        <f>DATA!B269</f>
        <v/>
      </c>
      <c r="T269" s="19">
        <f>AF268</f>
        <v/>
      </c>
      <c r="U269" s="19">
        <f>AG268</f>
        <v/>
      </c>
      <c r="V269" s="19">
        <f>T269+U269</f>
        <v/>
      </c>
      <c r="W269" s="20">
        <f>DATA!D269</f>
        <v/>
      </c>
      <c r="X269" s="20">
        <f>DATA!F269</f>
        <v/>
      </c>
      <c r="Y269" s="19">
        <f>T269*(1+W269)</f>
        <v/>
      </c>
      <c r="Z269" s="19">
        <f>U269*(1+X269)</f>
        <v/>
      </c>
      <c r="AA269" s="19">
        <f>IF(AND(CONFIG!$B$11="Annual",MONTH(R269)=7),(Y269+Z269)*CONFIG!$B$6/12,AA268)</f>
        <v/>
      </c>
      <c r="AB269" s="19">
        <f>MAX(0,Z269-AA269)</f>
        <v/>
      </c>
      <c r="AC269">
        <f>IF(OR(MONTH(R269)=3,MONTH(R269)=6,MONTH(R269)=9,MONTH(R269)=12),"Y","N")</f>
        <v/>
      </c>
      <c r="AD269" s="21">
        <f>IF((Y269+AB269)=0,0,AB269/(Y269+AB269))</f>
        <v/>
      </c>
      <c r="AE269">
        <f>IF(AND(AC269="Y",OR(AD269&lt;CONFIG!$B$8,AD269&gt;CONFIG!$B$9)),"Y","N")</f>
        <v/>
      </c>
      <c r="AF269" s="19">
        <f>IF(AE269="Y",(Y269+AB269)*0.8,Y269)</f>
        <v/>
      </c>
      <c r="AG269" s="19">
        <f>IF(AE269="Y",(Y269+AB269)*0.2,AB269)</f>
        <v/>
      </c>
      <c r="AI269" s="18">
        <f>DATA!A269</f>
        <v/>
      </c>
      <c r="AJ269">
        <f>DATA!B269</f>
        <v/>
      </c>
      <c r="AK269" s="19">
        <f>AW268</f>
        <v/>
      </c>
      <c r="AL269" s="19">
        <f>AX268</f>
        <v/>
      </c>
      <c r="AM269" s="19">
        <f>AK269+AL269</f>
        <v/>
      </c>
      <c r="AN269" s="20">
        <f>DATA!E269</f>
        <v/>
      </c>
      <c r="AO269" s="20">
        <f>DATA!F269</f>
        <v/>
      </c>
      <c r="AP269" s="19">
        <f>AK269*(1+AN269)</f>
        <v/>
      </c>
      <c r="AQ269" s="19">
        <f>AL269*(1+AO269)</f>
        <v/>
      </c>
      <c r="AR269" s="19">
        <f>IF(AND(CONFIG!$B$11="Annual",MONTH(AI269)=7),(AP269+AQ269)*CONFIG!$B$6/12,AR268)</f>
        <v/>
      </c>
      <c r="AS269" s="19">
        <f>MAX(0,AQ269-AR269)</f>
        <v/>
      </c>
      <c r="AT269">
        <f>IF(OR(MONTH(AI269)=3,MONTH(AI269)=6,MONTH(AI269)=9,MONTH(AI269)=12),"Y","N")</f>
        <v/>
      </c>
      <c r="AU269" s="21">
        <f>IF((AP269+AS269)=0,0,AS269/(AP269+AS269))</f>
        <v/>
      </c>
      <c r="AV269">
        <f>IF(AND(AT269="Y",OR(AU269&lt;CONFIG!$B$8,AU269&gt;CONFIG!$B$9)),"Y","N")</f>
        <v/>
      </c>
      <c r="AW269" s="19">
        <f>IF(AV269="Y",(AP269+AS269)*0.8,AP269)</f>
        <v/>
      </c>
      <c r="AX269" s="19">
        <f>IF(AV269="Y",(AP269+AS269)*0.2,AS269)</f>
        <v/>
      </c>
    </row>
    <row r="270">
      <c r="A270" s="18">
        <f>DATA!A270</f>
        <v/>
      </c>
      <c r="B270">
        <f>DATA!B270</f>
        <v/>
      </c>
      <c r="C270" s="19">
        <f>O269</f>
        <v/>
      </c>
      <c r="D270" s="19">
        <f>P269</f>
        <v/>
      </c>
      <c r="E270" s="19">
        <f>C270+D270</f>
        <v/>
      </c>
      <c r="F270" s="20">
        <f>DATA!C270</f>
        <v/>
      </c>
      <c r="G270" s="20">
        <f>DATA!F270</f>
        <v/>
      </c>
      <c r="H270" s="19">
        <f>C270*(1+F270)</f>
        <v/>
      </c>
      <c r="I270" s="19">
        <f>D270*(1+G270)</f>
        <v/>
      </c>
      <c r="J270" s="19">
        <f>IF(AND(CONFIG!$B$11="Annual",MONTH(A270)=7),(H270+I270)*CONFIG!$B$6/12,J269)</f>
        <v/>
      </c>
      <c r="K270" s="19">
        <f>MAX(0,I270-J270)</f>
        <v/>
      </c>
      <c r="L270">
        <f>IF(OR(MONTH(A270)=3,MONTH(A270)=6,MONTH(A270)=9,MONTH(A270)=12),"Y","N")</f>
        <v/>
      </c>
      <c r="M270" s="21">
        <f>IF((H270+K270)=0,0,K270/(H270+K270))</f>
        <v/>
      </c>
      <c r="N270">
        <f>IF(AND(L270="Y",OR(M270&lt;CONFIG!$B$8,M270&gt;CONFIG!$B$9)),"Y","N")</f>
        <v/>
      </c>
      <c r="O270" s="19">
        <f>IF(N270="Y",(H270+K270)*0.8,H270)</f>
        <v/>
      </c>
      <c r="P270" s="19">
        <f>IF(N270="Y",(H270+K270)*0.2,K270)</f>
        <v/>
      </c>
      <c r="R270" s="18">
        <f>DATA!A270</f>
        <v/>
      </c>
      <c r="S270">
        <f>DATA!B270</f>
        <v/>
      </c>
      <c r="T270" s="19">
        <f>AF269</f>
        <v/>
      </c>
      <c r="U270" s="19">
        <f>AG269</f>
        <v/>
      </c>
      <c r="V270" s="19">
        <f>T270+U270</f>
        <v/>
      </c>
      <c r="W270" s="20">
        <f>DATA!D270</f>
        <v/>
      </c>
      <c r="X270" s="20">
        <f>DATA!F270</f>
        <v/>
      </c>
      <c r="Y270" s="19">
        <f>T270*(1+W270)</f>
        <v/>
      </c>
      <c r="Z270" s="19">
        <f>U270*(1+X270)</f>
        <v/>
      </c>
      <c r="AA270" s="19">
        <f>IF(AND(CONFIG!$B$11="Annual",MONTH(R270)=7),(Y270+Z270)*CONFIG!$B$6/12,AA269)</f>
        <v/>
      </c>
      <c r="AB270" s="19">
        <f>MAX(0,Z270-AA270)</f>
        <v/>
      </c>
      <c r="AC270">
        <f>IF(OR(MONTH(R270)=3,MONTH(R270)=6,MONTH(R270)=9,MONTH(R270)=12),"Y","N")</f>
        <v/>
      </c>
      <c r="AD270" s="21">
        <f>IF((Y270+AB270)=0,0,AB270/(Y270+AB270))</f>
        <v/>
      </c>
      <c r="AE270">
        <f>IF(AND(AC270="Y",OR(AD270&lt;CONFIG!$B$8,AD270&gt;CONFIG!$B$9)),"Y","N")</f>
        <v/>
      </c>
      <c r="AF270" s="19">
        <f>IF(AE270="Y",(Y270+AB270)*0.8,Y270)</f>
        <v/>
      </c>
      <c r="AG270" s="19">
        <f>IF(AE270="Y",(Y270+AB270)*0.2,AB270)</f>
        <v/>
      </c>
      <c r="AI270" s="18">
        <f>DATA!A270</f>
        <v/>
      </c>
      <c r="AJ270">
        <f>DATA!B270</f>
        <v/>
      </c>
      <c r="AK270" s="19">
        <f>AW269</f>
        <v/>
      </c>
      <c r="AL270" s="19">
        <f>AX269</f>
        <v/>
      </c>
      <c r="AM270" s="19">
        <f>AK270+AL270</f>
        <v/>
      </c>
      <c r="AN270" s="20">
        <f>DATA!E270</f>
        <v/>
      </c>
      <c r="AO270" s="20">
        <f>DATA!F270</f>
        <v/>
      </c>
      <c r="AP270" s="19">
        <f>AK270*(1+AN270)</f>
        <v/>
      </c>
      <c r="AQ270" s="19">
        <f>AL270*(1+AO270)</f>
        <v/>
      </c>
      <c r="AR270" s="19">
        <f>IF(AND(CONFIG!$B$11="Annual",MONTH(AI270)=7),(AP270+AQ270)*CONFIG!$B$6/12,AR269)</f>
        <v/>
      </c>
      <c r="AS270" s="19">
        <f>MAX(0,AQ270-AR270)</f>
        <v/>
      </c>
      <c r="AT270">
        <f>IF(OR(MONTH(AI270)=3,MONTH(AI270)=6,MONTH(AI270)=9,MONTH(AI270)=12),"Y","N")</f>
        <v/>
      </c>
      <c r="AU270" s="21">
        <f>IF((AP270+AS270)=0,0,AS270/(AP270+AS270))</f>
        <v/>
      </c>
      <c r="AV270">
        <f>IF(AND(AT270="Y",OR(AU270&lt;CONFIG!$B$8,AU270&gt;CONFIG!$B$9)),"Y","N")</f>
        <v/>
      </c>
      <c r="AW270" s="19">
        <f>IF(AV270="Y",(AP270+AS270)*0.8,AP270)</f>
        <v/>
      </c>
      <c r="AX270" s="19">
        <f>IF(AV270="Y",(AP270+AS270)*0.2,AS270)</f>
        <v/>
      </c>
    </row>
    <row r="271">
      <c r="A271" s="18">
        <f>DATA!A271</f>
        <v/>
      </c>
      <c r="B271">
        <f>DATA!B271</f>
        <v/>
      </c>
      <c r="C271" s="19">
        <f>O270</f>
        <v/>
      </c>
      <c r="D271" s="19">
        <f>P270</f>
        <v/>
      </c>
      <c r="E271" s="19">
        <f>C271+D271</f>
        <v/>
      </c>
      <c r="F271" s="20">
        <f>DATA!C271</f>
        <v/>
      </c>
      <c r="G271" s="20">
        <f>DATA!F271</f>
        <v/>
      </c>
      <c r="H271" s="19">
        <f>C271*(1+F271)</f>
        <v/>
      </c>
      <c r="I271" s="19">
        <f>D271*(1+G271)</f>
        <v/>
      </c>
      <c r="J271" s="19">
        <f>IF(AND(CONFIG!$B$11="Annual",MONTH(A271)=7),(H271+I271)*CONFIG!$B$6/12,J270)</f>
        <v/>
      </c>
      <c r="K271" s="19">
        <f>MAX(0,I271-J271)</f>
        <v/>
      </c>
      <c r="L271">
        <f>IF(OR(MONTH(A271)=3,MONTH(A271)=6,MONTH(A271)=9,MONTH(A271)=12),"Y","N")</f>
        <v/>
      </c>
      <c r="M271" s="21">
        <f>IF((H271+K271)=0,0,K271/(H271+K271))</f>
        <v/>
      </c>
      <c r="N271">
        <f>IF(AND(L271="Y",OR(M271&lt;CONFIG!$B$8,M271&gt;CONFIG!$B$9)),"Y","N")</f>
        <v/>
      </c>
      <c r="O271" s="19">
        <f>IF(N271="Y",(H271+K271)*0.8,H271)</f>
        <v/>
      </c>
      <c r="P271" s="19">
        <f>IF(N271="Y",(H271+K271)*0.2,K271)</f>
        <v/>
      </c>
      <c r="R271" s="18">
        <f>DATA!A271</f>
        <v/>
      </c>
      <c r="S271">
        <f>DATA!B271</f>
        <v/>
      </c>
      <c r="T271" s="19">
        <f>AF270</f>
        <v/>
      </c>
      <c r="U271" s="19">
        <f>AG270</f>
        <v/>
      </c>
      <c r="V271" s="19">
        <f>T271+U271</f>
        <v/>
      </c>
      <c r="W271" s="20">
        <f>DATA!D271</f>
        <v/>
      </c>
      <c r="X271" s="20">
        <f>DATA!F271</f>
        <v/>
      </c>
      <c r="Y271" s="19">
        <f>T271*(1+W271)</f>
        <v/>
      </c>
      <c r="Z271" s="19">
        <f>U271*(1+X271)</f>
        <v/>
      </c>
      <c r="AA271" s="19">
        <f>IF(AND(CONFIG!$B$11="Annual",MONTH(R271)=7),(Y271+Z271)*CONFIG!$B$6/12,AA270)</f>
        <v/>
      </c>
      <c r="AB271" s="19">
        <f>MAX(0,Z271-AA271)</f>
        <v/>
      </c>
      <c r="AC271">
        <f>IF(OR(MONTH(R271)=3,MONTH(R271)=6,MONTH(R271)=9,MONTH(R271)=12),"Y","N")</f>
        <v/>
      </c>
      <c r="AD271" s="21">
        <f>IF((Y271+AB271)=0,0,AB271/(Y271+AB271))</f>
        <v/>
      </c>
      <c r="AE271">
        <f>IF(AND(AC271="Y",OR(AD271&lt;CONFIG!$B$8,AD271&gt;CONFIG!$B$9)),"Y","N")</f>
        <v/>
      </c>
      <c r="AF271" s="19">
        <f>IF(AE271="Y",(Y271+AB271)*0.8,Y271)</f>
        <v/>
      </c>
      <c r="AG271" s="19">
        <f>IF(AE271="Y",(Y271+AB271)*0.2,AB271)</f>
        <v/>
      </c>
      <c r="AI271" s="18">
        <f>DATA!A271</f>
        <v/>
      </c>
      <c r="AJ271">
        <f>DATA!B271</f>
        <v/>
      </c>
      <c r="AK271" s="19">
        <f>AW270</f>
        <v/>
      </c>
      <c r="AL271" s="19">
        <f>AX270</f>
        <v/>
      </c>
      <c r="AM271" s="19">
        <f>AK271+AL271</f>
        <v/>
      </c>
      <c r="AN271" s="20">
        <f>DATA!E271</f>
        <v/>
      </c>
      <c r="AO271" s="20">
        <f>DATA!F271</f>
        <v/>
      </c>
      <c r="AP271" s="19">
        <f>AK271*(1+AN271)</f>
        <v/>
      </c>
      <c r="AQ271" s="19">
        <f>AL271*(1+AO271)</f>
        <v/>
      </c>
      <c r="AR271" s="19">
        <f>IF(AND(CONFIG!$B$11="Annual",MONTH(AI271)=7),(AP271+AQ271)*CONFIG!$B$6/12,AR270)</f>
        <v/>
      </c>
      <c r="AS271" s="19">
        <f>MAX(0,AQ271-AR271)</f>
        <v/>
      </c>
      <c r="AT271">
        <f>IF(OR(MONTH(AI271)=3,MONTH(AI271)=6,MONTH(AI271)=9,MONTH(AI271)=12),"Y","N")</f>
        <v/>
      </c>
      <c r="AU271" s="21">
        <f>IF((AP271+AS271)=0,0,AS271/(AP271+AS271))</f>
        <v/>
      </c>
      <c r="AV271">
        <f>IF(AND(AT271="Y",OR(AU271&lt;CONFIG!$B$8,AU271&gt;CONFIG!$B$9)),"Y","N")</f>
        <v/>
      </c>
      <c r="AW271" s="19">
        <f>IF(AV271="Y",(AP271+AS271)*0.8,AP271)</f>
        <v/>
      </c>
      <c r="AX271" s="19">
        <f>IF(AV271="Y",(AP271+AS271)*0.2,AS271)</f>
        <v/>
      </c>
    </row>
    <row r="272">
      <c r="A272" s="18">
        <f>DATA!A272</f>
        <v/>
      </c>
      <c r="B272">
        <f>DATA!B272</f>
        <v/>
      </c>
      <c r="C272" s="19">
        <f>O271</f>
        <v/>
      </c>
      <c r="D272" s="19">
        <f>P271</f>
        <v/>
      </c>
      <c r="E272" s="19">
        <f>C272+D272</f>
        <v/>
      </c>
      <c r="F272" s="20">
        <f>DATA!C272</f>
        <v/>
      </c>
      <c r="G272" s="20">
        <f>DATA!F272</f>
        <v/>
      </c>
      <c r="H272" s="19">
        <f>C272*(1+F272)</f>
        <v/>
      </c>
      <c r="I272" s="19">
        <f>D272*(1+G272)</f>
        <v/>
      </c>
      <c r="J272" s="19">
        <f>IF(AND(CONFIG!$B$11="Annual",MONTH(A272)=7),(H272+I272)*CONFIG!$B$6/12,J271)</f>
        <v/>
      </c>
      <c r="K272" s="19">
        <f>MAX(0,I272-J272)</f>
        <v/>
      </c>
      <c r="L272">
        <f>IF(OR(MONTH(A272)=3,MONTH(A272)=6,MONTH(A272)=9,MONTH(A272)=12),"Y","N")</f>
        <v/>
      </c>
      <c r="M272" s="21">
        <f>IF((H272+K272)=0,0,K272/(H272+K272))</f>
        <v/>
      </c>
      <c r="N272">
        <f>IF(AND(L272="Y",OR(M272&lt;CONFIG!$B$8,M272&gt;CONFIG!$B$9)),"Y","N")</f>
        <v/>
      </c>
      <c r="O272" s="19">
        <f>IF(N272="Y",(H272+K272)*0.8,H272)</f>
        <v/>
      </c>
      <c r="P272" s="19">
        <f>IF(N272="Y",(H272+K272)*0.2,K272)</f>
        <v/>
      </c>
      <c r="R272" s="18">
        <f>DATA!A272</f>
        <v/>
      </c>
      <c r="S272">
        <f>DATA!B272</f>
        <v/>
      </c>
      <c r="T272" s="19">
        <f>AF271</f>
        <v/>
      </c>
      <c r="U272" s="19">
        <f>AG271</f>
        <v/>
      </c>
      <c r="V272" s="19">
        <f>T272+U272</f>
        <v/>
      </c>
      <c r="W272" s="20">
        <f>DATA!D272</f>
        <v/>
      </c>
      <c r="X272" s="20">
        <f>DATA!F272</f>
        <v/>
      </c>
      <c r="Y272" s="19">
        <f>T272*(1+W272)</f>
        <v/>
      </c>
      <c r="Z272" s="19">
        <f>U272*(1+X272)</f>
        <v/>
      </c>
      <c r="AA272" s="19">
        <f>IF(AND(CONFIG!$B$11="Annual",MONTH(R272)=7),(Y272+Z272)*CONFIG!$B$6/12,AA271)</f>
        <v/>
      </c>
      <c r="AB272" s="19">
        <f>MAX(0,Z272-AA272)</f>
        <v/>
      </c>
      <c r="AC272">
        <f>IF(OR(MONTH(R272)=3,MONTH(R272)=6,MONTH(R272)=9,MONTH(R272)=12),"Y","N")</f>
        <v/>
      </c>
      <c r="AD272" s="21">
        <f>IF((Y272+AB272)=0,0,AB272/(Y272+AB272))</f>
        <v/>
      </c>
      <c r="AE272">
        <f>IF(AND(AC272="Y",OR(AD272&lt;CONFIG!$B$8,AD272&gt;CONFIG!$B$9)),"Y","N")</f>
        <v/>
      </c>
      <c r="AF272" s="19">
        <f>IF(AE272="Y",(Y272+AB272)*0.8,Y272)</f>
        <v/>
      </c>
      <c r="AG272" s="19">
        <f>IF(AE272="Y",(Y272+AB272)*0.2,AB272)</f>
        <v/>
      </c>
      <c r="AI272" s="18">
        <f>DATA!A272</f>
        <v/>
      </c>
      <c r="AJ272">
        <f>DATA!B272</f>
        <v/>
      </c>
      <c r="AK272" s="19">
        <f>AW271</f>
        <v/>
      </c>
      <c r="AL272" s="19">
        <f>AX271</f>
        <v/>
      </c>
      <c r="AM272" s="19">
        <f>AK272+AL272</f>
        <v/>
      </c>
      <c r="AN272" s="20">
        <f>DATA!E272</f>
        <v/>
      </c>
      <c r="AO272" s="20">
        <f>DATA!F272</f>
        <v/>
      </c>
      <c r="AP272" s="19">
        <f>AK272*(1+AN272)</f>
        <v/>
      </c>
      <c r="AQ272" s="19">
        <f>AL272*(1+AO272)</f>
        <v/>
      </c>
      <c r="AR272" s="19">
        <f>IF(AND(CONFIG!$B$11="Annual",MONTH(AI272)=7),(AP272+AQ272)*CONFIG!$B$6/12,AR271)</f>
        <v/>
      </c>
      <c r="AS272" s="19">
        <f>MAX(0,AQ272-AR272)</f>
        <v/>
      </c>
      <c r="AT272">
        <f>IF(OR(MONTH(AI272)=3,MONTH(AI272)=6,MONTH(AI272)=9,MONTH(AI272)=12),"Y","N")</f>
        <v/>
      </c>
      <c r="AU272" s="21">
        <f>IF((AP272+AS272)=0,0,AS272/(AP272+AS272))</f>
        <v/>
      </c>
      <c r="AV272">
        <f>IF(AND(AT272="Y",OR(AU272&lt;CONFIG!$B$8,AU272&gt;CONFIG!$B$9)),"Y","N")</f>
        <v/>
      </c>
      <c r="AW272" s="19">
        <f>IF(AV272="Y",(AP272+AS272)*0.8,AP272)</f>
        <v/>
      </c>
      <c r="AX272" s="19">
        <f>IF(AV272="Y",(AP272+AS272)*0.2,AS272)</f>
        <v/>
      </c>
    </row>
    <row r="273">
      <c r="A273" s="18">
        <f>DATA!A273</f>
        <v/>
      </c>
      <c r="B273">
        <f>DATA!B273</f>
        <v/>
      </c>
      <c r="C273" s="19">
        <f>O272</f>
        <v/>
      </c>
      <c r="D273" s="19">
        <f>P272</f>
        <v/>
      </c>
      <c r="E273" s="19">
        <f>C273+D273</f>
        <v/>
      </c>
      <c r="F273" s="20">
        <f>DATA!C273</f>
        <v/>
      </c>
      <c r="G273" s="20">
        <f>DATA!F273</f>
        <v/>
      </c>
      <c r="H273" s="19">
        <f>C273*(1+F273)</f>
        <v/>
      </c>
      <c r="I273" s="19">
        <f>D273*(1+G273)</f>
        <v/>
      </c>
      <c r="J273" s="19">
        <f>IF(AND(CONFIG!$B$11="Annual",MONTH(A273)=7),(H273+I273)*CONFIG!$B$6/12,J272)</f>
        <v/>
      </c>
      <c r="K273" s="19">
        <f>MAX(0,I273-J273)</f>
        <v/>
      </c>
      <c r="L273">
        <f>IF(OR(MONTH(A273)=3,MONTH(A273)=6,MONTH(A273)=9,MONTH(A273)=12),"Y","N")</f>
        <v/>
      </c>
      <c r="M273" s="21">
        <f>IF((H273+K273)=0,0,K273/(H273+K273))</f>
        <v/>
      </c>
      <c r="N273">
        <f>IF(AND(L273="Y",OR(M273&lt;CONFIG!$B$8,M273&gt;CONFIG!$B$9)),"Y","N")</f>
        <v/>
      </c>
      <c r="O273" s="19">
        <f>IF(N273="Y",(H273+K273)*0.8,H273)</f>
        <v/>
      </c>
      <c r="P273" s="19">
        <f>IF(N273="Y",(H273+K273)*0.2,K273)</f>
        <v/>
      </c>
      <c r="R273" s="18">
        <f>DATA!A273</f>
        <v/>
      </c>
      <c r="S273">
        <f>DATA!B273</f>
        <v/>
      </c>
      <c r="T273" s="19">
        <f>AF272</f>
        <v/>
      </c>
      <c r="U273" s="19">
        <f>AG272</f>
        <v/>
      </c>
      <c r="V273" s="19">
        <f>T273+U273</f>
        <v/>
      </c>
      <c r="W273" s="20">
        <f>DATA!D273</f>
        <v/>
      </c>
      <c r="X273" s="20">
        <f>DATA!F273</f>
        <v/>
      </c>
      <c r="Y273" s="19">
        <f>T273*(1+W273)</f>
        <v/>
      </c>
      <c r="Z273" s="19">
        <f>U273*(1+X273)</f>
        <v/>
      </c>
      <c r="AA273" s="19">
        <f>IF(AND(CONFIG!$B$11="Annual",MONTH(R273)=7),(Y273+Z273)*CONFIG!$B$6/12,AA272)</f>
        <v/>
      </c>
      <c r="AB273" s="19">
        <f>MAX(0,Z273-AA273)</f>
        <v/>
      </c>
      <c r="AC273">
        <f>IF(OR(MONTH(R273)=3,MONTH(R273)=6,MONTH(R273)=9,MONTH(R273)=12),"Y","N")</f>
        <v/>
      </c>
      <c r="AD273" s="21">
        <f>IF((Y273+AB273)=0,0,AB273/(Y273+AB273))</f>
        <v/>
      </c>
      <c r="AE273">
        <f>IF(AND(AC273="Y",OR(AD273&lt;CONFIG!$B$8,AD273&gt;CONFIG!$B$9)),"Y","N")</f>
        <v/>
      </c>
      <c r="AF273" s="19">
        <f>IF(AE273="Y",(Y273+AB273)*0.8,Y273)</f>
        <v/>
      </c>
      <c r="AG273" s="19">
        <f>IF(AE273="Y",(Y273+AB273)*0.2,AB273)</f>
        <v/>
      </c>
      <c r="AI273" s="18">
        <f>DATA!A273</f>
        <v/>
      </c>
      <c r="AJ273">
        <f>DATA!B273</f>
        <v/>
      </c>
      <c r="AK273" s="19">
        <f>AW272</f>
        <v/>
      </c>
      <c r="AL273" s="19">
        <f>AX272</f>
        <v/>
      </c>
      <c r="AM273" s="19">
        <f>AK273+AL273</f>
        <v/>
      </c>
      <c r="AN273" s="20">
        <f>DATA!E273</f>
        <v/>
      </c>
      <c r="AO273" s="20">
        <f>DATA!F273</f>
        <v/>
      </c>
      <c r="AP273" s="19">
        <f>AK273*(1+AN273)</f>
        <v/>
      </c>
      <c r="AQ273" s="19">
        <f>AL273*(1+AO273)</f>
        <v/>
      </c>
      <c r="AR273" s="19">
        <f>IF(AND(CONFIG!$B$11="Annual",MONTH(AI273)=7),(AP273+AQ273)*CONFIG!$B$6/12,AR272)</f>
        <v/>
      </c>
      <c r="AS273" s="19">
        <f>MAX(0,AQ273-AR273)</f>
        <v/>
      </c>
      <c r="AT273">
        <f>IF(OR(MONTH(AI273)=3,MONTH(AI273)=6,MONTH(AI273)=9,MONTH(AI273)=12),"Y","N")</f>
        <v/>
      </c>
      <c r="AU273" s="21">
        <f>IF((AP273+AS273)=0,0,AS273/(AP273+AS273))</f>
        <v/>
      </c>
      <c r="AV273">
        <f>IF(AND(AT273="Y",OR(AU273&lt;CONFIG!$B$8,AU273&gt;CONFIG!$B$9)),"Y","N")</f>
        <v/>
      </c>
      <c r="AW273" s="19">
        <f>IF(AV273="Y",(AP273+AS273)*0.8,AP273)</f>
        <v/>
      </c>
      <c r="AX273" s="19">
        <f>IF(AV273="Y",(AP273+AS273)*0.2,AS273)</f>
        <v/>
      </c>
    </row>
    <row r="274">
      <c r="A274" s="18">
        <f>DATA!A274</f>
        <v/>
      </c>
      <c r="B274">
        <f>DATA!B274</f>
        <v/>
      </c>
      <c r="C274" s="19">
        <f>O273</f>
        <v/>
      </c>
      <c r="D274" s="19">
        <f>P273</f>
        <v/>
      </c>
      <c r="E274" s="19">
        <f>C274+D274</f>
        <v/>
      </c>
      <c r="F274" s="20">
        <f>DATA!C274</f>
        <v/>
      </c>
      <c r="G274" s="20">
        <f>DATA!F274</f>
        <v/>
      </c>
      <c r="H274" s="19">
        <f>C274*(1+F274)</f>
        <v/>
      </c>
      <c r="I274" s="19">
        <f>D274*(1+G274)</f>
        <v/>
      </c>
      <c r="J274" s="19">
        <f>IF(AND(CONFIG!$B$11="Annual",MONTH(A274)=7),(H274+I274)*CONFIG!$B$6/12,J273)</f>
        <v/>
      </c>
      <c r="K274" s="19">
        <f>MAX(0,I274-J274)</f>
        <v/>
      </c>
      <c r="L274">
        <f>IF(OR(MONTH(A274)=3,MONTH(A274)=6,MONTH(A274)=9,MONTH(A274)=12),"Y","N")</f>
        <v/>
      </c>
      <c r="M274" s="21">
        <f>IF((H274+K274)=0,0,K274/(H274+K274))</f>
        <v/>
      </c>
      <c r="N274">
        <f>IF(AND(L274="Y",OR(M274&lt;CONFIG!$B$8,M274&gt;CONFIG!$B$9)),"Y","N")</f>
        <v/>
      </c>
      <c r="O274" s="19">
        <f>IF(N274="Y",(H274+K274)*0.8,H274)</f>
        <v/>
      </c>
      <c r="P274" s="19">
        <f>IF(N274="Y",(H274+K274)*0.2,K274)</f>
        <v/>
      </c>
      <c r="R274" s="18">
        <f>DATA!A274</f>
        <v/>
      </c>
      <c r="S274">
        <f>DATA!B274</f>
        <v/>
      </c>
      <c r="T274" s="19">
        <f>AF273</f>
        <v/>
      </c>
      <c r="U274" s="19">
        <f>AG273</f>
        <v/>
      </c>
      <c r="V274" s="19">
        <f>T274+U274</f>
        <v/>
      </c>
      <c r="W274" s="20">
        <f>DATA!D274</f>
        <v/>
      </c>
      <c r="X274" s="20">
        <f>DATA!F274</f>
        <v/>
      </c>
      <c r="Y274" s="19">
        <f>T274*(1+W274)</f>
        <v/>
      </c>
      <c r="Z274" s="19">
        <f>U274*(1+X274)</f>
        <v/>
      </c>
      <c r="AA274" s="19">
        <f>IF(AND(CONFIG!$B$11="Annual",MONTH(R274)=7),(Y274+Z274)*CONFIG!$B$6/12,AA273)</f>
        <v/>
      </c>
      <c r="AB274" s="19">
        <f>MAX(0,Z274-AA274)</f>
        <v/>
      </c>
      <c r="AC274">
        <f>IF(OR(MONTH(R274)=3,MONTH(R274)=6,MONTH(R274)=9,MONTH(R274)=12),"Y","N")</f>
        <v/>
      </c>
      <c r="AD274" s="21">
        <f>IF((Y274+AB274)=0,0,AB274/(Y274+AB274))</f>
        <v/>
      </c>
      <c r="AE274">
        <f>IF(AND(AC274="Y",OR(AD274&lt;CONFIG!$B$8,AD274&gt;CONFIG!$B$9)),"Y","N")</f>
        <v/>
      </c>
      <c r="AF274" s="19">
        <f>IF(AE274="Y",(Y274+AB274)*0.8,Y274)</f>
        <v/>
      </c>
      <c r="AG274" s="19">
        <f>IF(AE274="Y",(Y274+AB274)*0.2,AB274)</f>
        <v/>
      </c>
      <c r="AI274" s="18">
        <f>DATA!A274</f>
        <v/>
      </c>
      <c r="AJ274">
        <f>DATA!B274</f>
        <v/>
      </c>
      <c r="AK274" s="19">
        <f>AW273</f>
        <v/>
      </c>
      <c r="AL274" s="19">
        <f>AX273</f>
        <v/>
      </c>
      <c r="AM274" s="19">
        <f>AK274+AL274</f>
        <v/>
      </c>
      <c r="AN274" s="20">
        <f>DATA!E274</f>
        <v/>
      </c>
      <c r="AO274" s="20">
        <f>DATA!F274</f>
        <v/>
      </c>
      <c r="AP274" s="19">
        <f>AK274*(1+AN274)</f>
        <v/>
      </c>
      <c r="AQ274" s="19">
        <f>AL274*(1+AO274)</f>
        <v/>
      </c>
      <c r="AR274" s="19">
        <f>IF(AND(CONFIG!$B$11="Annual",MONTH(AI274)=7),(AP274+AQ274)*CONFIG!$B$6/12,AR273)</f>
        <v/>
      </c>
      <c r="AS274" s="19">
        <f>MAX(0,AQ274-AR274)</f>
        <v/>
      </c>
      <c r="AT274">
        <f>IF(OR(MONTH(AI274)=3,MONTH(AI274)=6,MONTH(AI274)=9,MONTH(AI274)=12),"Y","N")</f>
        <v/>
      </c>
      <c r="AU274" s="21">
        <f>IF((AP274+AS274)=0,0,AS274/(AP274+AS274))</f>
        <v/>
      </c>
      <c r="AV274">
        <f>IF(AND(AT274="Y",OR(AU274&lt;CONFIG!$B$8,AU274&gt;CONFIG!$B$9)),"Y","N")</f>
        <v/>
      </c>
      <c r="AW274" s="19">
        <f>IF(AV274="Y",(AP274+AS274)*0.8,AP274)</f>
        <v/>
      </c>
      <c r="AX274" s="19">
        <f>IF(AV274="Y",(AP274+AS274)*0.2,AS274)</f>
        <v/>
      </c>
    </row>
    <row r="275">
      <c r="A275" s="18">
        <f>DATA!A275</f>
        <v/>
      </c>
      <c r="B275">
        <f>DATA!B275</f>
        <v/>
      </c>
      <c r="C275" s="19">
        <f>O274</f>
        <v/>
      </c>
      <c r="D275" s="19">
        <f>P274</f>
        <v/>
      </c>
      <c r="E275" s="19">
        <f>C275+D275</f>
        <v/>
      </c>
      <c r="F275" s="20">
        <f>DATA!C275</f>
        <v/>
      </c>
      <c r="G275" s="20">
        <f>DATA!F275</f>
        <v/>
      </c>
      <c r="H275" s="19">
        <f>C275*(1+F275)</f>
        <v/>
      </c>
      <c r="I275" s="19">
        <f>D275*(1+G275)</f>
        <v/>
      </c>
      <c r="J275" s="19">
        <f>IF(AND(CONFIG!$B$11="Annual",MONTH(A275)=7),(H275+I275)*CONFIG!$B$6/12,J274)</f>
        <v/>
      </c>
      <c r="K275" s="19">
        <f>MAX(0,I275-J275)</f>
        <v/>
      </c>
      <c r="L275">
        <f>IF(OR(MONTH(A275)=3,MONTH(A275)=6,MONTH(A275)=9,MONTH(A275)=12),"Y","N")</f>
        <v/>
      </c>
      <c r="M275" s="21">
        <f>IF((H275+K275)=0,0,K275/(H275+K275))</f>
        <v/>
      </c>
      <c r="N275">
        <f>IF(AND(L275="Y",OR(M275&lt;CONFIG!$B$8,M275&gt;CONFIG!$B$9)),"Y","N")</f>
        <v/>
      </c>
      <c r="O275" s="19">
        <f>IF(N275="Y",(H275+K275)*0.8,H275)</f>
        <v/>
      </c>
      <c r="P275" s="19">
        <f>IF(N275="Y",(H275+K275)*0.2,K275)</f>
        <v/>
      </c>
      <c r="R275" s="18">
        <f>DATA!A275</f>
        <v/>
      </c>
      <c r="S275">
        <f>DATA!B275</f>
        <v/>
      </c>
      <c r="T275" s="19">
        <f>AF274</f>
        <v/>
      </c>
      <c r="U275" s="19">
        <f>AG274</f>
        <v/>
      </c>
      <c r="V275" s="19">
        <f>T275+U275</f>
        <v/>
      </c>
      <c r="W275" s="20">
        <f>DATA!D275</f>
        <v/>
      </c>
      <c r="X275" s="20">
        <f>DATA!F275</f>
        <v/>
      </c>
      <c r="Y275" s="19">
        <f>T275*(1+W275)</f>
        <v/>
      </c>
      <c r="Z275" s="19">
        <f>U275*(1+X275)</f>
        <v/>
      </c>
      <c r="AA275" s="19">
        <f>IF(AND(CONFIG!$B$11="Annual",MONTH(R275)=7),(Y275+Z275)*CONFIG!$B$6/12,AA274)</f>
        <v/>
      </c>
      <c r="AB275" s="19">
        <f>MAX(0,Z275-AA275)</f>
        <v/>
      </c>
      <c r="AC275">
        <f>IF(OR(MONTH(R275)=3,MONTH(R275)=6,MONTH(R275)=9,MONTH(R275)=12),"Y","N")</f>
        <v/>
      </c>
      <c r="AD275" s="21">
        <f>IF((Y275+AB275)=0,0,AB275/(Y275+AB275))</f>
        <v/>
      </c>
      <c r="AE275">
        <f>IF(AND(AC275="Y",OR(AD275&lt;CONFIG!$B$8,AD275&gt;CONFIG!$B$9)),"Y","N")</f>
        <v/>
      </c>
      <c r="AF275" s="19">
        <f>IF(AE275="Y",(Y275+AB275)*0.8,Y275)</f>
        <v/>
      </c>
      <c r="AG275" s="19">
        <f>IF(AE275="Y",(Y275+AB275)*0.2,AB275)</f>
        <v/>
      </c>
      <c r="AI275" s="18">
        <f>DATA!A275</f>
        <v/>
      </c>
      <c r="AJ275">
        <f>DATA!B275</f>
        <v/>
      </c>
      <c r="AK275" s="19">
        <f>AW274</f>
        <v/>
      </c>
      <c r="AL275" s="19">
        <f>AX274</f>
        <v/>
      </c>
      <c r="AM275" s="19">
        <f>AK275+AL275</f>
        <v/>
      </c>
      <c r="AN275" s="20">
        <f>DATA!E275</f>
        <v/>
      </c>
      <c r="AO275" s="20">
        <f>DATA!F275</f>
        <v/>
      </c>
      <c r="AP275" s="19">
        <f>AK275*(1+AN275)</f>
        <v/>
      </c>
      <c r="AQ275" s="19">
        <f>AL275*(1+AO275)</f>
        <v/>
      </c>
      <c r="AR275" s="19">
        <f>IF(AND(CONFIG!$B$11="Annual",MONTH(AI275)=7),(AP275+AQ275)*CONFIG!$B$6/12,AR274)</f>
        <v/>
      </c>
      <c r="AS275" s="19">
        <f>MAX(0,AQ275-AR275)</f>
        <v/>
      </c>
      <c r="AT275">
        <f>IF(OR(MONTH(AI275)=3,MONTH(AI275)=6,MONTH(AI275)=9,MONTH(AI275)=12),"Y","N")</f>
        <v/>
      </c>
      <c r="AU275" s="21">
        <f>IF((AP275+AS275)=0,0,AS275/(AP275+AS275))</f>
        <v/>
      </c>
      <c r="AV275">
        <f>IF(AND(AT275="Y",OR(AU275&lt;CONFIG!$B$8,AU275&gt;CONFIG!$B$9)),"Y","N")</f>
        <v/>
      </c>
      <c r="AW275" s="19">
        <f>IF(AV275="Y",(AP275+AS275)*0.8,AP275)</f>
        <v/>
      </c>
      <c r="AX275" s="19">
        <f>IF(AV275="Y",(AP275+AS275)*0.2,AS275)</f>
        <v/>
      </c>
    </row>
    <row r="276">
      <c r="A276" s="18">
        <f>DATA!A276</f>
        <v/>
      </c>
      <c r="B276">
        <f>DATA!B276</f>
        <v/>
      </c>
      <c r="C276" s="19">
        <f>O275</f>
        <v/>
      </c>
      <c r="D276" s="19">
        <f>P275</f>
        <v/>
      </c>
      <c r="E276" s="19">
        <f>C276+D276</f>
        <v/>
      </c>
      <c r="F276" s="20">
        <f>DATA!C276</f>
        <v/>
      </c>
      <c r="G276" s="20">
        <f>DATA!F276</f>
        <v/>
      </c>
      <c r="H276" s="19">
        <f>C276*(1+F276)</f>
        <v/>
      </c>
      <c r="I276" s="19">
        <f>D276*(1+G276)</f>
        <v/>
      </c>
      <c r="J276" s="19">
        <f>IF(AND(CONFIG!$B$11="Annual",MONTH(A276)=7),(H276+I276)*CONFIG!$B$6/12,J275)</f>
        <v/>
      </c>
      <c r="K276" s="19">
        <f>MAX(0,I276-J276)</f>
        <v/>
      </c>
      <c r="L276">
        <f>IF(OR(MONTH(A276)=3,MONTH(A276)=6,MONTH(A276)=9,MONTH(A276)=12),"Y","N")</f>
        <v/>
      </c>
      <c r="M276" s="21">
        <f>IF((H276+K276)=0,0,K276/(H276+K276))</f>
        <v/>
      </c>
      <c r="N276">
        <f>IF(AND(L276="Y",OR(M276&lt;CONFIG!$B$8,M276&gt;CONFIG!$B$9)),"Y","N")</f>
        <v/>
      </c>
      <c r="O276" s="19">
        <f>IF(N276="Y",(H276+K276)*0.8,H276)</f>
        <v/>
      </c>
      <c r="P276" s="19">
        <f>IF(N276="Y",(H276+K276)*0.2,K276)</f>
        <v/>
      </c>
      <c r="R276" s="18">
        <f>DATA!A276</f>
        <v/>
      </c>
      <c r="S276">
        <f>DATA!B276</f>
        <v/>
      </c>
      <c r="T276" s="19">
        <f>AF275</f>
        <v/>
      </c>
      <c r="U276" s="19">
        <f>AG275</f>
        <v/>
      </c>
      <c r="V276" s="19">
        <f>T276+U276</f>
        <v/>
      </c>
      <c r="W276" s="20">
        <f>DATA!D276</f>
        <v/>
      </c>
      <c r="X276" s="20">
        <f>DATA!F276</f>
        <v/>
      </c>
      <c r="Y276" s="19">
        <f>T276*(1+W276)</f>
        <v/>
      </c>
      <c r="Z276" s="19">
        <f>U276*(1+X276)</f>
        <v/>
      </c>
      <c r="AA276" s="19">
        <f>IF(AND(CONFIG!$B$11="Annual",MONTH(R276)=7),(Y276+Z276)*CONFIG!$B$6/12,AA275)</f>
        <v/>
      </c>
      <c r="AB276" s="19">
        <f>MAX(0,Z276-AA276)</f>
        <v/>
      </c>
      <c r="AC276">
        <f>IF(OR(MONTH(R276)=3,MONTH(R276)=6,MONTH(R276)=9,MONTH(R276)=12),"Y","N")</f>
        <v/>
      </c>
      <c r="AD276" s="21">
        <f>IF((Y276+AB276)=0,0,AB276/(Y276+AB276))</f>
        <v/>
      </c>
      <c r="AE276">
        <f>IF(AND(AC276="Y",OR(AD276&lt;CONFIG!$B$8,AD276&gt;CONFIG!$B$9)),"Y","N")</f>
        <v/>
      </c>
      <c r="AF276" s="19">
        <f>IF(AE276="Y",(Y276+AB276)*0.8,Y276)</f>
        <v/>
      </c>
      <c r="AG276" s="19">
        <f>IF(AE276="Y",(Y276+AB276)*0.2,AB276)</f>
        <v/>
      </c>
      <c r="AI276" s="18">
        <f>DATA!A276</f>
        <v/>
      </c>
      <c r="AJ276">
        <f>DATA!B276</f>
        <v/>
      </c>
      <c r="AK276" s="19">
        <f>AW275</f>
        <v/>
      </c>
      <c r="AL276" s="19">
        <f>AX275</f>
        <v/>
      </c>
      <c r="AM276" s="19">
        <f>AK276+AL276</f>
        <v/>
      </c>
      <c r="AN276" s="20">
        <f>DATA!E276</f>
        <v/>
      </c>
      <c r="AO276" s="20">
        <f>DATA!F276</f>
        <v/>
      </c>
      <c r="AP276" s="19">
        <f>AK276*(1+AN276)</f>
        <v/>
      </c>
      <c r="AQ276" s="19">
        <f>AL276*(1+AO276)</f>
        <v/>
      </c>
      <c r="AR276" s="19">
        <f>IF(AND(CONFIG!$B$11="Annual",MONTH(AI276)=7),(AP276+AQ276)*CONFIG!$B$6/12,AR275)</f>
        <v/>
      </c>
      <c r="AS276" s="19">
        <f>MAX(0,AQ276-AR276)</f>
        <v/>
      </c>
      <c r="AT276">
        <f>IF(OR(MONTH(AI276)=3,MONTH(AI276)=6,MONTH(AI276)=9,MONTH(AI276)=12),"Y","N")</f>
        <v/>
      </c>
      <c r="AU276" s="21">
        <f>IF((AP276+AS276)=0,0,AS276/(AP276+AS276))</f>
        <v/>
      </c>
      <c r="AV276">
        <f>IF(AND(AT276="Y",OR(AU276&lt;CONFIG!$B$8,AU276&gt;CONFIG!$B$9)),"Y","N")</f>
        <v/>
      </c>
      <c r="AW276" s="19">
        <f>IF(AV276="Y",(AP276+AS276)*0.8,AP276)</f>
        <v/>
      </c>
      <c r="AX276" s="19">
        <f>IF(AV276="Y",(AP276+AS276)*0.2,AS276)</f>
        <v/>
      </c>
    </row>
    <row r="277">
      <c r="A277" s="18">
        <f>DATA!A277</f>
        <v/>
      </c>
      <c r="B277">
        <f>DATA!B277</f>
        <v/>
      </c>
      <c r="C277" s="19">
        <f>O276</f>
        <v/>
      </c>
      <c r="D277" s="19">
        <f>P276</f>
        <v/>
      </c>
      <c r="E277" s="19">
        <f>C277+D277</f>
        <v/>
      </c>
      <c r="F277" s="20">
        <f>DATA!C277</f>
        <v/>
      </c>
      <c r="G277" s="20">
        <f>DATA!F277</f>
        <v/>
      </c>
      <c r="H277" s="19">
        <f>C277*(1+F277)</f>
        <v/>
      </c>
      <c r="I277" s="19">
        <f>D277*(1+G277)</f>
        <v/>
      </c>
      <c r="J277" s="19">
        <f>IF(AND(CONFIG!$B$11="Annual",MONTH(A277)=7),(H277+I277)*CONFIG!$B$6/12,J276)</f>
        <v/>
      </c>
      <c r="K277" s="19">
        <f>MAX(0,I277-J277)</f>
        <v/>
      </c>
      <c r="L277">
        <f>IF(OR(MONTH(A277)=3,MONTH(A277)=6,MONTH(A277)=9,MONTH(A277)=12),"Y","N")</f>
        <v/>
      </c>
      <c r="M277" s="21">
        <f>IF((H277+K277)=0,0,K277/(H277+K277))</f>
        <v/>
      </c>
      <c r="N277">
        <f>IF(AND(L277="Y",OR(M277&lt;CONFIG!$B$8,M277&gt;CONFIG!$B$9)),"Y","N")</f>
        <v/>
      </c>
      <c r="O277" s="19">
        <f>IF(N277="Y",(H277+K277)*0.8,H277)</f>
        <v/>
      </c>
      <c r="P277" s="19">
        <f>IF(N277="Y",(H277+K277)*0.2,K277)</f>
        <v/>
      </c>
      <c r="R277" s="18">
        <f>DATA!A277</f>
        <v/>
      </c>
      <c r="S277">
        <f>DATA!B277</f>
        <v/>
      </c>
      <c r="T277" s="19">
        <f>AF276</f>
        <v/>
      </c>
      <c r="U277" s="19">
        <f>AG276</f>
        <v/>
      </c>
      <c r="V277" s="19">
        <f>T277+U277</f>
        <v/>
      </c>
      <c r="W277" s="20">
        <f>DATA!D277</f>
        <v/>
      </c>
      <c r="X277" s="20">
        <f>DATA!F277</f>
        <v/>
      </c>
      <c r="Y277" s="19">
        <f>T277*(1+W277)</f>
        <v/>
      </c>
      <c r="Z277" s="19">
        <f>U277*(1+X277)</f>
        <v/>
      </c>
      <c r="AA277" s="19">
        <f>IF(AND(CONFIG!$B$11="Annual",MONTH(R277)=7),(Y277+Z277)*CONFIG!$B$6/12,AA276)</f>
        <v/>
      </c>
      <c r="AB277" s="19">
        <f>MAX(0,Z277-AA277)</f>
        <v/>
      </c>
      <c r="AC277">
        <f>IF(OR(MONTH(R277)=3,MONTH(R277)=6,MONTH(R277)=9,MONTH(R277)=12),"Y","N")</f>
        <v/>
      </c>
      <c r="AD277" s="21">
        <f>IF((Y277+AB277)=0,0,AB277/(Y277+AB277))</f>
        <v/>
      </c>
      <c r="AE277">
        <f>IF(AND(AC277="Y",OR(AD277&lt;CONFIG!$B$8,AD277&gt;CONFIG!$B$9)),"Y","N")</f>
        <v/>
      </c>
      <c r="AF277" s="19">
        <f>IF(AE277="Y",(Y277+AB277)*0.8,Y277)</f>
        <v/>
      </c>
      <c r="AG277" s="19">
        <f>IF(AE277="Y",(Y277+AB277)*0.2,AB277)</f>
        <v/>
      </c>
      <c r="AI277" s="18">
        <f>DATA!A277</f>
        <v/>
      </c>
      <c r="AJ277">
        <f>DATA!B277</f>
        <v/>
      </c>
      <c r="AK277" s="19">
        <f>AW276</f>
        <v/>
      </c>
      <c r="AL277" s="19">
        <f>AX276</f>
        <v/>
      </c>
      <c r="AM277" s="19">
        <f>AK277+AL277</f>
        <v/>
      </c>
      <c r="AN277" s="20">
        <f>DATA!E277</f>
        <v/>
      </c>
      <c r="AO277" s="20">
        <f>DATA!F277</f>
        <v/>
      </c>
      <c r="AP277" s="19">
        <f>AK277*(1+AN277)</f>
        <v/>
      </c>
      <c r="AQ277" s="19">
        <f>AL277*(1+AO277)</f>
        <v/>
      </c>
      <c r="AR277" s="19">
        <f>IF(AND(CONFIG!$B$11="Annual",MONTH(AI277)=7),(AP277+AQ277)*CONFIG!$B$6/12,AR276)</f>
        <v/>
      </c>
      <c r="AS277" s="19">
        <f>MAX(0,AQ277-AR277)</f>
        <v/>
      </c>
      <c r="AT277">
        <f>IF(OR(MONTH(AI277)=3,MONTH(AI277)=6,MONTH(AI277)=9,MONTH(AI277)=12),"Y","N")</f>
        <v/>
      </c>
      <c r="AU277" s="21">
        <f>IF((AP277+AS277)=0,0,AS277/(AP277+AS277))</f>
        <v/>
      </c>
      <c r="AV277">
        <f>IF(AND(AT277="Y",OR(AU277&lt;CONFIG!$B$8,AU277&gt;CONFIG!$B$9)),"Y","N")</f>
        <v/>
      </c>
      <c r="AW277" s="19">
        <f>IF(AV277="Y",(AP277+AS277)*0.8,AP277)</f>
        <v/>
      </c>
      <c r="AX277" s="19">
        <f>IF(AV277="Y",(AP277+AS277)*0.2,AS277)</f>
        <v/>
      </c>
    </row>
    <row r="278">
      <c r="A278" s="18">
        <f>DATA!A278</f>
        <v/>
      </c>
      <c r="B278">
        <f>DATA!B278</f>
        <v/>
      </c>
      <c r="C278" s="19">
        <f>O277</f>
        <v/>
      </c>
      <c r="D278" s="19">
        <f>P277</f>
        <v/>
      </c>
      <c r="E278" s="19">
        <f>C278+D278</f>
        <v/>
      </c>
      <c r="F278" s="20">
        <f>DATA!C278</f>
        <v/>
      </c>
      <c r="G278" s="20">
        <f>DATA!F278</f>
        <v/>
      </c>
      <c r="H278" s="19">
        <f>C278*(1+F278)</f>
        <v/>
      </c>
      <c r="I278" s="19">
        <f>D278*(1+G278)</f>
        <v/>
      </c>
      <c r="J278" s="19">
        <f>IF(AND(CONFIG!$B$11="Annual",MONTH(A278)=7),(H278+I278)*CONFIG!$B$6/12,J277)</f>
        <v/>
      </c>
      <c r="K278" s="19">
        <f>MAX(0,I278-J278)</f>
        <v/>
      </c>
      <c r="L278">
        <f>IF(OR(MONTH(A278)=3,MONTH(A278)=6,MONTH(A278)=9,MONTH(A278)=12),"Y","N")</f>
        <v/>
      </c>
      <c r="M278" s="21">
        <f>IF((H278+K278)=0,0,K278/(H278+K278))</f>
        <v/>
      </c>
      <c r="N278">
        <f>IF(AND(L278="Y",OR(M278&lt;CONFIG!$B$8,M278&gt;CONFIG!$B$9)),"Y","N")</f>
        <v/>
      </c>
      <c r="O278" s="19">
        <f>IF(N278="Y",(H278+K278)*0.8,H278)</f>
        <v/>
      </c>
      <c r="P278" s="19">
        <f>IF(N278="Y",(H278+K278)*0.2,K278)</f>
        <v/>
      </c>
      <c r="R278" s="18">
        <f>DATA!A278</f>
        <v/>
      </c>
      <c r="S278">
        <f>DATA!B278</f>
        <v/>
      </c>
      <c r="T278" s="19">
        <f>AF277</f>
        <v/>
      </c>
      <c r="U278" s="19">
        <f>AG277</f>
        <v/>
      </c>
      <c r="V278" s="19">
        <f>T278+U278</f>
        <v/>
      </c>
      <c r="W278" s="20">
        <f>DATA!D278</f>
        <v/>
      </c>
      <c r="X278" s="20">
        <f>DATA!F278</f>
        <v/>
      </c>
      <c r="Y278" s="19">
        <f>T278*(1+W278)</f>
        <v/>
      </c>
      <c r="Z278" s="19">
        <f>U278*(1+X278)</f>
        <v/>
      </c>
      <c r="AA278" s="19">
        <f>IF(AND(CONFIG!$B$11="Annual",MONTH(R278)=7),(Y278+Z278)*CONFIG!$B$6/12,AA277)</f>
        <v/>
      </c>
      <c r="AB278" s="19">
        <f>MAX(0,Z278-AA278)</f>
        <v/>
      </c>
      <c r="AC278">
        <f>IF(OR(MONTH(R278)=3,MONTH(R278)=6,MONTH(R278)=9,MONTH(R278)=12),"Y","N")</f>
        <v/>
      </c>
      <c r="AD278" s="21">
        <f>IF((Y278+AB278)=0,0,AB278/(Y278+AB278))</f>
        <v/>
      </c>
      <c r="AE278">
        <f>IF(AND(AC278="Y",OR(AD278&lt;CONFIG!$B$8,AD278&gt;CONFIG!$B$9)),"Y","N")</f>
        <v/>
      </c>
      <c r="AF278" s="19">
        <f>IF(AE278="Y",(Y278+AB278)*0.8,Y278)</f>
        <v/>
      </c>
      <c r="AG278" s="19">
        <f>IF(AE278="Y",(Y278+AB278)*0.2,AB278)</f>
        <v/>
      </c>
      <c r="AI278" s="18">
        <f>DATA!A278</f>
        <v/>
      </c>
      <c r="AJ278">
        <f>DATA!B278</f>
        <v/>
      </c>
      <c r="AK278" s="19">
        <f>AW277</f>
        <v/>
      </c>
      <c r="AL278" s="19">
        <f>AX277</f>
        <v/>
      </c>
      <c r="AM278" s="19">
        <f>AK278+AL278</f>
        <v/>
      </c>
      <c r="AN278" s="20">
        <f>DATA!E278</f>
        <v/>
      </c>
      <c r="AO278" s="20">
        <f>DATA!F278</f>
        <v/>
      </c>
      <c r="AP278" s="19">
        <f>AK278*(1+AN278)</f>
        <v/>
      </c>
      <c r="AQ278" s="19">
        <f>AL278*(1+AO278)</f>
        <v/>
      </c>
      <c r="AR278" s="19">
        <f>IF(AND(CONFIG!$B$11="Annual",MONTH(AI278)=7),(AP278+AQ278)*CONFIG!$B$6/12,AR277)</f>
        <v/>
      </c>
      <c r="AS278" s="19">
        <f>MAX(0,AQ278-AR278)</f>
        <v/>
      </c>
      <c r="AT278">
        <f>IF(OR(MONTH(AI278)=3,MONTH(AI278)=6,MONTH(AI278)=9,MONTH(AI278)=12),"Y","N")</f>
        <v/>
      </c>
      <c r="AU278" s="21">
        <f>IF((AP278+AS278)=0,0,AS278/(AP278+AS278))</f>
        <v/>
      </c>
      <c r="AV278">
        <f>IF(AND(AT278="Y",OR(AU278&lt;CONFIG!$B$8,AU278&gt;CONFIG!$B$9)),"Y","N")</f>
        <v/>
      </c>
      <c r="AW278" s="19">
        <f>IF(AV278="Y",(AP278+AS278)*0.8,AP278)</f>
        <v/>
      </c>
      <c r="AX278" s="19">
        <f>IF(AV278="Y",(AP278+AS278)*0.2,AS278)</f>
        <v/>
      </c>
    </row>
    <row r="279">
      <c r="A279" s="18">
        <f>DATA!A279</f>
        <v/>
      </c>
      <c r="B279">
        <f>DATA!B279</f>
        <v/>
      </c>
      <c r="C279" s="19">
        <f>O278</f>
        <v/>
      </c>
      <c r="D279" s="19">
        <f>P278</f>
        <v/>
      </c>
      <c r="E279" s="19">
        <f>C279+D279</f>
        <v/>
      </c>
      <c r="F279" s="20">
        <f>DATA!C279</f>
        <v/>
      </c>
      <c r="G279" s="20">
        <f>DATA!F279</f>
        <v/>
      </c>
      <c r="H279" s="19">
        <f>C279*(1+F279)</f>
        <v/>
      </c>
      <c r="I279" s="19">
        <f>D279*(1+G279)</f>
        <v/>
      </c>
      <c r="J279" s="19">
        <f>IF(AND(CONFIG!$B$11="Annual",MONTH(A279)=7),(H279+I279)*CONFIG!$B$6/12,J278)</f>
        <v/>
      </c>
      <c r="K279" s="19">
        <f>MAX(0,I279-J279)</f>
        <v/>
      </c>
      <c r="L279">
        <f>IF(OR(MONTH(A279)=3,MONTH(A279)=6,MONTH(A279)=9,MONTH(A279)=12),"Y","N")</f>
        <v/>
      </c>
      <c r="M279" s="21">
        <f>IF((H279+K279)=0,0,K279/(H279+K279))</f>
        <v/>
      </c>
      <c r="N279">
        <f>IF(AND(L279="Y",OR(M279&lt;CONFIG!$B$8,M279&gt;CONFIG!$B$9)),"Y","N")</f>
        <v/>
      </c>
      <c r="O279" s="19">
        <f>IF(N279="Y",(H279+K279)*0.8,H279)</f>
        <v/>
      </c>
      <c r="P279" s="19">
        <f>IF(N279="Y",(H279+K279)*0.2,K279)</f>
        <v/>
      </c>
      <c r="R279" s="18">
        <f>DATA!A279</f>
        <v/>
      </c>
      <c r="S279">
        <f>DATA!B279</f>
        <v/>
      </c>
      <c r="T279" s="19">
        <f>AF278</f>
        <v/>
      </c>
      <c r="U279" s="19">
        <f>AG278</f>
        <v/>
      </c>
      <c r="V279" s="19">
        <f>T279+U279</f>
        <v/>
      </c>
      <c r="W279" s="20">
        <f>DATA!D279</f>
        <v/>
      </c>
      <c r="X279" s="20">
        <f>DATA!F279</f>
        <v/>
      </c>
      <c r="Y279" s="19">
        <f>T279*(1+W279)</f>
        <v/>
      </c>
      <c r="Z279" s="19">
        <f>U279*(1+X279)</f>
        <v/>
      </c>
      <c r="AA279" s="19">
        <f>IF(AND(CONFIG!$B$11="Annual",MONTH(R279)=7),(Y279+Z279)*CONFIG!$B$6/12,AA278)</f>
        <v/>
      </c>
      <c r="AB279" s="19">
        <f>MAX(0,Z279-AA279)</f>
        <v/>
      </c>
      <c r="AC279">
        <f>IF(OR(MONTH(R279)=3,MONTH(R279)=6,MONTH(R279)=9,MONTH(R279)=12),"Y","N")</f>
        <v/>
      </c>
      <c r="AD279" s="21">
        <f>IF((Y279+AB279)=0,0,AB279/(Y279+AB279))</f>
        <v/>
      </c>
      <c r="AE279">
        <f>IF(AND(AC279="Y",OR(AD279&lt;CONFIG!$B$8,AD279&gt;CONFIG!$B$9)),"Y","N")</f>
        <v/>
      </c>
      <c r="AF279" s="19">
        <f>IF(AE279="Y",(Y279+AB279)*0.8,Y279)</f>
        <v/>
      </c>
      <c r="AG279" s="19">
        <f>IF(AE279="Y",(Y279+AB279)*0.2,AB279)</f>
        <v/>
      </c>
      <c r="AI279" s="18">
        <f>DATA!A279</f>
        <v/>
      </c>
      <c r="AJ279">
        <f>DATA!B279</f>
        <v/>
      </c>
      <c r="AK279" s="19">
        <f>AW278</f>
        <v/>
      </c>
      <c r="AL279" s="19">
        <f>AX278</f>
        <v/>
      </c>
      <c r="AM279" s="19">
        <f>AK279+AL279</f>
        <v/>
      </c>
      <c r="AN279" s="20">
        <f>DATA!E279</f>
        <v/>
      </c>
      <c r="AO279" s="20">
        <f>DATA!F279</f>
        <v/>
      </c>
      <c r="AP279" s="19">
        <f>AK279*(1+AN279)</f>
        <v/>
      </c>
      <c r="AQ279" s="19">
        <f>AL279*(1+AO279)</f>
        <v/>
      </c>
      <c r="AR279" s="19">
        <f>IF(AND(CONFIG!$B$11="Annual",MONTH(AI279)=7),(AP279+AQ279)*CONFIG!$B$6/12,AR278)</f>
        <v/>
      </c>
      <c r="AS279" s="19">
        <f>MAX(0,AQ279-AR279)</f>
        <v/>
      </c>
      <c r="AT279">
        <f>IF(OR(MONTH(AI279)=3,MONTH(AI279)=6,MONTH(AI279)=9,MONTH(AI279)=12),"Y","N")</f>
        <v/>
      </c>
      <c r="AU279" s="21">
        <f>IF((AP279+AS279)=0,0,AS279/(AP279+AS279))</f>
        <v/>
      </c>
      <c r="AV279">
        <f>IF(AND(AT279="Y",OR(AU279&lt;CONFIG!$B$8,AU279&gt;CONFIG!$B$9)),"Y","N")</f>
        <v/>
      </c>
      <c r="AW279" s="19">
        <f>IF(AV279="Y",(AP279+AS279)*0.8,AP279)</f>
        <v/>
      </c>
      <c r="AX279" s="19">
        <f>IF(AV279="Y",(AP279+AS279)*0.2,AS279)</f>
        <v/>
      </c>
    </row>
    <row r="280">
      <c r="A280" s="18">
        <f>DATA!A280</f>
        <v/>
      </c>
      <c r="B280">
        <f>DATA!B280</f>
        <v/>
      </c>
      <c r="C280" s="19">
        <f>O279</f>
        <v/>
      </c>
      <c r="D280" s="19">
        <f>P279</f>
        <v/>
      </c>
      <c r="E280" s="19">
        <f>C280+D280</f>
        <v/>
      </c>
      <c r="F280" s="20">
        <f>DATA!C280</f>
        <v/>
      </c>
      <c r="G280" s="20">
        <f>DATA!F280</f>
        <v/>
      </c>
      <c r="H280" s="19">
        <f>C280*(1+F280)</f>
        <v/>
      </c>
      <c r="I280" s="19">
        <f>D280*(1+G280)</f>
        <v/>
      </c>
      <c r="J280" s="19">
        <f>IF(AND(CONFIG!$B$11="Annual",MONTH(A280)=7),(H280+I280)*CONFIG!$B$6/12,J279)</f>
        <v/>
      </c>
      <c r="K280" s="19">
        <f>MAX(0,I280-J280)</f>
        <v/>
      </c>
      <c r="L280">
        <f>IF(OR(MONTH(A280)=3,MONTH(A280)=6,MONTH(A280)=9,MONTH(A280)=12),"Y","N")</f>
        <v/>
      </c>
      <c r="M280" s="21">
        <f>IF((H280+K280)=0,0,K280/(H280+K280))</f>
        <v/>
      </c>
      <c r="N280">
        <f>IF(AND(L280="Y",OR(M280&lt;CONFIG!$B$8,M280&gt;CONFIG!$B$9)),"Y","N")</f>
        <v/>
      </c>
      <c r="O280" s="19">
        <f>IF(N280="Y",(H280+K280)*0.8,H280)</f>
        <v/>
      </c>
      <c r="P280" s="19">
        <f>IF(N280="Y",(H280+K280)*0.2,K280)</f>
        <v/>
      </c>
      <c r="R280" s="18">
        <f>DATA!A280</f>
        <v/>
      </c>
      <c r="S280">
        <f>DATA!B280</f>
        <v/>
      </c>
      <c r="T280" s="19">
        <f>AF279</f>
        <v/>
      </c>
      <c r="U280" s="19">
        <f>AG279</f>
        <v/>
      </c>
      <c r="V280" s="19">
        <f>T280+U280</f>
        <v/>
      </c>
      <c r="W280" s="20">
        <f>DATA!D280</f>
        <v/>
      </c>
      <c r="X280" s="20">
        <f>DATA!F280</f>
        <v/>
      </c>
      <c r="Y280" s="19">
        <f>T280*(1+W280)</f>
        <v/>
      </c>
      <c r="Z280" s="19">
        <f>U280*(1+X280)</f>
        <v/>
      </c>
      <c r="AA280" s="19">
        <f>IF(AND(CONFIG!$B$11="Annual",MONTH(R280)=7),(Y280+Z280)*CONFIG!$B$6/12,AA279)</f>
        <v/>
      </c>
      <c r="AB280" s="19">
        <f>MAX(0,Z280-AA280)</f>
        <v/>
      </c>
      <c r="AC280">
        <f>IF(OR(MONTH(R280)=3,MONTH(R280)=6,MONTH(R280)=9,MONTH(R280)=12),"Y","N")</f>
        <v/>
      </c>
      <c r="AD280" s="21">
        <f>IF((Y280+AB280)=0,0,AB280/(Y280+AB280))</f>
        <v/>
      </c>
      <c r="AE280">
        <f>IF(AND(AC280="Y",OR(AD280&lt;CONFIG!$B$8,AD280&gt;CONFIG!$B$9)),"Y","N")</f>
        <v/>
      </c>
      <c r="AF280" s="19">
        <f>IF(AE280="Y",(Y280+AB280)*0.8,Y280)</f>
        <v/>
      </c>
      <c r="AG280" s="19">
        <f>IF(AE280="Y",(Y280+AB280)*0.2,AB280)</f>
        <v/>
      </c>
      <c r="AI280" s="18">
        <f>DATA!A280</f>
        <v/>
      </c>
      <c r="AJ280">
        <f>DATA!B280</f>
        <v/>
      </c>
      <c r="AK280" s="19">
        <f>AW279</f>
        <v/>
      </c>
      <c r="AL280" s="19">
        <f>AX279</f>
        <v/>
      </c>
      <c r="AM280" s="19">
        <f>AK280+AL280</f>
        <v/>
      </c>
      <c r="AN280" s="20">
        <f>DATA!E280</f>
        <v/>
      </c>
      <c r="AO280" s="20">
        <f>DATA!F280</f>
        <v/>
      </c>
      <c r="AP280" s="19">
        <f>AK280*(1+AN280)</f>
        <v/>
      </c>
      <c r="AQ280" s="19">
        <f>AL280*(1+AO280)</f>
        <v/>
      </c>
      <c r="AR280" s="19">
        <f>IF(AND(CONFIG!$B$11="Annual",MONTH(AI280)=7),(AP280+AQ280)*CONFIG!$B$6/12,AR279)</f>
        <v/>
      </c>
      <c r="AS280" s="19">
        <f>MAX(0,AQ280-AR280)</f>
        <v/>
      </c>
      <c r="AT280">
        <f>IF(OR(MONTH(AI280)=3,MONTH(AI280)=6,MONTH(AI280)=9,MONTH(AI280)=12),"Y","N")</f>
        <v/>
      </c>
      <c r="AU280" s="21">
        <f>IF((AP280+AS280)=0,0,AS280/(AP280+AS280))</f>
        <v/>
      </c>
      <c r="AV280">
        <f>IF(AND(AT280="Y",OR(AU280&lt;CONFIG!$B$8,AU280&gt;CONFIG!$B$9)),"Y","N")</f>
        <v/>
      </c>
      <c r="AW280" s="19">
        <f>IF(AV280="Y",(AP280+AS280)*0.8,AP280)</f>
        <v/>
      </c>
      <c r="AX280" s="19">
        <f>IF(AV280="Y",(AP280+AS280)*0.2,AS280)</f>
        <v/>
      </c>
    </row>
    <row r="281">
      <c r="A281" s="18">
        <f>DATA!A281</f>
        <v/>
      </c>
      <c r="B281">
        <f>DATA!B281</f>
        <v/>
      </c>
      <c r="C281" s="19">
        <f>O280</f>
        <v/>
      </c>
      <c r="D281" s="19">
        <f>P280</f>
        <v/>
      </c>
      <c r="E281" s="19">
        <f>C281+D281</f>
        <v/>
      </c>
      <c r="F281" s="20">
        <f>DATA!C281</f>
        <v/>
      </c>
      <c r="G281" s="20">
        <f>DATA!F281</f>
        <v/>
      </c>
      <c r="H281" s="19">
        <f>C281*(1+F281)</f>
        <v/>
      </c>
      <c r="I281" s="19">
        <f>D281*(1+G281)</f>
        <v/>
      </c>
      <c r="J281" s="19">
        <f>IF(AND(CONFIG!$B$11="Annual",MONTH(A281)=7),(H281+I281)*CONFIG!$B$6/12,J280)</f>
        <v/>
      </c>
      <c r="K281" s="19">
        <f>MAX(0,I281-J281)</f>
        <v/>
      </c>
      <c r="L281">
        <f>IF(OR(MONTH(A281)=3,MONTH(A281)=6,MONTH(A281)=9,MONTH(A281)=12),"Y","N")</f>
        <v/>
      </c>
      <c r="M281" s="21">
        <f>IF((H281+K281)=0,0,K281/(H281+K281))</f>
        <v/>
      </c>
      <c r="N281">
        <f>IF(AND(L281="Y",OR(M281&lt;CONFIG!$B$8,M281&gt;CONFIG!$B$9)),"Y","N")</f>
        <v/>
      </c>
      <c r="O281" s="19">
        <f>IF(N281="Y",(H281+K281)*0.8,H281)</f>
        <v/>
      </c>
      <c r="P281" s="19">
        <f>IF(N281="Y",(H281+K281)*0.2,K281)</f>
        <v/>
      </c>
      <c r="R281" s="18">
        <f>DATA!A281</f>
        <v/>
      </c>
      <c r="S281">
        <f>DATA!B281</f>
        <v/>
      </c>
      <c r="T281" s="19">
        <f>AF280</f>
        <v/>
      </c>
      <c r="U281" s="19">
        <f>AG280</f>
        <v/>
      </c>
      <c r="V281" s="19">
        <f>T281+U281</f>
        <v/>
      </c>
      <c r="W281" s="20">
        <f>DATA!D281</f>
        <v/>
      </c>
      <c r="X281" s="20">
        <f>DATA!F281</f>
        <v/>
      </c>
      <c r="Y281" s="19">
        <f>T281*(1+W281)</f>
        <v/>
      </c>
      <c r="Z281" s="19">
        <f>U281*(1+X281)</f>
        <v/>
      </c>
      <c r="AA281" s="19">
        <f>IF(AND(CONFIG!$B$11="Annual",MONTH(R281)=7),(Y281+Z281)*CONFIG!$B$6/12,AA280)</f>
        <v/>
      </c>
      <c r="AB281" s="19">
        <f>MAX(0,Z281-AA281)</f>
        <v/>
      </c>
      <c r="AC281">
        <f>IF(OR(MONTH(R281)=3,MONTH(R281)=6,MONTH(R281)=9,MONTH(R281)=12),"Y","N")</f>
        <v/>
      </c>
      <c r="AD281" s="21">
        <f>IF((Y281+AB281)=0,0,AB281/(Y281+AB281))</f>
        <v/>
      </c>
      <c r="AE281">
        <f>IF(AND(AC281="Y",OR(AD281&lt;CONFIG!$B$8,AD281&gt;CONFIG!$B$9)),"Y","N")</f>
        <v/>
      </c>
      <c r="AF281" s="19">
        <f>IF(AE281="Y",(Y281+AB281)*0.8,Y281)</f>
        <v/>
      </c>
      <c r="AG281" s="19">
        <f>IF(AE281="Y",(Y281+AB281)*0.2,AB281)</f>
        <v/>
      </c>
      <c r="AI281" s="18">
        <f>DATA!A281</f>
        <v/>
      </c>
      <c r="AJ281">
        <f>DATA!B281</f>
        <v/>
      </c>
      <c r="AK281" s="19">
        <f>AW280</f>
        <v/>
      </c>
      <c r="AL281" s="19">
        <f>AX280</f>
        <v/>
      </c>
      <c r="AM281" s="19">
        <f>AK281+AL281</f>
        <v/>
      </c>
      <c r="AN281" s="20">
        <f>DATA!E281</f>
        <v/>
      </c>
      <c r="AO281" s="20">
        <f>DATA!F281</f>
        <v/>
      </c>
      <c r="AP281" s="19">
        <f>AK281*(1+AN281)</f>
        <v/>
      </c>
      <c r="AQ281" s="19">
        <f>AL281*(1+AO281)</f>
        <v/>
      </c>
      <c r="AR281" s="19">
        <f>IF(AND(CONFIG!$B$11="Annual",MONTH(AI281)=7),(AP281+AQ281)*CONFIG!$B$6/12,AR280)</f>
        <v/>
      </c>
      <c r="AS281" s="19">
        <f>MAX(0,AQ281-AR281)</f>
        <v/>
      </c>
      <c r="AT281">
        <f>IF(OR(MONTH(AI281)=3,MONTH(AI281)=6,MONTH(AI281)=9,MONTH(AI281)=12),"Y","N")</f>
        <v/>
      </c>
      <c r="AU281" s="21">
        <f>IF((AP281+AS281)=0,0,AS281/(AP281+AS281))</f>
        <v/>
      </c>
      <c r="AV281">
        <f>IF(AND(AT281="Y",OR(AU281&lt;CONFIG!$B$8,AU281&gt;CONFIG!$B$9)),"Y","N")</f>
        <v/>
      </c>
      <c r="AW281" s="19">
        <f>IF(AV281="Y",(AP281+AS281)*0.8,AP281)</f>
        <v/>
      </c>
      <c r="AX281" s="19">
        <f>IF(AV281="Y",(AP281+AS281)*0.2,AS281)</f>
        <v/>
      </c>
    </row>
    <row r="282">
      <c r="A282" s="18">
        <f>DATA!A282</f>
        <v/>
      </c>
      <c r="B282">
        <f>DATA!B282</f>
        <v/>
      </c>
      <c r="C282" s="19">
        <f>O281</f>
        <v/>
      </c>
      <c r="D282" s="19">
        <f>P281</f>
        <v/>
      </c>
      <c r="E282" s="19">
        <f>C282+D282</f>
        <v/>
      </c>
      <c r="F282" s="20">
        <f>DATA!C282</f>
        <v/>
      </c>
      <c r="G282" s="20">
        <f>DATA!F282</f>
        <v/>
      </c>
      <c r="H282" s="19">
        <f>C282*(1+F282)</f>
        <v/>
      </c>
      <c r="I282" s="19">
        <f>D282*(1+G282)</f>
        <v/>
      </c>
      <c r="J282" s="19">
        <f>IF(AND(CONFIG!$B$11="Annual",MONTH(A282)=7),(H282+I282)*CONFIG!$B$6/12,J281)</f>
        <v/>
      </c>
      <c r="K282" s="19">
        <f>MAX(0,I282-J282)</f>
        <v/>
      </c>
      <c r="L282">
        <f>IF(OR(MONTH(A282)=3,MONTH(A282)=6,MONTH(A282)=9,MONTH(A282)=12),"Y","N")</f>
        <v/>
      </c>
      <c r="M282" s="21">
        <f>IF((H282+K282)=0,0,K282/(H282+K282))</f>
        <v/>
      </c>
      <c r="N282">
        <f>IF(AND(L282="Y",OR(M282&lt;CONFIG!$B$8,M282&gt;CONFIG!$B$9)),"Y","N")</f>
        <v/>
      </c>
      <c r="O282" s="19">
        <f>IF(N282="Y",(H282+K282)*0.8,H282)</f>
        <v/>
      </c>
      <c r="P282" s="19">
        <f>IF(N282="Y",(H282+K282)*0.2,K282)</f>
        <v/>
      </c>
      <c r="R282" s="18">
        <f>DATA!A282</f>
        <v/>
      </c>
      <c r="S282">
        <f>DATA!B282</f>
        <v/>
      </c>
      <c r="T282" s="19">
        <f>AF281</f>
        <v/>
      </c>
      <c r="U282" s="19">
        <f>AG281</f>
        <v/>
      </c>
      <c r="V282" s="19">
        <f>T282+U282</f>
        <v/>
      </c>
      <c r="W282" s="20">
        <f>DATA!D282</f>
        <v/>
      </c>
      <c r="X282" s="20">
        <f>DATA!F282</f>
        <v/>
      </c>
      <c r="Y282" s="19">
        <f>T282*(1+W282)</f>
        <v/>
      </c>
      <c r="Z282" s="19">
        <f>U282*(1+X282)</f>
        <v/>
      </c>
      <c r="AA282" s="19">
        <f>IF(AND(CONFIG!$B$11="Annual",MONTH(R282)=7),(Y282+Z282)*CONFIG!$B$6/12,AA281)</f>
        <v/>
      </c>
      <c r="AB282" s="19">
        <f>MAX(0,Z282-AA282)</f>
        <v/>
      </c>
      <c r="AC282">
        <f>IF(OR(MONTH(R282)=3,MONTH(R282)=6,MONTH(R282)=9,MONTH(R282)=12),"Y","N")</f>
        <v/>
      </c>
      <c r="AD282" s="21">
        <f>IF((Y282+AB282)=0,0,AB282/(Y282+AB282))</f>
        <v/>
      </c>
      <c r="AE282">
        <f>IF(AND(AC282="Y",OR(AD282&lt;CONFIG!$B$8,AD282&gt;CONFIG!$B$9)),"Y","N")</f>
        <v/>
      </c>
      <c r="AF282" s="19">
        <f>IF(AE282="Y",(Y282+AB282)*0.8,Y282)</f>
        <v/>
      </c>
      <c r="AG282" s="19">
        <f>IF(AE282="Y",(Y282+AB282)*0.2,AB282)</f>
        <v/>
      </c>
      <c r="AI282" s="18">
        <f>DATA!A282</f>
        <v/>
      </c>
      <c r="AJ282">
        <f>DATA!B282</f>
        <v/>
      </c>
      <c r="AK282" s="19">
        <f>AW281</f>
        <v/>
      </c>
      <c r="AL282" s="19">
        <f>AX281</f>
        <v/>
      </c>
      <c r="AM282" s="19">
        <f>AK282+AL282</f>
        <v/>
      </c>
      <c r="AN282" s="20">
        <f>DATA!E282</f>
        <v/>
      </c>
      <c r="AO282" s="20">
        <f>DATA!F282</f>
        <v/>
      </c>
      <c r="AP282" s="19">
        <f>AK282*(1+AN282)</f>
        <v/>
      </c>
      <c r="AQ282" s="19">
        <f>AL282*(1+AO282)</f>
        <v/>
      </c>
      <c r="AR282" s="19">
        <f>IF(AND(CONFIG!$B$11="Annual",MONTH(AI282)=7),(AP282+AQ282)*CONFIG!$B$6/12,AR281)</f>
        <v/>
      </c>
      <c r="AS282" s="19">
        <f>MAX(0,AQ282-AR282)</f>
        <v/>
      </c>
      <c r="AT282">
        <f>IF(OR(MONTH(AI282)=3,MONTH(AI282)=6,MONTH(AI282)=9,MONTH(AI282)=12),"Y","N")</f>
        <v/>
      </c>
      <c r="AU282" s="21">
        <f>IF((AP282+AS282)=0,0,AS282/(AP282+AS282))</f>
        <v/>
      </c>
      <c r="AV282">
        <f>IF(AND(AT282="Y",OR(AU282&lt;CONFIG!$B$8,AU282&gt;CONFIG!$B$9)),"Y","N")</f>
        <v/>
      </c>
      <c r="AW282" s="19">
        <f>IF(AV282="Y",(AP282+AS282)*0.8,AP282)</f>
        <v/>
      </c>
      <c r="AX282" s="19">
        <f>IF(AV282="Y",(AP282+AS282)*0.2,AS282)</f>
        <v/>
      </c>
    </row>
    <row r="283">
      <c r="A283" s="18">
        <f>DATA!A283</f>
        <v/>
      </c>
      <c r="B283">
        <f>DATA!B283</f>
        <v/>
      </c>
      <c r="C283" s="19">
        <f>O282</f>
        <v/>
      </c>
      <c r="D283" s="19">
        <f>P282</f>
        <v/>
      </c>
      <c r="E283" s="19">
        <f>C283+D283</f>
        <v/>
      </c>
      <c r="F283" s="20">
        <f>DATA!C283</f>
        <v/>
      </c>
      <c r="G283" s="20">
        <f>DATA!F283</f>
        <v/>
      </c>
      <c r="H283" s="19">
        <f>C283*(1+F283)</f>
        <v/>
      </c>
      <c r="I283" s="19">
        <f>D283*(1+G283)</f>
        <v/>
      </c>
      <c r="J283" s="19">
        <f>IF(AND(CONFIG!$B$11="Annual",MONTH(A283)=7),(H283+I283)*CONFIG!$B$6/12,J282)</f>
        <v/>
      </c>
      <c r="K283" s="19">
        <f>MAX(0,I283-J283)</f>
        <v/>
      </c>
      <c r="L283">
        <f>IF(OR(MONTH(A283)=3,MONTH(A283)=6,MONTH(A283)=9,MONTH(A283)=12),"Y","N")</f>
        <v/>
      </c>
      <c r="M283" s="21">
        <f>IF((H283+K283)=0,0,K283/(H283+K283))</f>
        <v/>
      </c>
      <c r="N283">
        <f>IF(AND(L283="Y",OR(M283&lt;CONFIG!$B$8,M283&gt;CONFIG!$B$9)),"Y","N")</f>
        <v/>
      </c>
      <c r="O283" s="19">
        <f>IF(N283="Y",(H283+K283)*0.8,H283)</f>
        <v/>
      </c>
      <c r="P283" s="19">
        <f>IF(N283="Y",(H283+K283)*0.2,K283)</f>
        <v/>
      </c>
      <c r="R283" s="18">
        <f>DATA!A283</f>
        <v/>
      </c>
      <c r="S283">
        <f>DATA!B283</f>
        <v/>
      </c>
      <c r="T283" s="19">
        <f>AF282</f>
        <v/>
      </c>
      <c r="U283" s="19">
        <f>AG282</f>
        <v/>
      </c>
      <c r="V283" s="19">
        <f>T283+U283</f>
        <v/>
      </c>
      <c r="W283" s="20">
        <f>DATA!D283</f>
        <v/>
      </c>
      <c r="X283" s="20">
        <f>DATA!F283</f>
        <v/>
      </c>
      <c r="Y283" s="19">
        <f>T283*(1+W283)</f>
        <v/>
      </c>
      <c r="Z283" s="19">
        <f>U283*(1+X283)</f>
        <v/>
      </c>
      <c r="AA283" s="19">
        <f>IF(AND(CONFIG!$B$11="Annual",MONTH(R283)=7),(Y283+Z283)*CONFIG!$B$6/12,AA282)</f>
        <v/>
      </c>
      <c r="AB283" s="19">
        <f>MAX(0,Z283-AA283)</f>
        <v/>
      </c>
      <c r="AC283">
        <f>IF(OR(MONTH(R283)=3,MONTH(R283)=6,MONTH(R283)=9,MONTH(R283)=12),"Y","N")</f>
        <v/>
      </c>
      <c r="AD283" s="21">
        <f>IF((Y283+AB283)=0,0,AB283/(Y283+AB283))</f>
        <v/>
      </c>
      <c r="AE283">
        <f>IF(AND(AC283="Y",OR(AD283&lt;CONFIG!$B$8,AD283&gt;CONFIG!$B$9)),"Y","N")</f>
        <v/>
      </c>
      <c r="AF283" s="19">
        <f>IF(AE283="Y",(Y283+AB283)*0.8,Y283)</f>
        <v/>
      </c>
      <c r="AG283" s="19">
        <f>IF(AE283="Y",(Y283+AB283)*0.2,AB283)</f>
        <v/>
      </c>
      <c r="AI283" s="18">
        <f>DATA!A283</f>
        <v/>
      </c>
      <c r="AJ283">
        <f>DATA!B283</f>
        <v/>
      </c>
      <c r="AK283" s="19">
        <f>AW282</f>
        <v/>
      </c>
      <c r="AL283" s="19">
        <f>AX282</f>
        <v/>
      </c>
      <c r="AM283" s="19">
        <f>AK283+AL283</f>
        <v/>
      </c>
      <c r="AN283" s="20">
        <f>DATA!E283</f>
        <v/>
      </c>
      <c r="AO283" s="20">
        <f>DATA!F283</f>
        <v/>
      </c>
      <c r="AP283" s="19">
        <f>AK283*(1+AN283)</f>
        <v/>
      </c>
      <c r="AQ283" s="19">
        <f>AL283*(1+AO283)</f>
        <v/>
      </c>
      <c r="AR283" s="19">
        <f>IF(AND(CONFIG!$B$11="Annual",MONTH(AI283)=7),(AP283+AQ283)*CONFIG!$B$6/12,AR282)</f>
        <v/>
      </c>
      <c r="AS283" s="19">
        <f>MAX(0,AQ283-AR283)</f>
        <v/>
      </c>
      <c r="AT283">
        <f>IF(OR(MONTH(AI283)=3,MONTH(AI283)=6,MONTH(AI283)=9,MONTH(AI283)=12),"Y","N")</f>
        <v/>
      </c>
      <c r="AU283" s="21">
        <f>IF((AP283+AS283)=0,0,AS283/(AP283+AS283))</f>
        <v/>
      </c>
      <c r="AV283">
        <f>IF(AND(AT283="Y",OR(AU283&lt;CONFIG!$B$8,AU283&gt;CONFIG!$B$9)),"Y","N")</f>
        <v/>
      </c>
      <c r="AW283" s="19">
        <f>IF(AV283="Y",(AP283+AS283)*0.8,AP283)</f>
        <v/>
      </c>
      <c r="AX283" s="19">
        <f>IF(AV283="Y",(AP283+AS283)*0.2,AS283)</f>
        <v/>
      </c>
    </row>
  </sheetData>
  <mergeCells count="4">
    <mergeCell ref="AI2:AX2"/>
    <mergeCell ref="R2:AG2"/>
    <mergeCell ref="A1:R1"/>
    <mergeCell ref="A2:P2"/>
  </mergeCells>
  <conditionalFormatting sqref="N4:N283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AE4:AE283">
    <cfRule type="cellIs" priority="3" operator="equal" dxfId="0">
      <formula>"Y"</formula>
    </cfRule>
    <cfRule type="cellIs" priority="4" operator="equal" dxfId="1">
      <formula>"N"</formula>
    </cfRule>
  </conditionalFormatting>
  <conditionalFormatting sqref="AV4:AV283">
    <cfRule type="cellIs" priority="5" operator="equal" dxfId="0">
      <formula>"Y"</formula>
    </cfRule>
    <cfRule type="cellIs" priority="6" operator="equal" dxfId="1">
      <formula>"N"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AO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4" t="inlineStr">
        <is>
          <t>Benchmark: 80% Option / 20% Cash — No Rebalancing, Pro-Rata Drawdown</t>
        </is>
      </c>
    </row>
    <row r="2">
      <c r="A2" s="22" t="inlineStr">
        <is>
          <t>Benchmark: 80% Growth / 20% Cash</t>
        </is>
      </c>
      <c r="O2" s="22" t="inlineStr">
        <is>
          <t>Benchmark: 80% Balanced / 20% Cash</t>
        </is>
      </c>
      <c r="AC2" s="22" t="inlineStr">
        <is>
          <t>Benchmark: 80% Conservative / 20% Cash</t>
        </is>
      </c>
    </row>
    <row r="3">
      <c r="A3" s="23" t="inlineStr">
        <is>
          <t>Date</t>
        </is>
      </c>
      <c r="B3" s="23" t="inlineStr">
        <is>
          <t>Month #</t>
        </is>
      </c>
      <c r="C3" s="23" t="inlineStr">
        <is>
          <t>Growth Open</t>
        </is>
      </c>
      <c r="D3" s="23" t="inlineStr">
        <is>
          <t>Cash Open</t>
        </is>
      </c>
      <c r="E3" s="23" t="inlineStr">
        <is>
          <t>Total Open</t>
        </is>
      </c>
      <c r="F3" s="23" t="inlineStr">
        <is>
          <t>Growth Return</t>
        </is>
      </c>
      <c r="G3" s="23" t="inlineStr">
        <is>
          <t>Cash Return</t>
        </is>
      </c>
      <c r="H3" s="23" t="inlineStr">
        <is>
          <t>Growth Post-Return</t>
        </is>
      </c>
      <c r="I3" s="23" t="inlineStr">
        <is>
          <t>Cash Post-Return</t>
        </is>
      </c>
      <c r="J3" s="23" t="inlineStr">
        <is>
          <t>Total Pre-Drawdown</t>
        </is>
      </c>
      <c r="K3" s="23" t="inlineStr">
        <is>
          <t>Monthly Payment</t>
        </is>
      </c>
      <c r="L3" s="23" t="inlineStr">
        <is>
          <t>Growth Close</t>
        </is>
      </c>
      <c r="M3" s="23" t="inlineStr">
        <is>
          <t>Cash Close</t>
        </is>
      </c>
      <c r="O3" s="23" t="inlineStr">
        <is>
          <t>Date</t>
        </is>
      </c>
      <c r="P3" s="23" t="inlineStr">
        <is>
          <t>Month #</t>
        </is>
      </c>
      <c r="Q3" s="23" t="inlineStr">
        <is>
          <t>Balanced Open</t>
        </is>
      </c>
      <c r="R3" s="23" t="inlineStr">
        <is>
          <t>Cash Open</t>
        </is>
      </c>
      <c r="S3" s="23" t="inlineStr">
        <is>
          <t>Total Open</t>
        </is>
      </c>
      <c r="T3" s="23" t="inlineStr">
        <is>
          <t>Balanced Return</t>
        </is>
      </c>
      <c r="U3" s="23" t="inlineStr">
        <is>
          <t>Cash Return</t>
        </is>
      </c>
      <c r="V3" s="23" t="inlineStr">
        <is>
          <t>Balanced Post-Return</t>
        </is>
      </c>
      <c r="W3" s="23" t="inlineStr">
        <is>
          <t>Cash Post-Return</t>
        </is>
      </c>
      <c r="X3" s="23" t="inlineStr">
        <is>
          <t>Total Pre-Drawdown</t>
        </is>
      </c>
      <c r="Y3" s="23" t="inlineStr">
        <is>
          <t>Monthly Payment</t>
        </is>
      </c>
      <c r="Z3" s="23" t="inlineStr">
        <is>
          <t>Balanced Close</t>
        </is>
      </c>
      <c r="AA3" s="23" t="inlineStr">
        <is>
          <t>Cash Close</t>
        </is>
      </c>
      <c r="AC3" s="23" t="inlineStr">
        <is>
          <t>Date</t>
        </is>
      </c>
      <c r="AD3" s="23" t="inlineStr">
        <is>
          <t>Month #</t>
        </is>
      </c>
      <c r="AE3" s="23" t="inlineStr">
        <is>
          <t>Conservative Open</t>
        </is>
      </c>
      <c r="AF3" s="23" t="inlineStr">
        <is>
          <t>Cash Open</t>
        </is>
      </c>
      <c r="AG3" s="23" t="inlineStr">
        <is>
          <t>Total Open</t>
        </is>
      </c>
      <c r="AH3" s="23" t="inlineStr">
        <is>
          <t>Conservative Return</t>
        </is>
      </c>
      <c r="AI3" s="23" t="inlineStr">
        <is>
          <t>Cash Return</t>
        </is>
      </c>
      <c r="AJ3" s="23" t="inlineStr">
        <is>
          <t>Conservative Post-Return</t>
        </is>
      </c>
      <c r="AK3" s="23" t="inlineStr">
        <is>
          <t>Cash Post-Return</t>
        </is>
      </c>
      <c r="AL3" s="23" t="inlineStr">
        <is>
          <t>Total Pre-Drawdown</t>
        </is>
      </c>
      <c r="AM3" s="23" t="inlineStr">
        <is>
          <t>Monthly Payment</t>
        </is>
      </c>
      <c r="AN3" s="23" t="inlineStr">
        <is>
          <t>Conservative Close</t>
        </is>
      </c>
      <c r="AO3" s="23" t="inlineStr">
        <is>
          <t>Cash Close</t>
        </is>
      </c>
    </row>
    <row r="4">
      <c r="A4" s="18">
        <f>DATA!A4</f>
        <v/>
      </c>
      <c r="B4">
        <f>DATA!B4</f>
        <v/>
      </c>
      <c r="C4" s="19">
        <f>CONFIG!$B$5*0.8</f>
        <v/>
      </c>
      <c r="D4" s="19">
        <f>CONFIG!$B$5*0.2</f>
        <v/>
      </c>
      <c r="E4" s="19">
        <f>C4+D4</f>
        <v/>
      </c>
      <c r="F4" s="20">
        <f>DATA!C4</f>
        <v/>
      </c>
      <c r="G4" s="20">
        <f>DATA!G4</f>
        <v/>
      </c>
      <c r="H4" s="19">
        <f>C4*(1+F4)</f>
        <v/>
      </c>
      <c r="I4" s="19">
        <f>D4*(1+G4)</f>
        <v/>
      </c>
      <c r="J4" s="19">
        <f>H4+I4</f>
        <v/>
      </c>
      <c r="K4" s="19">
        <f>CONFIG!$B$5*CONFIG!$B$6/12</f>
        <v/>
      </c>
      <c r="L4" s="19">
        <f>IF(J4=0,0,H4-K4*H4/J4)</f>
        <v/>
      </c>
      <c r="M4" s="19">
        <f>IF(J4=0,0,I4-K4*I4/J4)</f>
        <v/>
      </c>
      <c r="O4" s="18">
        <f>DATA!A4</f>
        <v/>
      </c>
      <c r="P4">
        <f>DATA!B4</f>
        <v/>
      </c>
      <c r="Q4" s="19">
        <f>CONFIG!$B$5*0.8</f>
        <v/>
      </c>
      <c r="R4" s="19">
        <f>CONFIG!$B$5*0.2</f>
        <v/>
      </c>
      <c r="S4" s="19">
        <f>Q4+R4</f>
        <v/>
      </c>
      <c r="T4" s="20">
        <f>DATA!D4</f>
        <v/>
      </c>
      <c r="U4" s="20">
        <f>DATA!G4</f>
        <v/>
      </c>
      <c r="V4" s="19">
        <f>Q4*(1+T4)</f>
        <v/>
      </c>
      <c r="W4" s="19">
        <f>R4*(1+U4)</f>
        <v/>
      </c>
      <c r="X4" s="19">
        <f>V4+W4</f>
        <v/>
      </c>
      <c r="Y4" s="19">
        <f>CONFIG!$B$5*CONFIG!$B$6/12</f>
        <v/>
      </c>
      <c r="Z4" s="19">
        <f>IF(X4=0,0,V4-Y4*V4/X4)</f>
        <v/>
      </c>
      <c r="AA4" s="19">
        <f>IF(X4=0,0,W4-Y4*W4/X4)</f>
        <v/>
      </c>
      <c r="AC4" s="18">
        <f>DATA!A4</f>
        <v/>
      </c>
      <c r="AD4">
        <f>DATA!B4</f>
        <v/>
      </c>
      <c r="AE4" s="19">
        <f>CONFIG!$B$5*0.8</f>
        <v/>
      </c>
      <c r="AF4" s="19">
        <f>CONFIG!$B$5*0.2</f>
        <v/>
      </c>
      <c r="AG4" s="19">
        <f>AE4+AF4</f>
        <v/>
      </c>
      <c r="AH4" s="20">
        <f>DATA!E4</f>
        <v/>
      </c>
      <c r="AI4" s="20">
        <f>DATA!G4</f>
        <v/>
      </c>
      <c r="AJ4" s="19">
        <f>AE4*(1+AH4)</f>
        <v/>
      </c>
      <c r="AK4" s="19">
        <f>AF4*(1+AI4)</f>
        <v/>
      </c>
      <c r="AL4" s="19">
        <f>AJ4+AK4</f>
        <v/>
      </c>
      <c r="AM4" s="19">
        <f>CONFIG!$B$5*CONFIG!$B$6/12</f>
        <v/>
      </c>
      <c r="AN4" s="19">
        <f>IF(AL4=0,0,AJ4-AM4*AJ4/AL4)</f>
        <v/>
      </c>
      <c r="AO4" s="19">
        <f>IF(AL4=0,0,AK4-AM4*AK4/AL4)</f>
        <v/>
      </c>
    </row>
    <row r="5">
      <c r="A5" s="18">
        <f>DATA!A5</f>
        <v/>
      </c>
      <c r="B5">
        <f>DATA!B5</f>
        <v/>
      </c>
      <c r="C5" s="19">
        <f>L4</f>
        <v/>
      </c>
      <c r="D5" s="19">
        <f>M4</f>
        <v/>
      </c>
      <c r="E5" s="19">
        <f>C5+D5</f>
        <v/>
      </c>
      <c r="F5" s="20">
        <f>DATA!C5</f>
        <v/>
      </c>
      <c r="G5" s="20">
        <f>DATA!G5</f>
        <v/>
      </c>
      <c r="H5" s="19">
        <f>C5*(1+F5)</f>
        <v/>
      </c>
      <c r="I5" s="19">
        <f>D5*(1+G5)</f>
        <v/>
      </c>
      <c r="J5" s="19">
        <f>H5+I5</f>
        <v/>
      </c>
      <c r="K5" s="19">
        <f>IF(AND(CONFIG!$B$11="Annual",MONTH(A5)=7),J5*CONFIG!$B$6/12,K4)</f>
        <v/>
      </c>
      <c r="L5" s="19">
        <f>IF(J5=0,0,H5-K5*H5/J5)</f>
        <v/>
      </c>
      <c r="M5" s="19">
        <f>IF(J5=0,0,I5-K5*I5/J5)</f>
        <v/>
      </c>
      <c r="O5" s="18">
        <f>DATA!A5</f>
        <v/>
      </c>
      <c r="P5">
        <f>DATA!B5</f>
        <v/>
      </c>
      <c r="Q5" s="19">
        <f>Z4</f>
        <v/>
      </c>
      <c r="R5" s="19">
        <f>AA4</f>
        <v/>
      </c>
      <c r="S5" s="19">
        <f>Q5+R5</f>
        <v/>
      </c>
      <c r="T5" s="20">
        <f>DATA!D5</f>
        <v/>
      </c>
      <c r="U5" s="20">
        <f>DATA!G5</f>
        <v/>
      </c>
      <c r="V5" s="19">
        <f>Q5*(1+T5)</f>
        <v/>
      </c>
      <c r="W5" s="19">
        <f>R5*(1+U5)</f>
        <v/>
      </c>
      <c r="X5" s="19">
        <f>V5+W5</f>
        <v/>
      </c>
      <c r="Y5" s="19">
        <f>IF(AND(CONFIG!$B$11="Annual",MONTH(O5)=7),X5*CONFIG!$B$6/12,Y4)</f>
        <v/>
      </c>
      <c r="Z5" s="19">
        <f>IF(X5=0,0,V5-Y5*V5/X5)</f>
        <v/>
      </c>
      <c r="AA5" s="19">
        <f>IF(X5=0,0,W5-Y5*W5/X5)</f>
        <v/>
      </c>
      <c r="AC5" s="18">
        <f>DATA!A5</f>
        <v/>
      </c>
      <c r="AD5">
        <f>DATA!B5</f>
        <v/>
      </c>
      <c r="AE5" s="19">
        <f>AN4</f>
        <v/>
      </c>
      <c r="AF5" s="19">
        <f>AO4</f>
        <v/>
      </c>
      <c r="AG5" s="19">
        <f>AE5+AF5</f>
        <v/>
      </c>
      <c r="AH5" s="20">
        <f>DATA!E5</f>
        <v/>
      </c>
      <c r="AI5" s="20">
        <f>DATA!G5</f>
        <v/>
      </c>
      <c r="AJ5" s="19">
        <f>AE5*(1+AH5)</f>
        <v/>
      </c>
      <c r="AK5" s="19">
        <f>AF5*(1+AI5)</f>
        <v/>
      </c>
      <c r="AL5" s="19">
        <f>AJ5+AK5</f>
        <v/>
      </c>
      <c r="AM5" s="19">
        <f>IF(AND(CONFIG!$B$11="Annual",MONTH(AC5)=7),AL5*CONFIG!$B$6/12,AM4)</f>
        <v/>
      </c>
      <c r="AN5" s="19">
        <f>IF(AL5=0,0,AJ5-AM5*AJ5/AL5)</f>
        <v/>
      </c>
      <c r="AO5" s="19">
        <f>IF(AL5=0,0,AK5-AM5*AK5/AL5)</f>
        <v/>
      </c>
    </row>
    <row r="6">
      <c r="A6" s="18">
        <f>DATA!A6</f>
        <v/>
      </c>
      <c r="B6">
        <f>DATA!B6</f>
        <v/>
      </c>
      <c r="C6" s="19">
        <f>L5</f>
        <v/>
      </c>
      <c r="D6" s="19">
        <f>M5</f>
        <v/>
      </c>
      <c r="E6" s="19">
        <f>C6+D6</f>
        <v/>
      </c>
      <c r="F6" s="20">
        <f>DATA!C6</f>
        <v/>
      </c>
      <c r="G6" s="20">
        <f>DATA!G6</f>
        <v/>
      </c>
      <c r="H6" s="19">
        <f>C6*(1+F6)</f>
        <v/>
      </c>
      <c r="I6" s="19">
        <f>D6*(1+G6)</f>
        <v/>
      </c>
      <c r="J6" s="19">
        <f>H6+I6</f>
        <v/>
      </c>
      <c r="K6" s="19">
        <f>IF(AND(CONFIG!$B$11="Annual",MONTH(A6)=7),J6*CONFIG!$B$6/12,K5)</f>
        <v/>
      </c>
      <c r="L6" s="19">
        <f>IF(J6=0,0,H6-K6*H6/J6)</f>
        <v/>
      </c>
      <c r="M6" s="19">
        <f>IF(J6=0,0,I6-K6*I6/J6)</f>
        <v/>
      </c>
      <c r="O6" s="18">
        <f>DATA!A6</f>
        <v/>
      </c>
      <c r="P6">
        <f>DATA!B6</f>
        <v/>
      </c>
      <c r="Q6" s="19">
        <f>Z5</f>
        <v/>
      </c>
      <c r="R6" s="19">
        <f>AA5</f>
        <v/>
      </c>
      <c r="S6" s="19">
        <f>Q6+R6</f>
        <v/>
      </c>
      <c r="T6" s="20">
        <f>DATA!D6</f>
        <v/>
      </c>
      <c r="U6" s="20">
        <f>DATA!G6</f>
        <v/>
      </c>
      <c r="V6" s="19">
        <f>Q6*(1+T6)</f>
        <v/>
      </c>
      <c r="W6" s="19">
        <f>R6*(1+U6)</f>
        <v/>
      </c>
      <c r="X6" s="19">
        <f>V6+W6</f>
        <v/>
      </c>
      <c r="Y6" s="19">
        <f>IF(AND(CONFIG!$B$11="Annual",MONTH(O6)=7),X6*CONFIG!$B$6/12,Y5)</f>
        <v/>
      </c>
      <c r="Z6" s="19">
        <f>IF(X6=0,0,V6-Y6*V6/X6)</f>
        <v/>
      </c>
      <c r="AA6" s="19">
        <f>IF(X6=0,0,W6-Y6*W6/X6)</f>
        <v/>
      </c>
      <c r="AC6" s="18">
        <f>DATA!A6</f>
        <v/>
      </c>
      <c r="AD6">
        <f>DATA!B6</f>
        <v/>
      </c>
      <c r="AE6" s="19">
        <f>AN5</f>
        <v/>
      </c>
      <c r="AF6" s="19">
        <f>AO5</f>
        <v/>
      </c>
      <c r="AG6" s="19">
        <f>AE6+AF6</f>
        <v/>
      </c>
      <c r="AH6" s="20">
        <f>DATA!E6</f>
        <v/>
      </c>
      <c r="AI6" s="20">
        <f>DATA!G6</f>
        <v/>
      </c>
      <c r="AJ6" s="19">
        <f>AE6*(1+AH6)</f>
        <v/>
      </c>
      <c r="AK6" s="19">
        <f>AF6*(1+AI6)</f>
        <v/>
      </c>
      <c r="AL6" s="19">
        <f>AJ6+AK6</f>
        <v/>
      </c>
      <c r="AM6" s="19">
        <f>IF(AND(CONFIG!$B$11="Annual",MONTH(AC6)=7),AL6*CONFIG!$B$6/12,AM5)</f>
        <v/>
      </c>
      <c r="AN6" s="19">
        <f>IF(AL6=0,0,AJ6-AM6*AJ6/AL6)</f>
        <v/>
      </c>
      <c r="AO6" s="19">
        <f>IF(AL6=0,0,AK6-AM6*AK6/AL6)</f>
        <v/>
      </c>
    </row>
    <row r="7">
      <c r="A7" s="18">
        <f>DATA!A7</f>
        <v/>
      </c>
      <c r="B7">
        <f>DATA!B7</f>
        <v/>
      </c>
      <c r="C7" s="19">
        <f>L6</f>
        <v/>
      </c>
      <c r="D7" s="19">
        <f>M6</f>
        <v/>
      </c>
      <c r="E7" s="19">
        <f>C7+D7</f>
        <v/>
      </c>
      <c r="F7" s="20">
        <f>DATA!C7</f>
        <v/>
      </c>
      <c r="G7" s="20">
        <f>DATA!G7</f>
        <v/>
      </c>
      <c r="H7" s="19">
        <f>C7*(1+F7)</f>
        <v/>
      </c>
      <c r="I7" s="19">
        <f>D7*(1+G7)</f>
        <v/>
      </c>
      <c r="J7" s="19">
        <f>H7+I7</f>
        <v/>
      </c>
      <c r="K7" s="19">
        <f>IF(AND(CONFIG!$B$11="Annual",MONTH(A7)=7),J7*CONFIG!$B$6/12,K6)</f>
        <v/>
      </c>
      <c r="L7" s="19">
        <f>IF(J7=0,0,H7-K7*H7/J7)</f>
        <v/>
      </c>
      <c r="M7" s="19">
        <f>IF(J7=0,0,I7-K7*I7/J7)</f>
        <v/>
      </c>
      <c r="O7" s="18">
        <f>DATA!A7</f>
        <v/>
      </c>
      <c r="P7">
        <f>DATA!B7</f>
        <v/>
      </c>
      <c r="Q7" s="19">
        <f>Z6</f>
        <v/>
      </c>
      <c r="R7" s="19">
        <f>AA6</f>
        <v/>
      </c>
      <c r="S7" s="19">
        <f>Q7+R7</f>
        <v/>
      </c>
      <c r="T7" s="20">
        <f>DATA!D7</f>
        <v/>
      </c>
      <c r="U7" s="20">
        <f>DATA!G7</f>
        <v/>
      </c>
      <c r="V7" s="19">
        <f>Q7*(1+T7)</f>
        <v/>
      </c>
      <c r="W7" s="19">
        <f>R7*(1+U7)</f>
        <v/>
      </c>
      <c r="X7" s="19">
        <f>V7+W7</f>
        <v/>
      </c>
      <c r="Y7" s="19">
        <f>IF(AND(CONFIG!$B$11="Annual",MONTH(O7)=7),X7*CONFIG!$B$6/12,Y6)</f>
        <v/>
      </c>
      <c r="Z7" s="19">
        <f>IF(X7=0,0,V7-Y7*V7/X7)</f>
        <v/>
      </c>
      <c r="AA7" s="19">
        <f>IF(X7=0,0,W7-Y7*W7/X7)</f>
        <v/>
      </c>
      <c r="AC7" s="18">
        <f>DATA!A7</f>
        <v/>
      </c>
      <c r="AD7">
        <f>DATA!B7</f>
        <v/>
      </c>
      <c r="AE7" s="19">
        <f>AN6</f>
        <v/>
      </c>
      <c r="AF7" s="19">
        <f>AO6</f>
        <v/>
      </c>
      <c r="AG7" s="19">
        <f>AE7+AF7</f>
        <v/>
      </c>
      <c r="AH7" s="20">
        <f>DATA!E7</f>
        <v/>
      </c>
      <c r="AI7" s="20">
        <f>DATA!G7</f>
        <v/>
      </c>
      <c r="AJ7" s="19">
        <f>AE7*(1+AH7)</f>
        <v/>
      </c>
      <c r="AK7" s="19">
        <f>AF7*(1+AI7)</f>
        <v/>
      </c>
      <c r="AL7" s="19">
        <f>AJ7+AK7</f>
        <v/>
      </c>
      <c r="AM7" s="19">
        <f>IF(AND(CONFIG!$B$11="Annual",MONTH(AC7)=7),AL7*CONFIG!$B$6/12,AM6)</f>
        <v/>
      </c>
      <c r="AN7" s="19">
        <f>IF(AL7=0,0,AJ7-AM7*AJ7/AL7)</f>
        <v/>
      </c>
      <c r="AO7" s="19">
        <f>IF(AL7=0,0,AK7-AM7*AK7/AL7)</f>
        <v/>
      </c>
    </row>
    <row r="8">
      <c r="A8" s="18">
        <f>DATA!A8</f>
        <v/>
      </c>
      <c r="B8">
        <f>DATA!B8</f>
        <v/>
      </c>
      <c r="C8" s="19">
        <f>L7</f>
        <v/>
      </c>
      <c r="D8" s="19">
        <f>M7</f>
        <v/>
      </c>
      <c r="E8" s="19">
        <f>C8+D8</f>
        <v/>
      </c>
      <c r="F8" s="20">
        <f>DATA!C8</f>
        <v/>
      </c>
      <c r="G8" s="20">
        <f>DATA!G8</f>
        <v/>
      </c>
      <c r="H8" s="19">
        <f>C8*(1+F8)</f>
        <v/>
      </c>
      <c r="I8" s="19">
        <f>D8*(1+G8)</f>
        <v/>
      </c>
      <c r="J8" s="19">
        <f>H8+I8</f>
        <v/>
      </c>
      <c r="K8" s="19">
        <f>IF(AND(CONFIG!$B$11="Annual",MONTH(A8)=7),J8*CONFIG!$B$6/12,K7)</f>
        <v/>
      </c>
      <c r="L8" s="19">
        <f>IF(J8=0,0,H8-K8*H8/J8)</f>
        <v/>
      </c>
      <c r="M8" s="19">
        <f>IF(J8=0,0,I8-K8*I8/J8)</f>
        <v/>
      </c>
      <c r="O8" s="18">
        <f>DATA!A8</f>
        <v/>
      </c>
      <c r="P8">
        <f>DATA!B8</f>
        <v/>
      </c>
      <c r="Q8" s="19">
        <f>Z7</f>
        <v/>
      </c>
      <c r="R8" s="19">
        <f>AA7</f>
        <v/>
      </c>
      <c r="S8" s="19">
        <f>Q8+R8</f>
        <v/>
      </c>
      <c r="T8" s="20">
        <f>DATA!D8</f>
        <v/>
      </c>
      <c r="U8" s="20">
        <f>DATA!G8</f>
        <v/>
      </c>
      <c r="V8" s="19">
        <f>Q8*(1+T8)</f>
        <v/>
      </c>
      <c r="W8" s="19">
        <f>R8*(1+U8)</f>
        <v/>
      </c>
      <c r="X8" s="19">
        <f>V8+W8</f>
        <v/>
      </c>
      <c r="Y8" s="19">
        <f>IF(AND(CONFIG!$B$11="Annual",MONTH(O8)=7),X8*CONFIG!$B$6/12,Y7)</f>
        <v/>
      </c>
      <c r="Z8" s="19">
        <f>IF(X8=0,0,V8-Y8*V8/X8)</f>
        <v/>
      </c>
      <c r="AA8" s="19">
        <f>IF(X8=0,0,W8-Y8*W8/X8)</f>
        <v/>
      </c>
      <c r="AC8" s="18">
        <f>DATA!A8</f>
        <v/>
      </c>
      <c r="AD8">
        <f>DATA!B8</f>
        <v/>
      </c>
      <c r="AE8" s="19">
        <f>AN7</f>
        <v/>
      </c>
      <c r="AF8" s="19">
        <f>AO7</f>
        <v/>
      </c>
      <c r="AG8" s="19">
        <f>AE8+AF8</f>
        <v/>
      </c>
      <c r="AH8" s="20">
        <f>DATA!E8</f>
        <v/>
      </c>
      <c r="AI8" s="20">
        <f>DATA!G8</f>
        <v/>
      </c>
      <c r="AJ8" s="19">
        <f>AE8*(1+AH8)</f>
        <v/>
      </c>
      <c r="AK8" s="19">
        <f>AF8*(1+AI8)</f>
        <v/>
      </c>
      <c r="AL8" s="19">
        <f>AJ8+AK8</f>
        <v/>
      </c>
      <c r="AM8" s="19">
        <f>IF(AND(CONFIG!$B$11="Annual",MONTH(AC8)=7),AL8*CONFIG!$B$6/12,AM7)</f>
        <v/>
      </c>
      <c r="AN8" s="19">
        <f>IF(AL8=0,0,AJ8-AM8*AJ8/AL8)</f>
        <v/>
      </c>
      <c r="AO8" s="19">
        <f>IF(AL8=0,0,AK8-AM8*AK8/AL8)</f>
        <v/>
      </c>
    </row>
    <row r="9">
      <c r="A9" s="18">
        <f>DATA!A9</f>
        <v/>
      </c>
      <c r="B9">
        <f>DATA!B9</f>
        <v/>
      </c>
      <c r="C9" s="19">
        <f>L8</f>
        <v/>
      </c>
      <c r="D9" s="19">
        <f>M8</f>
        <v/>
      </c>
      <c r="E9" s="19">
        <f>C9+D9</f>
        <v/>
      </c>
      <c r="F9" s="20">
        <f>DATA!C9</f>
        <v/>
      </c>
      <c r="G9" s="20">
        <f>DATA!G9</f>
        <v/>
      </c>
      <c r="H9" s="19">
        <f>C9*(1+F9)</f>
        <v/>
      </c>
      <c r="I9" s="19">
        <f>D9*(1+G9)</f>
        <v/>
      </c>
      <c r="J9" s="19">
        <f>H9+I9</f>
        <v/>
      </c>
      <c r="K9" s="19">
        <f>IF(AND(CONFIG!$B$11="Annual",MONTH(A9)=7),J9*CONFIG!$B$6/12,K8)</f>
        <v/>
      </c>
      <c r="L9" s="19">
        <f>IF(J9=0,0,H9-K9*H9/J9)</f>
        <v/>
      </c>
      <c r="M9" s="19">
        <f>IF(J9=0,0,I9-K9*I9/J9)</f>
        <v/>
      </c>
      <c r="O9" s="18">
        <f>DATA!A9</f>
        <v/>
      </c>
      <c r="P9">
        <f>DATA!B9</f>
        <v/>
      </c>
      <c r="Q9" s="19">
        <f>Z8</f>
        <v/>
      </c>
      <c r="R9" s="19">
        <f>AA8</f>
        <v/>
      </c>
      <c r="S9" s="19">
        <f>Q9+R9</f>
        <v/>
      </c>
      <c r="T9" s="20">
        <f>DATA!D9</f>
        <v/>
      </c>
      <c r="U9" s="20">
        <f>DATA!G9</f>
        <v/>
      </c>
      <c r="V9" s="19">
        <f>Q9*(1+T9)</f>
        <v/>
      </c>
      <c r="W9" s="19">
        <f>R9*(1+U9)</f>
        <v/>
      </c>
      <c r="X9" s="19">
        <f>V9+W9</f>
        <v/>
      </c>
      <c r="Y9" s="19">
        <f>IF(AND(CONFIG!$B$11="Annual",MONTH(O9)=7),X9*CONFIG!$B$6/12,Y8)</f>
        <v/>
      </c>
      <c r="Z9" s="19">
        <f>IF(X9=0,0,V9-Y9*V9/X9)</f>
        <v/>
      </c>
      <c r="AA9" s="19">
        <f>IF(X9=0,0,W9-Y9*W9/X9)</f>
        <v/>
      </c>
      <c r="AC9" s="18">
        <f>DATA!A9</f>
        <v/>
      </c>
      <c r="AD9">
        <f>DATA!B9</f>
        <v/>
      </c>
      <c r="AE9" s="19">
        <f>AN8</f>
        <v/>
      </c>
      <c r="AF9" s="19">
        <f>AO8</f>
        <v/>
      </c>
      <c r="AG9" s="19">
        <f>AE9+AF9</f>
        <v/>
      </c>
      <c r="AH9" s="20">
        <f>DATA!E9</f>
        <v/>
      </c>
      <c r="AI9" s="20">
        <f>DATA!G9</f>
        <v/>
      </c>
      <c r="AJ9" s="19">
        <f>AE9*(1+AH9)</f>
        <v/>
      </c>
      <c r="AK9" s="19">
        <f>AF9*(1+AI9)</f>
        <v/>
      </c>
      <c r="AL9" s="19">
        <f>AJ9+AK9</f>
        <v/>
      </c>
      <c r="AM9" s="19">
        <f>IF(AND(CONFIG!$B$11="Annual",MONTH(AC9)=7),AL9*CONFIG!$B$6/12,AM8)</f>
        <v/>
      </c>
      <c r="AN9" s="19">
        <f>IF(AL9=0,0,AJ9-AM9*AJ9/AL9)</f>
        <v/>
      </c>
      <c r="AO9" s="19">
        <f>IF(AL9=0,0,AK9-AM9*AK9/AL9)</f>
        <v/>
      </c>
    </row>
    <row r="10">
      <c r="A10" s="18">
        <f>DATA!A10</f>
        <v/>
      </c>
      <c r="B10">
        <f>DATA!B10</f>
        <v/>
      </c>
      <c r="C10" s="19">
        <f>L9</f>
        <v/>
      </c>
      <c r="D10" s="19">
        <f>M9</f>
        <v/>
      </c>
      <c r="E10" s="19">
        <f>C10+D10</f>
        <v/>
      </c>
      <c r="F10" s="20">
        <f>DATA!C10</f>
        <v/>
      </c>
      <c r="G10" s="20">
        <f>DATA!G10</f>
        <v/>
      </c>
      <c r="H10" s="19">
        <f>C10*(1+F10)</f>
        <v/>
      </c>
      <c r="I10" s="19">
        <f>D10*(1+G10)</f>
        <v/>
      </c>
      <c r="J10" s="19">
        <f>H10+I10</f>
        <v/>
      </c>
      <c r="K10" s="19">
        <f>IF(AND(CONFIG!$B$11="Annual",MONTH(A10)=7),J10*CONFIG!$B$6/12,K9)</f>
        <v/>
      </c>
      <c r="L10" s="19">
        <f>IF(J10=0,0,H10-K10*H10/J10)</f>
        <v/>
      </c>
      <c r="M10" s="19">
        <f>IF(J10=0,0,I10-K10*I10/J10)</f>
        <v/>
      </c>
      <c r="O10" s="18">
        <f>DATA!A10</f>
        <v/>
      </c>
      <c r="P10">
        <f>DATA!B10</f>
        <v/>
      </c>
      <c r="Q10" s="19">
        <f>Z9</f>
        <v/>
      </c>
      <c r="R10" s="19">
        <f>AA9</f>
        <v/>
      </c>
      <c r="S10" s="19">
        <f>Q10+R10</f>
        <v/>
      </c>
      <c r="T10" s="20">
        <f>DATA!D10</f>
        <v/>
      </c>
      <c r="U10" s="20">
        <f>DATA!G10</f>
        <v/>
      </c>
      <c r="V10" s="19">
        <f>Q10*(1+T10)</f>
        <v/>
      </c>
      <c r="W10" s="19">
        <f>R10*(1+U10)</f>
        <v/>
      </c>
      <c r="X10" s="19">
        <f>V10+W10</f>
        <v/>
      </c>
      <c r="Y10" s="19">
        <f>IF(AND(CONFIG!$B$11="Annual",MONTH(O10)=7),X10*CONFIG!$B$6/12,Y9)</f>
        <v/>
      </c>
      <c r="Z10" s="19">
        <f>IF(X10=0,0,V10-Y10*V10/X10)</f>
        <v/>
      </c>
      <c r="AA10" s="19">
        <f>IF(X10=0,0,W10-Y10*W10/X10)</f>
        <v/>
      </c>
      <c r="AC10" s="18">
        <f>DATA!A10</f>
        <v/>
      </c>
      <c r="AD10">
        <f>DATA!B10</f>
        <v/>
      </c>
      <c r="AE10" s="19">
        <f>AN9</f>
        <v/>
      </c>
      <c r="AF10" s="19">
        <f>AO9</f>
        <v/>
      </c>
      <c r="AG10" s="19">
        <f>AE10+AF10</f>
        <v/>
      </c>
      <c r="AH10" s="20">
        <f>DATA!E10</f>
        <v/>
      </c>
      <c r="AI10" s="20">
        <f>DATA!G10</f>
        <v/>
      </c>
      <c r="AJ10" s="19">
        <f>AE10*(1+AH10)</f>
        <v/>
      </c>
      <c r="AK10" s="19">
        <f>AF10*(1+AI10)</f>
        <v/>
      </c>
      <c r="AL10" s="19">
        <f>AJ10+AK10</f>
        <v/>
      </c>
      <c r="AM10" s="19">
        <f>IF(AND(CONFIG!$B$11="Annual",MONTH(AC10)=7),AL10*CONFIG!$B$6/12,AM9)</f>
        <v/>
      </c>
      <c r="AN10" s="19">
        <f>IF(AL10=0,0,AJ10-AM10*AJ10/AL10)</f>
        <v/>
      </c>
      <c r="AO10" s="19">
        <f>IF(AL10=0,0,AK10-AM10*AK10/AL10)</f>
        <v/>
      </c>
    </row>
    <row r="11">
      <c r="A11" s="18">
        <f>DATA!A11</f>
        <v/>
      </c>
      <c r="B11">
        <f>DATA!B11</f>
        <v/>
      </c>
      <c r="C11" s="19">
        <f>L10</f>
        <v/>
      </c>
      <c r="D11" s="19">
        <f>M10</f>
        <v/>
      </c>
      <c r="E11" s="19">
        <f>C11+D11</f>
        <v/>
      </c>
      <c r="F11" s="20">
        <f>DATA!C11</f>
        <v/>
      </c>
      <c r="G11" s="20">
        <f>DATA!G11</f>
        <v/>
      </c>
      <c r="H11" s="19">
        <f>C11*(1+F11)</f>
        <v/>
      </c>
      <c r="I11" s="19">
        <f>D11*(1+G11)</f>
        <v/>
      </c>
      <c r="J11" s="19">
        <f>H11+I11</f>
        <v/>
      </c>
      <c r="K11" s="19">
        <f>IF(AND(CONFIG!$B$11="Annual",MONTH(A11)=7),J11*CONFIG!$B$6/12,K10)</f>
        <v/>
      </c>
      <c r="L11" s="19">
        <f>IF(J11=0,0,H11-K11*H11/J11)</f>
        <v/>
      </c>
      <c r="M11" s="19">
        <f>IF(J11=0,0,I11-K11*I11/J11)</f>
        <v/>
      </c>
      <c r="O11" s="18">
        <f>DATA!A11</f>
        <v/>
      </c>
      <c r="P11">
        <f>DATA!B11</f>
        <v/>
      </c>
      <c r="Q11" s="19">
        <f>Z10</f>
        <v/>
      </c>
      <c r="R11" s="19">
        <f>AA10</f>
        <v/>
      </c>
      <c r="S11" s="19">
        <f>Q11+R11</f>
        <v/>
      </c>
      <c r="T11" s="20">
        <f>DATA!D11</f>
        <v/>
      </c>
      <c r="U11" s="20">
        <f>DATA!G11</f>
        <v/>
      </c>
      <c r="V11" s="19">
        <f>Q11*(1+T11)</f>
        <v/>
      </c>
      <c r="W11" s="19">
        <f>R11*(1+U11)</f>
        <v/>
      </c>
      <c r="X11" s="19">
        <f>V11+W11</f>
        <v/>
      </c>
      <c r="Y11" s="19">
        <f>IF(AND(CONFIG!$B$11="Annual",MONTH(O11)=7),X11*CONFIG!$B$6/12,Y10)</f>
        <v/>
      </c>
      <c r="Z11" s="19">
        <f>IF(X11=0,0,V11-Y11*V11/X11)</f>
        <v/>
      </c>
      <c r="AA11" s="19">
        <f>IF(X11=0,0,W11-Y11*W11/X11)</f>
        <v/>
      </c>
      <c r="AC11" s="18">
        <f>DATA!A11</f>
        <v/>
      </c>
      <c r="AD11">
        <f>DATA!B11</f>
        <v/>
      </c>
      <c r="AE11" s="19">
        <f>AN10</f>
        <v/>
      </c>
      <c r="AF11" s="19">
        <f>AO10</f>
        <v/>
      </c>
      <c r="AG11" s="19">
        <f>AE11+AF11</f>
        <v/>
      </c>
      <c r="AH11" s="20">
        <f>DATA!E11</f>
        <v/>
      </c>
      <c r="AI11" s="20">
        <f>DATA!G11</f>
        <v/>
      </c>
      <c r="AJ11" s="19">
        <f>AE11*(1+AH11)</f>
        <v/>
      </c>
      <c r="AK11" s="19">
        <f>AF11*(1+AI11)</f>
        <v/>
      </c>
      <c r="AL11" s="19">
        <f>AJ11+AK11</f>
        <v/>
      </c>
      <c r="AM11" s="19">
        <f>IF(AND(CONFIG!$B$11="Annual",MONTH(AC11)=7),AL11*CONFIG!$B$6/12,AM10)</f>
        <v/>
      </c>
      <c r="AN11" s="19">
        <f>IF(AL11=0,0,AJ11-AM11*AJ11/AL11)</f>
        <v/>
      </c>
      <c r="AO11" s="19">
        <f>IF(AL11=0,0,AK11-AM11*AK11/AL11)</f>
        <v/>
      </c>
    </row>
    <row r="12">
      <c r="A12" s="18">
        <f>DATA!A12</f>
        <v/>
      </c>
      <c r="B12">
        <f>DATA!B12</f>
        <v/>
      </c>
      <c r="C12" s="19">
        <f>L11</f>
        <v/>
      </c>
      <c r="D12" s="19">
        <f>M11</f>
        <v/>
      </c>
      <c r="E12" s="19">
        <f>C12+D12</f>
        <v/>
      </c>
      <c r="F12" s="20">
        <f>DATA!C12</f>
        <v/>
      </c>
      <c r="G12" s="20">
        <f>DATA!G12</f>
        <v/>
      </c>
      <c r="H12" s="19">
        <f>C12*(1+F12)</f>
        <v/>
      </c>
      <c r="I12" s="19">
        <f>D12*(1+G12)</f>
        <v/>
      </c>
      <c r="J12" s="19">
        <f>H12+I12</f>
        <v/>
      </c>
      <c r="K12" s="19">
        <f>IF(AND(CONFIG!$B$11="Annual",MONTH(A12)=7),J12*CONFIG!$B$6/12,K11)</f>
        <v/>
      </c>
      <c r="L12" s="19">
        <f>IF(J12=0,0,H12-K12*H12/J12)</f>
        <v/>
      </c>
      <c r="M12" s="19">
        <f>IF(J12=0,0,I12-K12*I12/J12)</f>
        <v/>
      </c>
      <c r="O12" s="18">
        <f>DATA!A12</f>
        <v/>
      </c>
      <c r="P12">
        <f>DATA!B12</f>
        <v/>
      </c>
      <c r="Q12" s="19">
        <f>Z11</f>
        <v/>
      </c>
      <c r="R12" s="19">
        <f>AA11</f>
        <v/>
      </c>
      <c r="S12" s="19">
        <f>Q12+R12</f>
        <v/>
      </c>
      <c r="T12" s="20">
        <f>DATA!D12</f>
        <v/>
      </c>
      <c r="U12" s="20">
        <f>DATA!G12</f>
        <v/>
      </c>
      <c r="V12" s="19">
        <f>Q12*(1+T12)</f>
        <v/>
      </c>
      <c r="W12" s="19">
        <f>R12*(1+U12)</f>
        <v/>
      </c>
      <c r="X12" s="19">
        <f>V12+W12</f>
        <v/>
      </c>
      <c r="Y12" s="19">
        <f>IF(AND(CONFIG!$B$11="Annual",MONTH(O12)=7),X12*CONFIG!$B$6/12,Y11)</f>
        <v/>
      </c>
      <c r="Z12" s="19">
        <f>IF(X12=0,0,V12-Y12*V12/X12)</f>
        <v/>
      </c>
      <c r="AA12" s="19">
        <f>IF(X12=0,0,W12-Y12*W12/X12)</f>
        <v/>
      </c>
      <c r="AC12" s="18">
        <f>DATA!A12</f>
        <v/>
      </c>
      <c r="AD12">
        <f>DATA!B12</f>
        <v/>
      </c>
      <c r="AE12" s="19">
        <f>AN11</f>
        <v/>
      </c>
      <c r="AF12" s="19">
        <f>AO11</f>
        <v/>
      </c>
      <c r="AG12" s="19">
        <f>AE12+AF12</f>
        <v/>
      </c>
      <c r="AH12" s="20">
        <f>DATA!E12</f>
        <v/>
      </c>
      <c r="AI12" s="20">
        <f>DATA!G12</f>
        <v/>
      </c>
      <c r="AJ12" s="19">
        <f>AE12*(1+AH12)</f>
        <v/>
      </c>
      <c r="AK12" s="19">
        <f>AF12*(1+AI12)</f>
        <v/>
      </c>
      <c r="AL12" s="19">
        <f>AJ12+AK12</f>
        <v/>
      </c>
      <c r="AM12" s="19">
        <f>IF(AND(CONFIG!$B$11="Annual",MONTH(AC12)=7),AL12*CONFIG!$B$6/12,AM11)</f>
        <v/>
      </c>
      <c r="AN12" s="19">
        <f>IF(AL12=0,0,AJ12-AM12*AJ12/AL12)</f>
        <v/>
      </c>
      <c r="AO12" s="19">
        <f>IF(AL12=0,0,AK12-AM12*AK12/AL12)</f>
        <v/>
      </c>
    </row>
    <row r="13">
      <c r="A13" s="18">
        <f>DATA!A13</f>
        <v/>
      </c>
      <c r="B13">
        <f>DATA!B13</f>
        <v/>
      </c>
      <c r="C13" s="19">
        <f>L12</f>
        <v/>
      </c>
      <c r="D13" s="19">
        <f>M12</f>
        <v/>
      </c>
      <c r="E13" s="19">
        <f>C13+D13</f>
        <v/>
      </c>
      <c r="F13" s="20">
        <f>DATA!C13</f>
        <v/>
      </c>
      <c r="G13" s="20">
        <f>DATA!G13</f>
        <v/>
      </c>
      <c r="H13" s="19">
        <f>C13*(1+F13)</f>
        <v/>
      </c>
      <c r="I13" s="19">
        <f>D13*(1+G13)</f>
        <v/>
      </c>
      <c r="J13" s="19">
        <f>H13+I13</f>
        <v/>
      </c>
      <c r="K13" s="19">
        <f>IF(AND(CONFIG!$B$11="Annual",MONTH(A13)=7),J13*CONFIG!$B$6/12,K12)</f>
        <v/>
      </c>
      <c r="L13" s="19">
        <f>IF(J13=0,0,H13-K13*H13/J13)</f>
        <v/>
      </c>
      <c r="M13" s="19">
        <f>IF(J13=0,0,I13-K13*I13/J13)</f>
        <v/>
      </c>
      <c r="O13" s="18">
        <f>DATA!A13</f>
        <v/>
      </c>
      <c r="P13">
        <f>DATA!B13</f>
        <v/>
      </c>
      <c r="Q13" s="19">
        <f>Z12</f>
        <v/>
      </c>
      <c r="R13" s="19">
        <f>AA12</f>
        <v/>
      </c>
      <c r="S13" s="19">
        <f>Q13+R13</f>
        <v/>
      </c>
      <c r="T13" s="20">
        <f>DATA!D13</f>
        <v/>
      </c>
      <c r="U13" s="20">
        <f>DATA!G13</f>
        <v/>
      </c>
      <c r="V13" s="19">
        <f>Q13*(1+T13)</f>
        <v/>
      </c>
      <c r="W13" s="19">
        <f>R13*(1+U13)</f>
        <v/>
      </c>
      <c r="X13" s="19">
        <f>V13+W13</f>
        <v/>
      </c>
      <c r="Y13" s="19">
        <f>IF(AND(CONFIG!$B$11="Annual",MONTH(O13)=7),X13*CONFIG!$B$6/12,Y12)</f>
        <v/>
      </c>
      <c r="Z13" s="19">
        <f>IF(X13=0,0,V13-Y13*V13/X13)</f>
        <v/>
      </c>
      <c r="AA13" s="19">
        <f>IF(X13=0,0,W13-Y13*W13/X13)</f>
        <v/>
      </c>
      <c r="AC13" s="18">
        <f>DATA!A13</f>
        <v/>
      </c>
      <c r="AD13">
        <f>DATA!B13</f>
        <v/>
      </c>
      <c r="AE13" s="19">
        <f>AN12</f>
        <v/>
      </c>
      <c r="AF13" s="19">
        <f>AO12</f>
        <v/>
      </c>
      <c r="AG13" s="19">
        <f>AE13+AF13</f>
        <v/>
      </c>
      <c r="AH13" s="20">
        <f>DATA!E13</f>
        <v/>
      </c>
      <c r="AI13" s="20">
        <f>DATA!G13</f>
        <v/>
      </c>
      <c r="AJ13" s="19">
        <f>AE13*(1+AH13)</f>
        <v/>
      </c>
      <c r="AK13" s="19">
        <f>AF13*(1+AI13)</f>
        <v/>
      </c>
      <c r="AL13" s="19">
        <f>AJ13+AK13</f>
        <v/>
      </c>
      <c r="AM13" s="19">
        <f>IF(AND(CONFIG!$B$11="Annual",MONTH(AC13)=7),AL13*CONFIG!$B$6/12,AM12)</f>
        <v/>
      </c>
      <c r="AN13" s="19">
        <f>IF(AL13=0,0,AJ13-AM13*AJ13/AL13)</f>
        <v/>
      </c>
      <c r="AO13" s="19">
        <f>IF(AL13=0,0,AK13-AM13*AK13/AL13)</f>
        <v/>
      </c>
    </row>
    <row r="14">
      <c r="A14" s="18">
        <f>DATA!A14</f>
        <v/>
      </c>
      <c r="B14">
        <f>DATA!B14</f>
        <v/>
      </c>
      <c r="C14" s="19">
        <f>L13</f>
        <v/>
      </c>
      <c r="D14" s="19">
        <f>M13</f>
        <v/>
      </c>
      <c r="E14" s="19">
        <f>C14+D14</f>
        <v/>
      </c>
      <c r="F14" s="20">
        <f>DATA!C14</f>
        <v/>
      </c>
      <c r="G14" s="20">
        <f>DATA!G14</f>
        <v/>
      </c>
      <c r="H14" s="19">
        <f>C14*(1+F14)</f>
        <v/>
      </c>
      <c r="I14" s="19">
        <f>D14*(1+G14)</f>
        <v/>
      </c>
      <c r="J14" s="19">
        <f>H14+I14</f>
        <v/>
      </c>
      <c r="K14" s="19">
        <f>IF(AND(CONFIG!$B$11="Annual",MONTH(A14)=7),J14*CONFIG!$B$6/12,K13)</f>
        <v/>
      </c>
      <c r="L14" s="19">
        <f>IF(J14=0,0,H14-K14*H14/J14)</f>
        <v/>
      </c>
      <c r="M14" s="19">
        <f>IF(J14=0,0,I14-K14*I14/J14)</f>
        <v/>
      </c>
      <c r="O14" s="18">
        <f>DATA!A14</f>
        <v/>
      </c>
      <c r="P14">
        <f>DATA!B14</f>
        <v/>
      </c>
      <c r="Q14" s="19">
        <f>Z13</f>
        <v/>
      </c>
      <c r="R14" s="19">
        <f>AA13</f>
        <v/>
      </c>
      <c r="S14" s="19">
        <f>Q14+R14</f>
        <v/>
      </c>
      <c r="T14" s="20">
        <f>DATA!D14</f>
        <v/>
      </c>
      <c r="U14" s="20">
        <f>DATA!G14</f>
        <v/>
      </c>
      <c r="V14" s="19">
        <f>Q14*(1+T14)</f>
        <v/>
      </c>
      <c r="W14" s="19">
        <f>R14*(1+U14)</f>
        <v/>
      </c>
      <c r="X14" s="19">
        <f>V14+W14</f>
        <v/>
      </c>
      <c r="Y14" s="19">
        <f>IF(AND(CONFIG!$B$11="Annual",MONTH(O14)=7),X14*CONFIG!$B$6/12,Y13)</f>
        <v/>
      </c>
      <c r="Z14" s="19">
        <f>IF(X14=0,0,V14-Y14*V14/X14)</f>
        <v/>
      </c>
      <c r="AA14" s="19">
        <f>IF(X14=0,0,W14-Y14*W14/X14)</f>
        <v/>
      </c>
      <c r="AC14" s="18">
        <f>DATA!A14</f>
        <v/>
      </c>
      <c r="AD14">
        <f>DATA!B14</f>
        <v/>
      </c>
      <c r="AE14" s="19">
        <f>AN13</f>
        <v/>
      </c>
      <c r="AF14" s="19">
        <f>AO13</f>
        <v/>
      </c>
      <c r="AG14" s="19">
        <f>AE14+AF14</f>
        <v/>
      </c>
      <c r="AH14" s="20">
        <f>DATA!E14</f>
        <v/>
      </c>
      <c r="AI14" s="20">
        <f>DATA!G14</f>
        <v/>
      </c>
      <c r="AJ14" s="19">
        <f>AE14*(1+AH14)</f>
        <v/>
      </c>
      <c r="AK14" s="19">
        <f>AF14*(1+AI14)</f>
        <v/>
      </c>
      <c r="AL14" s="19">
        <f>AJ14+AK14</f>
        <v/>
      </c>
      <c r="AM14" s="19">
        <f>IF(AND(CONFIG!$B$11="Annual",MONTH(AC14)=7),AL14*CONFIG!$B$6/12,AM13)</f>
        <v/>
      </c>
      <c r="AN14" s="19">
        <f>IF(AL14=0,0,AJ14-AM14*AJ14/AL14)</f>
        <v/>
      </c>
      <c r="AO14" s="19">
        <f>IF(AL14=0,0,AK14-AM14*AK14/AL14)</f>
        <v/>
      </c>
    </row>
    <row r="15">
      <c r="A15" s="18">
        <f>DATA!A15</f>
        <v/>
      </c>
      <c r="B15">
        <f>DATA!B15</f>
        <v/>
      </c>
      <c r="C15" s="19">
        <f>L14</f>
        <v/>
      </c>
      <c r="D15" s="19">
        <f>M14</f>
        <v/>
      </c>
      <c r="E15" s="19">
        <f>C15+D15</f>
        <v/>
      </c>
      <c r="F15" s="20">
        <f>DATA!C15</f>
        <v/>
      </c>
      <c r="G15" s="20">
        <f>DATA!G15</f>
        <v/>
      </c>
      <c r="H15" s="19">
        <f>C15*(1+F15)</f>
        <v/>
      </c>
      <c r="I15" s="19">
        <f>D15*(1+G15)</f>
        <v/>
      </c>
      <c r="J15" s="19">
        <f>H15+I15</f>
        <v/>
      </c>
      <c r="K15" s="19">
        <f>IF(AND(CONFIG!$B$11="Annual",MONTH(A15)=7),J15*CONFIG!$B$6/12,K14)</f>
        <v/>
      </c>
      <c r="L15" s="19">
        <f>IF(J15=0,0,H15-K15*H15/J15)</f>
        <v/>
      </c>
      <c r="M15" s="19">
        <f>IF(J15=0,0,I15-K15*I15/J15)</f>
        <v/>
      </c>
      <c r="O15" s="18">
        <f>DATA!A15</f>
        <v/>
      </c>
      <c r="P15">
        <f>DATA!B15</f>
        <v/>
      </c>
      <c r="Q15" s="19">
        <f>Z14</f>
        <v/>
      </c>
      <c r="R15" s="19">
        <f>AA14</f>
        <v/>
      </c>
      <c r="S15" s="19">
        <f>Q15+R15</f>
        <v/>
      </c>
      <c r="T15" s="20">
        <f>DATA!D15</f>
        <v/>
      </c>
      <c r="U15" s="20">
        <f>DATA!G15</f>
        <v/>
      </c>
      <c r="V15" s="19">
        <f>Q15*(1+T15)</f>
        <v/>
      </c>
      <c r="W15" s="19">
        <f>R15*(1+U15)</f>
        <v/>
      </c>
      <c r="X15" s="19">
        <f>V15+W15</f>
        <v/>
      </c>
      <c r="Y15" s="19">
        <f>IF(AND(CONFIG!$B$11="Annual",MONTH(O15)=7),X15*CONFIG!$B$6/12,Y14)</f>
        <v/>
      </c>
      <c r="Z15" s="19">
        <f>IF(X15=0,0,V15-Y15*V15/X15)</f>
        <v/>
      </c>
      <c r="AA15" s="19">
        <f>IF(X15=0,0,W15-Y15*W15/X15)</f>
        <v/>
      </c>
      <c r="AC15" s="18">
        <f>DATA!A15</f>
        <v/>
      </c>
      <c r="AD15">
        <f>DATA!B15</f>
        <v/>
      </c>
      <c r="AE15" s="19">
        <f>AN14</f>
        <v/>
      </c>
      <c r="AF15" s="19">
        <f>AO14</f>
        <v/>
      </c>
      <c r="AG15" s="19">
        <f>AE15+AF15</f>
        <v/>
      </c>
      <c r="AH15" s="20">
        <f>DATA!E15</f>
        <v/>
      </c>
      <c r="AI15" s="20">
        <f>DATA!G15</f>
        <v/>
      </c>
      <c r="AJ15" s="19">
        <f>AE15*(1+AH15)</f>
        <v/>
      </c>
      <c r="AK15" s="19">
        <f>AF15*(1+AI15)</f>
        <v/>
      </c>
      <c r="AL15" s="19">
        <f>AJ15+AK15</f>
        <v/>
      </c>
      <c r="AM15" s="19">
        <f>IF(AND(CONFIG!$B$11="Annual",MONTH(AC15)=7),AL15*CONFIG!$B$6/12,AM14)</f>
        <v/>
      </c>
      <c r="AN15" s="19">
        <f>IF(AL15=0,0,AJ15-AM15*AJ15/AL15)</f>
        <v/>
      </c>
      <c r="AO15" s="19">
        <f>IF(AL15=0,0,AK15-AM15*AK15/AL15)</f>
        <v/>
      </c>
    </row>
    <row r="16">
      <c r="A16" s="18">
        <f>DATA!A16</f>
        <v/>
      </c>
      <c r="B16">
        <f>DATA!B16</f>
        <v/>
      </c>
      <c r="C16" s="19">
        <f>L15</f>
        <v/>
      </c>
      <c r="D16" s="19">
        <f>M15</f>
        <v/>
      </c>
      <c r="E16" s="19">
        <f>C16+D16</f>
        <v/>
      </c>
      <c r="F16" s="20">
        <f>DATA!C16</f>
        <v/>
      </c>
      <c r="G16" s="20">
        <f>DATA!G16</f>
        <v/>
      </c>
      <c r="H16" s="19">
        <f>C16*(1+F16)</f>
        <v/>
      </c>
      <c r="I16" s="19">
        <f>D16*(1+G16)</f>
        <v/>
      </c>
      <c r="J16" s="19">
        <f>H16+I16</f>
        <v/>
      </c>
      <c r="K16" s="19">
        <f>IF(AND(CONFIG!$B$11="Annual",MONTH(A16)=7),J16*CONFIG!$B$6/12,K15)</f>
        <v/>
      </c>
      <c r="L16" s="19">
        <f>IF(J16=0,0,H16-K16*H16/J16)</f>
        <v/>
      </c>
      <c r="M16" s="19">
        <f>IF(J16=0,0,I16-K16*I16/J16)</f>
        <v/>
      </c>
      <c r="O16" s="18">
        <f>DATA!A16</f>
        <v/>
      </c>
      <c r="P16">
        <f>DATA!B16</f>
        <v/>
      </c>
      <c r="Q16" s="19">
        <f>Z15</f>
        <v/>
      </c>
      <c r="R16" s="19">
        <f>AA15</f>
        <v/>
      </c>
      <c r="S16" s="19">
        <f>Q16+R16</f>
        <v/>
      </c>
      <c r="T16" s="20">
        <f>DATA!D16</f>
        <v/>
      </c>
      <c r="U16" s="20">
        <f>DATA!G16</f>
        <v/>
      </c>
      <c r="V16" s="19">
        <f>Q16*(1+T16)</f>
        <v/>
      </c>
      <c r="W16" s="19">
        <f>R16*(1+U16)</f>
        <v/>
      </c>
      <c r="X16" s="19">
        <f>V16+W16</f>
        <v/>
      </c>
      <c r="Y16" s="19">
        <f>IF(AND(CONFIG!$B$11="Annual",MONTH(O16)=7),X16*CONFIG!$B$6/12,Y15)</f>
        <v/>
      </c>
      <c r="Z16" s="19">
        <f>IF(X16=0,0,V16-Y16*V16/X16)</f>
        <v/>
      </c>
      <c r="AA16" s="19">
        <f>IF(X16=0,0,W16-Y16*W16/X16)</f>
        <v/>
      </c>
      <c r="AC16" s="18">
        <f>DATA!A16</f>
        <v/>
      </c>
      <c r="AD16">
        <f>DATA!B16</f>
        <v/>
      </c>
      <c r="AE16" s="19">
        <f>AN15</f>
        <v/>
      </c>
      <c r="AF16" s="19">
        <f>AO15</f>
        <v/>
      </c>
      <c r="AG16" s="19">
        <f>AE16+AF16</f>
        <v/>
      </c>
      <c r="AH16" s="20">
        <f>DATA!E16</f>
        <v/>
      </c>
      <c r="AI16" s="20">
        <f>DATA!G16</f>
        <v/>
      </c>
      <c r="AJ16" s="19">
        <f>AE16*(1+AH16)</f>
        <v/>
      </c>
      <c r="AK16" s="19">
        <f>AF16*(1+AI16)</f>
        <v/>
      </c>
      <c r="AL16" s="19">
        <f>AJ16+AK16</f>
        <v/>
      </c>
      <c r="AM16" s="19">
        <f>IF(AND(CONFIG!$B$11="Annual",MONTH(AC16)=7),AL16*CONFIG!$B$6/12,AM15)</f>
        <v/>
      </c>
      <c r="AN16" s="19">
        <f>IF(AL16=0,0,AJ16-AM16*AJ16/AL16)</f>
        <v/>
      </c>
      <c r="AO16" s="19">
        <f>IF(AL16=0,0,AK16-AM16*AK16/AL16)</f>
        <v/>
      </c>
    </row>
    <row r="17">
      <c r="A17" s="18">
        <f>DATA!A17</f>
        <v/>
      </c>
      <c r="B17">
        <f>DATA!B17</f>
        <v/>
      </c>
      <c r="C17" s="19">
        <f>L16</f>
        <v/>
      </c>
      <c r="D17" s="19">
        <f>M16</f>
        <v/>
      </c>
      <c r="E17" s="19">
        <f>C17+D17</f>
        <v/>
      </c>
      <c r="F17" s="20">
        <f>DATA!C17</f>
        <v/>
      </c>
      <c r="G17" s="20">
        <f>DATA!G17</f>
        <v/>
      </c>
      <c r="H17" s="19">
        <f>C17*(1+F17)</f>
        <v/>
      </c>
      <c r="I17" s="19">
        <f>D17*(1+G17)</f>
        <v/>
      </c>
      <c r="J17" s="19">
        <f>H17+I17</f>
        <v/>
      </c>
      <c r="K17" s="19">
        <f>IF(AND(CONFIG!$B$11="Annual",MONTH(A17)=7),J17*CONFIG!$B$6/12,K16)</f>
        <v/>
      </c>
      <c r="L17" s="19">
        <f>IF(J17=0,0,H17-K17*H17/J17)</f>
        <v/>
      </c>
      <c r="M17" s="19">
        <f>IF(J17=0,0,I17-K17*I17/J17)</f>
        <v/>
      </c>
      <c r="O17" s="18">
        <f>DATA!A17</f>
        <v/>
      </c>
      <c r="P17">
        <f>DATA!B17</f>
        <v/>
      </c>
      <c r="Q17" s="19">
        <f>Z16</f>
        <v/>
      </c>
      <c r="R17" s="19">
        <f>AA16</f>
        <v/>
      </c>
      <c r="S17" s="19">
        <f>Q17+R17</f>
        <v/>
      </c>
      <c r="T17" s="20">
        <f>DATA!D17</f>
        <v/>
      </c>
      <c r="U17" s="20">
        <f>DATA!G17</f>
        <v/>
      </c>
      <c r="V17" s="19">
        <f>Q17*(1+T17)</f>
        <v/>
      </c>
      <c r="W17" s="19">
        <f>R17*(1+U17)</f>
        <v/>
      </c>
      <c r="X17" s="19">
        <f>V17+W17</f>
        <v/>
      </c>
      <c r="Y17" s="19">
        <f>IF(AND(CONFIG!$B$11="Annual",MONTH(O17)=7),X17*CONFIG!$B$6/12,Y16)</f>
        <v/>
      </c>
      <c r="Z17" s="19">
        <f>IF(X17=0,0,V17-Y17*V17/X17)</f>
        <v/>
      </c>
      <c r="AA17" s="19">
        <f>IF(X17=0,0,W17-Y17*W17/X17)</f>
        <v/>
      </c>
      <c r="AC17" s="18">
        <f>DATA!A17</f>
        <v/>
      </c>
      <c r="AD17">
        <f>DATA!B17</f>
        <v/>
      </c>
      <c r="AE17" s="19">
        <f>AN16</f>
        <v/>
      </c>
      <c r="AF17" s="19">
        <f>AO16</f>
        <v/>
      </c>
      <c r="AG17" s="19">
        <f>AE17+AF17</f>
        <v/>
      </c>
      <c r="AH17" s="20">
        <f>DATA!E17</f>
        <v/>
      </c>
      <c r="AI17" s="20">
        <f>DATA!G17</f>
        <v/>
      </c>
      <c r="AJ17" s="19">
        <f>AE17*(1+AH17)</f>
        <v/>
      </c>
      <c r="AK17" s="19">
        <f>AF17*(1+AI17)</f>
        <v/>
      </c>
      <c r="AL17" s="19">
        <f>AJ17+AK17</f>
        <v/>
      </c>
      <c r="AM17" s="19">
        <f>IF(AND(CONFIG!$B$11="Annual",MONTH(AC17)=7),AL17*CONFIG!$B$6/12,AM16)</f>
        <v/>
      </c>
      <c r="AN17" s="19">
        <f>IF(AL17=0,0,AJ17-AM17*AJ17/AL17)</f>
        <v/>
      </c>
      <c r="AO17" s="19">
        <f>IF(AL17=0,0,AK17-AM17*AK17/AL17)</f>
        <v/>
      </c>
    </row>
    <row r="18">
      <c r="A18" s="18">
        <f>DATA!A18</f>
        <v/>
      </c>
      <c r="B18">
        <f>DATA!B18</f>
        <v/>
      </c>
      <c r="C18" s="19">
        <f>L17</f>
        <v/>
      </c>
      <c r="D18" s="19">
        <f>M17</f>
        <v/>
      </c>
      <c r="E18" s="19">
        <f>C18+D18</f>
        <v/>
      </c>
      <c r="F18" s="20">
        <f>DATA!C18</f>
        <v/>
      </c>
      <c r="G18" s="20">
        <f>DATA!G18</f>
        <v/>
      </c>
      <c r="H18" s="19">
        <f>C18*(1+F18)</f>
        <v/>
      </c>
      <c r="I18" s="19">
        <f>D18*(1+G18)</f>
        <v/>
      </c>
      <c r="J18" s="19">
        <f>H18+I18</f>
        <v/>
      </c>
      <c r="K18" s="19">
        <f>IF(AND(CONFIG!$B$11="Annual",MONTH(A18)=7),J18*CONFIG!$B$6/12,K17)</f>
        <v/>
      </c>
      <c r="L18" s="19">
        <f>IF(J18=0,0,H18-K18*H18/J18)</f>
        <v/>
      </c>
      <c r="M18" s="19">
        <f>IF(J18=0,0,I18-K18*I18/J18)</f>
        <v/>
      </c>
      <c r="O18" s="18">
        <f>DATA!A18</f>
        <v/>
      </c>
      <c r="P18">
        <f>DATA!B18</f>
        <v/>
      </c>
      <c r="Q18" s="19">
        <f>Z17</f>
        <v/>
      </c>
      <c r="R18" s="19">
        <f>AA17</f>
        <v/>
      </c>
      <c r="S18" s="19">
        <f>Q18+R18</f>
        <v/>
      </c>
      <c r="T18" s="20">
        <f>DATA!D18</f>
        <v/>
      </c>
      <c r="U18" s="20">
        <f>DATA!G18</f>
        <v/>
      </c>
      <c r="V18" s="19">
        <f>Q18*(1+T18)</f>
        <v/>
      </c>
      <c r="W18" s="19">
        <f>R18*(1+U18)</f>
        <v/>
      </c>
      <c r="X18" s="19">
        <f>V18+W18</f>
        <v/>
      </c>
      <c r="Y18" s="19">
        <f>IF(AND(CONFIG!$B$11="Annual",MONTH(O18)=7),X18*CONFIG!$B$6/12,Y17)</f>
        <v/>
      </c>
      <c r="Z18" s="19">
        <f>IF(X18=0,0,V18-Y18*V18/X18)</f>
        <v/>
      </c>
      <c r="AA18" s="19">
        <f>IF(X18=0,0,W18-Y18*W18/X18)</f>
        <v/>
      </c>
      <c r="AC18" s="18">
        <f>DATA!A18</f>
        <v/>
      </c>
      <c r="AD18">
        <f>DATA!B18</f>
        <v/>
      </c>
      <c r="AE18" s="19">
        <f>AN17</f>
        <v/>
      </c>
      <c r="AF18" s="19">
        <f>AO17</f>
        <v/>
      </c>
      <c r="AG18" s="19">
        <f>AE18+AF18</f>
        <v/>
      </c>
      <c r="AH18" s="20">
        <f>DATA!E18</f>
        <v/>
      </c>
      <c r="AI18" s="20">
        <f>DATA!G18</f>
        <v/>
      </c>
      <c r="AJ18" s="19">
        <f>AE18*(1+AH18)</f>
        <v/>
      </c>
      <c r="AK18" s="19">
        <f>AF18*(1+AI18)</f>
        <v/>
      </c>
      <c r="AL18" s="19">
        <f>AJ18+AK18</f>
        <v/>
      </c>
      <c r="AM18" s="19">
        <f>IF(AND(CONFIG!$B$11="Annual",MONTH(AC18)=7),AL18*CONFIG!$B$6/12,AM17)</f>
        <v/>
      </c>
      <c r="AN18" s="19">
        <f>IF(AL18=0,0,AJ18-AM18*AJ18/AL18)</f>
        <v/>
      </c>
      <c r="AO18" s="19">
        <f>IF(AL18=0,0,AK18-AM18*AK18/AL18)</f>
        <v/>
      </c>
    </row>
    <row r="19">
      <c r="A19" s="18">
        <f>DATA!A19</f>
        <v/>
      </c>
      <c r="B19">
        <f>DATA!B19</f>
        <v/>
      </c>
      <c r="C19" s="19">
        <f>L18</f>
        <v/>
      </c>
      <c r="D19" s="19">
        <f>M18</f>
        <v/>
      </c>
      <c r="E19" s="19">
        <f>C19+D19</f>
        <v/>
      </c>
      <c r="F19" s="20">
        <f>DATA!C19</f>
        <v/>
      </c>
      <c r="G19" s="20">
        <f>DATA!G19</f>
        <v/>
      </c>
      <c r="H19" s="19">
        <f>C19*(1+F19)</f>
        <v/>
      </c>
      <c r="I19" s="19">
        <f>D19*(1+G19)</f>
        <v/>
      </c>
      <c r="J19" s="19">
        <f>H19+I19</f>
        <v/>
      </c>
      <c r="K19" s="19">
        <f>IF(AND(CONFIG!$B$11="Annual",MONTH(A19)=7),J19*CONFIG!$B$6/12,K18)</f>
        <v/>
      </c>
      <c r="L19" s="19">
        <f>IF(J19=0,0,H19-K19*H19/J19)</f>
        <v/>
      </c>
      <c r="M19" s="19">
        <f>IF(J19=0,0,I19-K19*I19/J19)</f>
        <v/>
      </c>
      <c r="O19" s="18">
        <f>DATA!A19</f>
        <v/>
      </c>
      <c r="P19">
        <f>DATA!B19</f>
        <v/>
      </c>
      <c r="Q19" s="19">
        <f>Z18</f>
        <v/>
      </c>
      <c r="R19" s="19">
        <f>AA18</f>
        <v/>
      </c>
      <c r="S19" s="19">
        <f>Q19+R19</f>
        <v/>
      </c>
      <c r="T19" s="20">
        <f>DATA!D19</f>
        <v/>
      </c>
      <c r="U19" s="20">
        <f>DATA!G19</f>
        <v/>
      </c>
      <c r="V19" s="19">
        <f>Q19*(1+T19)</f>
        <v/>
      </c>
      <c r="W19" s="19">
        <f>R19*(1+U19)</f>
        <v/>
      </c>
      <c r="X19" s="19">
        <f>V19+W19</f>
        <v/>
      </c>
      <c r="Y19" s="19">
        <f>IF(AND(CONFIG!$B$11="Annual",MONTH(O19)=7),X19*CONFIG!$B$6/12,Y18)</f>
        <v/>
      </c>
      <c r="Z19" s="19">
        <f>IF(X19=0,0,V19-Y19*V19/X19)</f>
        <v/>
      </c>
      <c r="AA19" s="19">
        <f>IF(X19=0,0,W19-Y19*W19/X19)</f>
        <v/>
      </c>
      <c r="AC19" s="18">
        <f>DATA!A19</f>
        <v/>
      </c>
      <c r="AD19">
        <f>DATA!B19</f>
        <v/>
      </c>
      <c r="AE19" s="19">
        <f>AN18</f>
        <v/>
      </c>
      <c r="AF19" s="19">
        <f>AO18</f>
        <v/>
      </c>
      <c r="AG19" s="19">
        <f>AE19+AF19</f>
        <v/>
      </c>
      <c r="AH19" s="20">
        <f>DATA!E19</f>
        <v/>
      </c>
      <c r="AI19" s="20">
        <f>DATA!G19</f>
        <v/>
      </c>
      <c r="AJ19" s="19">
        <f>AE19*(1+AH19)</f>
        <v/>
      </c>
      <c r="AK19" s="19">
        <f>AF19*(1+AI19)</f>
        <v/>
      </c>
      <c r="AL19" s="19">
        <f>AJ19+AK19</f>
        <v/>
      </c>
      <c r="AM19" s="19">
        <f>IF(AND(CONFIG!$B$11="Annual",MONTH(AC19)=7),AL19*CONFIG!$B$6/12,AM18)</f>
        <v/>
      </c>
      <c r="AN19" s="19">
        <f>IF(AL19=0,0,AJ19-AM19*AJ19/AL19)</f>
        <v/>
      </c>
      <c r="AO19" s="19">
        <f>IF(AL19=0,0,AK19-AM19*AK19/AL19)</f>
        <v/>
      </c>
    </row>
    <row r="20">
      <c r="A20" s="18">
        <f>DATA!A20</f>
        <v/>
      </c>
      <c r="B20">
        <f>DATA!B20</f>
        <v/>
      </c>
      <c r="C20" s="19">
        <f>L19</f>
        <v/>
      </c>
      <c r="D20" s="19">
        <f>M19</f>
        <v/>
      </c>
      <c r="E20" s="19">
        <f>C20+D20</f>
        <v/>
      </c>
      <c r="F20" s="20">
        <f>DATA!C20</f>
        <v/>
      </c>
      <c r="G20" s="20">
        <f>DATA!G20</f>
        <v/>
      </c>
      <c r="H20" s="19">
        <f>C20*(1+F20)</f>
        <v/>
      </c>
      <c r="I20" s="19">
        <f>D20*(1+G20)</f>
        <v/>
      </c>
      <c r="J20" s="19">
        <f>H20+I20</f>
        <v/>
      </c>
      <c r="K20" s="19">
        <f>IF(AND(CONFIG!$B$11="Annual",MONTH(A20)=7),J20*CONFIG!$B$6/12,K19)</f>
        <v/>
      </c>
      <c r="L20" s="19">
        <f>IF(J20=0,0,H20-K20*H20/J20)</f>
        <v/>
      </c>
      <c r="M20" s="19">
        <f>IF(J20=0,0,I20-K20*I20/J20)</f>
        <v/>
      </c>
      <c r="O20" s="18">
        <f>DATA!A20</f>
        <v/>
      </c>
      <c r="P20">
        <f>DATA!B20</f>
        <v/>
      </c>
      <c r="Q20" s="19">
        <f>Z19</f>
        <v/>
      </c>
      <c r="R20" s="19">
        <f>AA19</f>
        <v/>
      </c>
      <c r="S20" s="19">
        <f>Q20+R20</f>
        <v/>
      </c>
      <c r="T20" s="20">
        <f>DATA!D20</f>
        <v/>
      </c>
      <c r="U20" s="20">
        <f>DATA!G20</f>
        <v/>
      </c>
      <c r="V20" s="19">
        <f>Q20*(1+T20)</f>
        <v/>
      </c>
      <c r="W20" s="19">
        <f>R20*(1+U20)</f>
        <v/>
      </c>
      <c r="X20" s="19">
        <f>V20+W20</f>
        <v/>
      </c>
      <c r="Y20" s="19">
        <f>IF(AND(CONFIG!$B$11="Annual",MONTH(O20)=7),X20*CONFIG!$B$6/12,Y19)</f>
        <v/>
      </c>
      <c r="Z20" s="19">
        <f>IF(X20=0,0,V20-Y20*V20/X20)</f>
        <v/>
      </c>
      <c r="AA20" s="19">
        <f>IF(X20=0,0,W20-Y20*W20/X20)</f>
        <v/>
      </c>
      <c r="AC20" s="18">
        <f>DATA!A20</f>
        <v/>
      </c>
      <c r="AD20">
        <f>DATA!B20</f>
        <v/>
      </c>
      <c r="AE20" s="19">
        <f>AN19</f>
        <v/>
      </c>
      <c r="AF20" s="19">
        <f>AO19</f>
        <v/>
      </c>
      <c r="AG20" s="19">
        <f>AE20+AF20</f>
        <v/>
      </c>
      <c r="AH20" s="20">
        <f>DATA!E20</f>
        <v/>
      </c>
      <c r="AI20" s="20">
        <f>DATA!G20</f>
        <v/>
      </c>
      <c r="AJ20" s="19">
        <f>AE20*(1+AH20)</f>
        <v/>
      </c>
      <c r="AK20" s="19">
        <f>AF20*(1+AI20)</f>
        <v/>
      </c>
      <c r="AL20" s="19">
        <f>AJ20+AK20</f>
        <v/>
      </c>
      <c r="AM20" s="19">
        <f>IF(AND(CONFIG!$B$11="Annual",MONTH(AC20)=7),AL20*CONFIG!$B$6/12,AM19)</f>
        <v/>
      </c>
      <c r="AN20" s="19">
        <f>IF(AL20=0,0,AJ20-AM20*AJ20/AL20)</f>
        <v/>
      </c>
      <c r="AO20" s="19">
        <f>IF(AL20=0,0,AK20-AM20*AK20/AL20)</f>
        <v/>
      </c>
    </row>
    <row r="21">
      <c r="A21" s="18">
        <f>DATA!A21</f>
        <v/>
      </c>
      <c r="B21">
        <f>DATA!B21</f>
        <v/>
      </c>
      <c r="C21" s="19">
        <f>L20</f>
        <v/>
      </c>
      <c r="D21" s="19">
        <f>M20</f>
        <v/>
      </c>
      <c r="E21" s="19">
        <f>C21+D21</f>
        <v/>
      </c>
      <c r="F21" s="20">
        <f>DATA!C21</f>
        <v/>
      </c>
      <c r="G21" s="20">
        <f>DATA!G21</f>
        <v/>
      </c>
      <c r="H21" s="19">
        <f>C21*(1+F21)</f>
        <v/>
      </c>
      <c r="I21" s="19">
        <f>D21*(1+G21)</f>
        <v/>
      </c>
      <c r="J21" s="19">
        <f>H21+I21</f>
        <v/>
      </c>
      <c r="K21" s="19">
        <f>IF(AND(CONFIG!$B$11="Annual",MONTH(A21)=7),J21*CONFIG!$B$6/12,K20)</f>
        <v/>
      </c>
      <c r="L21" s="19">
        <f>IF(J21=0,0,H21-K21*H21/J21)</f>
        <v/>
      </c>
      <c r="M21" s="19">
        <f>IF(J21=0,0,I21-K21*I21/J21)</f>
        <v/>
      </c>
      <c r="O21" s="18">
        <f>DATA!A21</f>
        <v/>
      </c>
      <c r="P21">
        <f>DATA!B21</f>
        <v/>
      </c>
      <c r="Q21" s="19">
        <f>Z20</f>
        <v/>
      </c>
      <c r="R21" s="19">
        <f>AA20</f>
        <v/>
      </c>
      <c r="S21" s="19">
        <f>Q21+R21</f>
        <v/>
      </c>
      <c r="T21" s="20">
        <f>DATA!D21</f>
        <v/>
      </c>
      <c r="U21" s="20">
        <f>DATA!G21</f>
        <v/>
      </c>
      <c r="V21" s="19">
        <f>Q21*(1+T21)</f>
        <v/>
      </c>
      <c r="W21" s="19">
        <f>R21*(1+U21)</f>
        <v/>
      </c>
      <c r="X21" s="19">
        <f>V21+W21</f>
        <v/>
      </c>
      <c r="Y21" s="19">
        <f>IF(AND(CONFIG!$B$11="Annual",MONTH(O21)=7),X21*CONFIG!$B$6/12,Y20)</f>
        <v/>
      </c>
      <c r="Z21" s="19">
        <f>IF(X21=0,0,V21-Y21*V21/X21)</f>
        <v/>
      </c>
      <c r="AA21" s="19">
        <f>IF(X21=0,0,W21-Y21*W21/X21)</f>
        <v/>
      </c>
      <c r="AC21" s="18">
        <f>DATA!A21</f>
        <v/>
      </c>
      <c r="AD21">
        <f>DATA!B21</f>
        <v/>
      </c>
      <c r="AE21" s="19">
        <f>AN20</f>
        <v/>
      </c>
      <c r="AF21" s="19">
        <f>AO20</f>
        <v/>
      </c>
      <c r="AG21" s="19">
        <f>AE21+AF21</f>
        <v/>
      </c>
      <c r="AH21" s="20">
        <f>DATA!E21</f>
        <v/>
      </c>
      <c r="AI21" s="20">
        <f>DATA!G21</f>
        <v/>
      </c>
      <c r="AJ21" s="19">
        <f>AE21*(1+AH21)</f>
        <v/>
      </c>
      <c r="AK21" s="19">
        <f>AF21*(1+AI21)</f>
        <v/>
      </c>
      <c r="AL21" s="19">
        <f>AJ21+AK21</f>
        <v/>
      </c>
      <c r="AM21" s="19">
        <f>IF(AND(CONFIG!$B$11="Annual",MONTH(AC21)=7),AL21*CONFIG!$B$6/12,AM20)</f>
        <v/>
      </c>
      <c r="AN21" s="19">
        <f>IF(AL21=0,0,AJ21-AM21*AJ21/AL21)</f>
        <v/>
      </c>
      <c r="AO21" s="19">
        <f>IF(AL21=0,0,AK21-AM21*AK21/AL21)</f>
        <v/>
      </c>
    </row>
    <row r="22">
      <c r="A22" s="18">
        <f>DATA!A22</f>
        <v/>
      </c>
      <c r="B22">
        <f>DATA!B22</f>
        <v/>
      </c>
      <c r="C22" s="19">
        <f>L21</f>
        <v/>
      </c>
      <c r="D22" s="19">
        <f>M21</f>
        <v/>
      </c>
      <c r="E22" s="19">
        <f>C22+D22</f>
        <v/>
      </c>
      <c r="F22" s="20">
        <f>DATA!C22</f>
        <v/>
      </c>
      <c r="G22" s="20">
        <f>DATA!G22</f>
        <v/>
      </c>
      <c r="H22" s="19">
        <f>C22*(1+F22)</f>
        <v/>
      </c>
      <c r="I22" s="19">
        <f>D22*(1+G22)</f>
        <v/>
      </c>
      <c r="J22" s="19">
        <f>H22+I22</f>
        <v/>
      </c>
      <c r="K22" s="19">
        <f>IF(AND(CONFIG!$B$11="Annual",MONTH(A22)=7),J22*CONFIG!$B$6/12,K21)</f>
        <v/>
      </c>
      <c r="L22" s="19">
        <f>IF(J22=0,0,H22-K22*H22/J22)</f>
        <v/>
      </c>
      <c r="M22" s="19">
        <f>IF(J22=0,0,I22-K22*I22/J22)</f>
        <v/>
      </c>
      <c r="O22" s="18">
        <f>DATA!A22</f>
        <v/>
      </c>
      <c r="P22">
        <f>DATA!B22</f>
        <v/>
      </c>
      <c r="Q22" s="19">
        <f>Z21</f>
        <v/>
      </c>
      <c r="R22" s="19">
        <f>AA21</f>
        <v/>
      </c>
      <c r="S22" s="19">
        <f>Q22+R22</f>
        <v/>
      </c>
      <c r="T22" s="20">
        <f>DATA!D22</f>
        <v/>
      </c>
      <c r="U22" s="20">
        <f>DATA!G22</f>
        <v/>
      </c>
      <c r="V22" s="19">
        <f>Q22*(1+T22)</f>
        <v/>
      </c>
      <c r="W22" s="19">
        <f>R22*(1+U22)</f>
        <v/>
      </c>
      <c r="X22" s="19">
        <f>V22+W22</f>
        <v/>
      </c>
      <c r="Y22" s="19">
        <f>IF(AND(CONFIG!$B$11="Annual",MONTH(O22)=7),X22*CONFIG!$B$6/12,Y21)</f>
        <v/>
      </c>
      <c r="Z22" s="19">
        <f>IF(X22=0,0,V22-Y22*V22/X22)</f>
        <v/>
      </c>
      <c r="AA22" s="19">
        <f>IF(X22=0,0,W22-Y22*W22/X22)</f>
        <v/>
      </c>
      <c r="AC22" s="18">
        <f>DATA!A22</f>
        <v/>
      </c>
      <c r="AD22">
        <f>DATA!B22</f>
        <v/>
      </c>
      <c r="AE22" s="19">
        <f>AN21</f>
        <v/>
      </c>
      <c r="AF22" s="19">
        <f>AO21</f>
        <v/>
      </c>
      <c r="AG22" s="19">
        <f>AE22+AF22</f>
        <v/>
      </c>
      <c r="AH22" s="20">
        <f>DATA!E22</f>
        <v/>
      </c>
      <c r="AI22" s="20">
        <f>DATA!G22</f>
        <v/>
      </c>
      <c r="AJ22" s="19">
        <f>AE22*(1+AH22)</f>
        <v/>
      </c>
      <c r="AK22" s="19">
        <f>AF22*(1+AI22)</f>
        <v/>
      </c>
      <c r="AL22" s="19">
        <f>AJ22+AK22</f>
        <v/>
      </c>
      <c r="AM22" s="19">
        <f>IF(AND(CONFIG!$B$11="Annual",MONTH(AC22)=7),AL22*CONFIG!$B$6/12,AM21)</f>
        <v/>
      </c>
      <c r="AN22" s="19">
        <f>IF(AL22=0,0,AJ22-AM22*AJ22/AL22)</f>
        <v/>
      </c>
      <c r="AO22" s="19">
        <f>IF(AL22=0,0,AK22-AM22*AK22/AL22)</f>
        <v/>
      </c>
    </row>
    <row r="23">
      <c r="A23" s="18">
        <f>DATA!A23</f>
        <v/>
      </c>
      <c r="B23">
        <f>DATA!B23</f>
        <v/>
      </c>
      <c r="C23" s="19">
        <f>L22</f>
        <v/>
      </c>
      <c r="D23" s="19">
        <f>M22</f>
        <v/>
      </c>
      <c r="E23" s="19">
        <f>C23+D23</f>
        <v/>
      </c>
      <c r="F23" s="20">
        <f>DATA!C23</f>
        <v/>
      </c>
      <c r="G23" s="20">
        <f>DATA!G23</f>
        <v/>
      </c>
      <c r="H23" s="19">
        <f>C23*(1+F23)</f>
        <v/>
      </c>
      <c r="I23" s="19">
        <f>D23*(1+G23)</f>
        <v/>
      </c>
      <c r="J23" s="19">
        <f>H23+I23</f>
        <v/>
      </c>
      <c r="K23" s="19">
        <f>IF(AND(CONFIG!$B$11="Annual",MONTH(A23)=7),J23*CONFIG!$B$6/12,K22)</f>
        <v/>
      </c>
      <c r="L23" s="19">
        <f>IF(J23=0,0,H23-K23*H23/J23)</f>
        <v/>
      </c>
      <c r="M23" s="19">
        <f>IF(J23=0,0,I23-K23*I23/J23)</f>
        <v/>
      </c>
      <c r="O23" s="18">
        <f>DATA!A23</f>
        <v/>
      </c>
      <c r="P23">
        <f>DATA!B23</f>
        <v/>
      </c>
      <c r="Q23" s="19">
        <f>Z22</f>
        <v/>
      </c>
      <c r="R23" s="19">
        <f>AA22</f>
        <v/>
      </c>
      <c r="S23" s="19">
        <f>Q23+R23</f>
        <v/>
      </c>
      <c r="T23" s="20">
        <f>DATA!D23</f>
        <v/>
      </c>
      <c r="U23" s="20">
        <f>DATA!G23</f>
        <v/>
      </c>
      <c r="V23" s="19">
        <f>Q23*(1+T23)</f>
        <v/>
      </c>
      <c r="W23" s="19">
        <f>R23*(1+U23)</f>
        <v/>
      </c>
      <c r="X23" s="19">
        <f>V23+W23</f>
        <v/>
      </c>
      <c r="Y23" s="19">
        <f>IF(AND(CONFIG!$B$11="Annual",MONTH(O23)=7),X23*CONFIG!$B$6/12,Y22)</f>
        <v/>
      </c>
      <c r="Z23" s="19">
        <f>IF(X23=0,0,V23-Y23*V23/X23)</f>
        <v/>
      </c>
      <c r="AA23" s="19">
        <f>IF(X23=0,0,W23-Y23*W23/X23)</f>
        <v/>
      </c>
      <c r="AC23" s="18">
        <f>DATA!A23</f>
        <v/>
      </c>
      <c r="AD23">
        <f>DATA!B23</f>
        <v/>
      </c>
      <c r="AE23" s="19">
        <f>AN22</f>
        <v/>
      </c>
      <c r="AF23" s="19">
        <f>AO22</f>
        <v/>
      </c>
      <c r="AG23" s="19">
        <f>AE23+AF23</f>
        <v/>
      </c>
      <c r="AH23" s="20">
        <f>DATA!E23</f>
        <v/>
      </c>
      <c r="AI23" s="20">
        <f>DATA!G23</f>
        <v/>
      </c>
      <c r="AJ23" s="19">
        <f>AE23*(1+AH23)</f>
        <v/>
      </c>
      <c r="AK23" s="19">
        <f>AF23*(1+AI23)</f>
        <v/>
      </c>
      <c r="AL23" s="19">
        <f>AJ23+AK23</f>
        <v/>
      </c>
      <c r="AM23" s="19">
        <f>IF(AND(CONFIG!$B$11="Annual",MONTH(AC23)=7),AL23*CONFIG!$B$6/12,AM22)</f>
        <v/>
      </c>
      <c r="AN23" s="19">
        <f>IF(AL23=0,0,AJ23-AM23*AJ23/AL23)</f>
        <v/>
      </c>
      <c r="AO23" s="19">
        <f>IF(AL23=0,0,AK23-AM23*AK23/AL23)</f>
        <v/>
      </c>
    </row>
    <row r="24">
      <c r="A24" s="18">
        <f>DATA!A24</f>
        <v/>
      </c>
      <c r="B24">
        <f>DATA!B24</f>
        <v/>
      </c>
      <c r="C24" s="19">
        <f>L23</f>
        <v/>
      </c>
      <c r="D24" s="19">
        <f>M23</f>
        <v/>
      </c>
      <c r="E24" s="19">
        <f>C24+D24</f>
        <v/>
      </c>
      <c r="F24" s="20">
        <f>DATA!C24</f>
        <v/>
      </c>
      <c r="G24" s="20">
        <f>DATA!G24</f>
        <v/>
      </c>
      <c r="H24" s="19">
        <f>C24*(1+F24)</f>
        <v/>
      </c>
      <c r="I24" s="19">
        <f>D24*(1+G24)</f>
        <v/>
      </c>
      <c r="J24" s="19">
        <f>H24+I24</f>
        <v/>
      </c>
      <c r="K24" s="19">
        <f>IF(AND(CONFIG!$B$11="Annual",MONTH(A24)=7),J24*CONFIG!$B$6/12,K23)</f>
        <v/>
      </c>
      <c r="L24" s="19">
        <f>IF(J24=0,0,H24-K24*H24/J24)</f>
        <v/>
      </c>
      <c r="M24" s="19">
        <f>IF(J24=0,0,I24-K24*I24/J24)</f>
        <v/>
      </c>
      <c r="O24" s="18">
        <f>DATA!A24</f>
        <v/>
      </c>
      <c r="P24">
        <f>DATA!B24</f>
        <v/>
      </c>
      <c r="Q24" s="19">
        <f>Z23</f>
        <v/>
      </c>
      <c r="R24" s="19">
        <f>AA23</f>
        <v/>
      </c>
      <c r="S24" s="19">
        <f>Q24+R24</f>
        <v/>
      </c>
      <c r="T24" s="20">
        <f>DATA!D24</f>
        <v/>
      </c>
      <c r="U24" s="20">
        <f>DATA!G24</f>
        <v/>
      </c>
      <c r="V24" s="19">
        <f>Q24*(1+T24)</f>
        <v/>
      </c>
      <c r="W24" s="19">
        <f>R24*(1+U24)</f>
        <v/>
      </c>
      <c r="X24" s="19">
        <f>V24+W24</f>
        <v/>
      </c>
      <c r="Y24" s="19">
        <f>IF(AND(CONFIG!$B$11="Annual",MONTH(O24)=7),X24*CONFIG!$B$6/12,Y23)</f>
        <v/>
      </c>
      <c r="Z24" s="19">
        <f>IF(X24=0,0,V24-Y24*V24/X24)</f>
        <v/>
      </c>
      <c r="AA24" s="19">
        <f>IF(X24=0,0,W24-Y24*W24/X24)</f>
        <v/>
      </c>
      <c r="AC24" s="18">
        <f>DATA!A24</f>
        <v/>
      </c>
      <c r="AD24">
        <f>DATA!B24</f>
        <v/>
      </c>
      <c r="AE24" s="19">
        <f>AN23</f>
        <v/>
      </c>
      <c r="AF24" s="19">
        <f>AO23</f>
        <v/>
      </c>
      <c r="AG24" s="19">
        <f>AE24+AF24</f>
        <v/>
      </c>
      <c r="AH24" s="20">
        <f>DATA!E24</f>
        <v/>
      </c>
      <c r="AI24" s="20">
        <f>DATA!G24</f>
        <v/>
      </c>
      <c r="AJ24" s="19">
        <f>AE24*(1+AH24)</f>
        <v/>
      </c>
      <c r="AK24" s="19">
        <f>AF24*(1+AI24)</f>
        <v/>
      </c>
      <c r="AL24" s="19">
        <f>AJ24+AK24</f>
        <v/>
      </c>
      <c r="AM24" s="19">
        <f>IF(AND(CONFIG!$B$11="Annual",MONTH(AC24)=7),AL24*CONFIG!$B$6/12,AM23)</f>
        <v/>
      </c>
      <c r="AN24" s="19">
        <f>IF(AL24=0,0,AJ24-AM24*AJ24/AL24)</f>
        <v/>
      </c>
      <c r="AO24" s="19">
        <f>IF(AL24=0,0,AK24-AM24*AK24/AL24)</f>
        <v/>
      </c>
    </row>
    <row r="25">
      <c r="A25" s="18">
        <f>DATA!A25</f>
        <v/>
      </c>
      <c r="B25">
        <f>DATA!B25</f>
        <v/>
      </c>
      <c r="C25" s="19">
        <f>L24</f>
        <v/>
      </c>
      <c r="D25" s="19">
        <f>M24</f>
        <v/>
      </c>
      <c r="E25" s="19">
        <f>C25+D25</f>
        <v/>
      </c>
      <c r="F25" s="20">
        <f>DATA!C25</f>
        <v/>
      </c>
      <c r="G25" s="20">
        <f>DATA!G25</f>
        <v/>
      </c>
      <c r="H25" s="19">
        <f>C25*(1+F25)</f>
        <v/>
      </c>
      <c r="I25" s="19">
        <f>D25*(1+G25)</f>
        <v/>
      </c>
      <c r="J25" s="19">
        <f>H25+I25</f>
        <v/>
      </c>
      <c r="K25" s="19">
        <f>IF(AND(CONFIG!$B$11="Annual",MONTH(A25)=7),J25*CONFIG!$B$6/12,K24)</f>
        <v/>
      </c>
      <c r="L25" s="19">
        <f>IF(J25=0,0,H25-K25*H25/J25)</f>
        <v/>
      </c>
      <c r="M25" s="19">
        <f>IF(J25=0,0,I25-K25*I25/J25)</f>
        <v/>
      </c>
      <c r="O25" s="18">
        <f>DATA!A25</f>
        <v/>
      </c>
      <c r="P25">
        <f>DATA!B25</f>
        <v/>
      </c>
      <c r="Q25" s="19">
        <f>Z24</f>
        <v/>
      </c>
      <c r="R25" s="19">
        <f>AA24</f>
        <v/>
      </c>
      <c r="S25" s="19">
        <f>Q25+R25</f>
        <v/>
      </c>
      <c r="T25" s="20">
        <f>DATA!D25</f>
        <v/>
      </c>
      <c r="U25" s="20">
        <f>DATA!G25</f>
        <v/>
      </c>
      <c r="V25" s="19">
        <f>Q25*(1+T25)</f>
        <v/>
      </c>
      <c r="W25" s="19">
        <f>R25*(1+U25)</f>
        <v/>
      </c>
      <c r="X25" s="19">
        <f>V25+W25</f>
        <v/>
      </c>
      <c r="Y25" s="19">
        <f>IF(AND(CONFIG!$B$11="Annual",MONTH(O25)=7),X25*CONFIG!$B$6/12,Y24)</f>
        <v/>
      </c>
      <c r="Z25" s="19">
        <f>IF(X25=0,0,V25-Y25*V25/X25)</f>
        <v/>
      </c>
      <c r="AA25" s="19">
        <f>IF(X25=0,0,W25-Y25*W25/X25)</f>
        <v/>
      </c>
      <c r="AC25" s="18">
        <f>DATA!A25</f>
        <v/>
      </c>
      <c r="AD25">
        <f>DATA!B25</f>
        <v/>
      </c>
      <c r="AE25" s="19">
        <f>AN24</f>
        <v/>
      </c>
      <c r="AF25" s="19">
        <f>AO24</f>
        <v/>
      </c>
      <c r="AG25" s="19">
        <f>AE25+AF25</f>
        <v/>
      </c>
      <c r="AH25" s="20">
        <f>DATA!E25</f>
        <v/>
      </c>
      <c r="AI25" s="20">
        <f>DATA!G25</f>
        <v/>
      </c>
      <c r="AJ25" s="19">
        <f>AE25*(1+AH25)</f>
        <v/>
      </c>
      <c r="AK25" s="19">
        <f>AF25*(1+AI25)</f>
        <v/>
      </c>
      <c r="AL25" s="19">
        <f>AJ25+AK25</f>
        <v/>
      </c>
      <c r="AM25" s="19">
        <f>IF(AND(CONFIG!$B$11="Annual",MONTH(AC25)=7),AL25*CONFIG!$B$6/12,AM24)</f>
        <v/>
      </c>
      <c r="AN25" s="19">
        <f>IF(AL25=0,0,AJ25-AM25*AJ25/AL25)</f>
        <v/>
      </c>
      <c r="AO25" s="19">
        <f>IF(AL25=0,0,AK25-AM25*AK25/AL25)</f>
        <v/>
      </c>
    </row>
    <row r="26">
      <c r="A26" s="18">
        <f>DATA!A26</f>
        <v/>
      </c>
      <c r="B26">
        <f>DATA!B26</f>
        <v/>
      </c>
      <c r="C26" s="19">
        <f>L25</f>
        <v/>
      </c>
      <c r="D26" s="19">
        <f>M25</f>
        <v/>
      </c>
      <c r="E26" s="19">
        <f>C26+D26</f>
        <v/>
      </c>
      <c r="F26" s="20">
        <f>DATA!C26</f>
        <v/>
      </c>
      <c r="G26" s="20">
        <f>DATA!G26</f>
        <v/>
      </c>
      <c r="H26" s="19">
        <f>C26*(1+F26)</f>
        <v/>
      </c>
      <c r="I26" s="19">
        <f>D26*(1+G26)</f>
        <v/>
      </c>
      <c r="J26" s="19">
        <f>H26+I26</f>
        <v/>
      </c>
      <c r="K26" s="19">
        <f>IF(AND(CONFIG!$B$11="Annual",MONTH(A26)=7),J26*CONFIG!$B$6/12,K25)</f>
        <v/>
      </c>
      <c r="L26" s="19">
        <f>IF(J26=0,0,H26-K26*H26/J26)</f>
        <v/>
      </c>
      <c r="M26" s="19">
        <f>IF(J26=0,0,I26-K26*I26/J26)</f>
        <v/>
      </c>
      <c r="O26" s="18">
        <f>DATA!A26</f>
        <v/>
      </c>
      <c r="P26">
        <f>DATA!B26</f>
        <v/>
      </c>
      <c r="Q26" s="19">
        <f>Z25</f>
        <v/>
      </c>
      <c r="R26" s="19">
        <f>AA25</f>
        <v/>
      </c>
      <c r="S26" s="19">
        <f>Q26+R26</f>
        <v/>
      </c>
      <c r="T26" s="20">
        <f>DATA!D26</f>
        <v/>
      </c>
      <c r="U26" s="20">
        <f>DATA!G26</f>
        <v/>
      </c>
      <c r="V26" s="19">
        <f>Q26*(1+T26)</f>
        <v/>
      </c>
      <c r="W26" s="19">
        <f>R26*(1+U26)</f>
        <v/>
      </c>
      <c r="X26" s="19">
        <f>V26+W26</f>
        <v/>
      </c>
      <c r="Y26" s="19">
        <f>IF(AND(CONFIG!$B$11="Annual",MONTH(O26)=7),X26*CONFIG!$B$6/12,Y25)</f>
        <v/>
      </c>
      <c r="Z26" s="19">
        <f>IF(X26=0,0,V26-Y26*V26/X26)</f>
        <v/>
      </c>
      <c r="AA26" s="19">
        <f>IF(X26=0,0,W26-Y26*W26/X26)</f>
        <v/>
      </c>
      <c r="AC26" s="18">
        <f>DATA!A26</f>
        <v/>
      </c>
      <c r="AD26">
        <f>DATA!B26</f>
        <v/>
      </c>
      <c r="AE26" s="19">
        <f>AN25</f>
        <v/>
      </c>
      <c r="AF26" s="19">
        <f>AO25</f>
        <v/>
      </c>
      <c r="AG26" s="19">
        <f>AE26+AF26</f>
        <v/>
      </c>
      <c r="AH26" s="20">
        <f>DATA!E26</f>
        <v/>
      </c>
      <c r="AI26" s="20">
        <f>DATA!G26</f>
        <v/>
      </c>
      <c r="AJ26" s="19">
        <f>AE26*(1+AH26)</f>
        <v/>
      </c>
      <c r="AK26" s="19">
        <f>AF26*(1+AI26)</f>
        <v/>
      </c>
      <c r="AL26" s="19">
        <f>AJ26+AK26</f>
        <v/>
      </c>
      <c r="AM26" s="19">
        <f>IF(AND(CONFIG!$B$11="Annual",MONTH(AC26)=7),AL26*CONFIG!$B$6/12,AM25)</f>
        <v/>
      </c>
      <c r="AN26" s="19">
        <f>IF(AL26=0,0,AJ26-AM26*AJ26/AL26)</f>
        <v/>
      </c>
      <c r="AO26" s="19">
        <f>IF(AL26=0,0,AK26-AM26*AK26/AL26)</f>
        <v/>
      </c>
    </row>
    <row r="27">
      <c r="A27" s="18">
        <f>DATA!A27</f>
        <v/>
      </c>
      <c r="B27">
        <f>DATA!B27</f>
        <v/>
      </c>
      <c r="C27" s="19">
        <f>L26</f>
        <v/>
      </c>
      <c r="D27" s="19">
        <f>M26</f>
        <v/>
      </c>
      <c r="E27" s="19">
        <f>C27+D27</f>
        <v/>
      </c>
      <c r="F27" s="20">
        <f>DATA!C27</f>
        <v/>
      </c>
      <c r="G27" s="20">
        <f>DATA!G27</f>
        <v/>
      </c>
      <c r="H27" s="19">
        <f>C27*(1+F27)</f>
        <v/>
      </c>
      <c r="I27" s="19">
        <f>D27*(1+G27)</f>
        <v/>
      </c>
      <c r="J27" s="19">
        <f>H27+I27</f>
        <v/>
      </c>
      <c r="K27" s="19">
        <f>IF(AND(CONFIG!$B$11="Annual",MONTH(A27)=7),J27*CONFIG!$B$6/12,K26)</f>
        <v/>
      </c>
      <c r="L27" s="19">
        <f>IF(J27=0,0,H27-K27*H27/J27)</f>
        <v/>
      </c>
      <c r="M27" s="19">
        <f>IF(J27=0,0,I27-K27*I27/J27)</f>
        <v/>
      </c>
      <c r="O27" s="18">
        <f>DATA!A27</f>
        <v/>
      </c>
      <c r="P27">
        <f>DATA!B27</f>
        <v/>
      </c>
      <c r="Q27" s="19">
        <f>Z26</f>
        <v/>
      </c>
      <c r="R27" s="19">
        <f>AA26</f>
        <v/>
      </c>
      <c r="S27" s="19">
        <f>Q27+R27</f>
        <v/>
      </c>
      <c r="T27" s="20">
        <f>DATA!D27</f>
        <v/>
      </c>
      <c r="U27" s="20">
        <f>DATA!G27</f>
        <v/>
      </c>
      <c r="V27" s="19">
        <f>Q27*(1+T27)</f>
        <v/>
      </c>
      <c r="W27" s="19">
        <f>R27*(1+U27)</f>
        <v/>
      </c>
      <c r="X27" s="19">
        <f>V27+W27</f>
        <v/>
      </c>
      <c r="Y27" s="19">
        <f>IF(AND(CONFIG!$B$11="Annual",MONTH(O27)=7),X27*CONFIG!$B$6/12,Y26)</f>
        <v/>
      </c>
      <c r="Z27" s="19">
        <f>IF(X27=0,0,V27-Y27*V27/X27)</f>
        <v/>
      </c>
      <c r="AA27" s="19">
        <f>IF(X27=0,0,W27-Y27*W27/X27)</f>
        <v/>
      </c>
      <c r="AC27" s="18">
        <f>DATA!A27</f>
        <v/>
      </c>
      <c r="AD27">
        <f>DATA!B27</f>
        <v/>
      </c>
      <c r="AE27" s="19">
        <f>AN26</f>
        <v/>
      </c>
      <c r="AF27" s="19">
        <f>AO26</f>
        <v/>
      </c>
      <c r="AG27" s="19">
        <f>AE27+AF27</f>
        <v/>
      </c>
      <c r="AH27" s="20">
        <f>DATA!E27</f>
        <v/>
      </c>
      <c r="AI27" s="20">
        <f>DATA!G27</f>
        <v/>
      </c>
      <c r="AJ27" s="19">
        <f>AE27*(1+AH27)</f>
        <v/>
      </c>
      <c r="AK27" s="19">
        <f>AF27*(1+AI27)</f>
        <v/>
      </c>
      <c r="AL27" s="19">
        <f>AJ27+AK27</f>
        <v/>
      </c>
      <c r="AM27" s="19">
        <f>IF(AND(CONFIG!$B$11="Annual",MONTH(AC27)=7),AL27*CONFIG!$B$6/12,AM26)</f>
        <v/>
      </c>
      <c r="AN27" s="19">
        <f>IF(AL27=0,0,AJ27-AM27*AJ27/AL27)</f>
        <v/>
      </c>
      <c r="AO27" s="19">
        <f>IF(AL27=0,0,AK27-AM27*AK27/AL27)</f>
        <v/>
      </c>
    </row>
    <row r="28">
      <c r="A28" s="18">
        <f>DATA!A28</f>
        <v/>
      </c>
      <c r="B28">
        <f>DATA!B28</f>
        <v/>
      </c>
      <c r="C28" s="19">
        <f>L27</f>
        <v/>
      </c>
      <c r="D28" s="19">
        <f>M27</f>
        <v/>
      </c>
      <c r="E28" s="19">
        <f>C28+D28</f>
        <v/>
      </c>
      <c r="F28" s="20">
        <f>DATA!C28</f>
        <v/>
      </c>
      <c r="G28" s="20">
        <f>DATA!G28</f>
        <v/>
      </c>
      <c r="H28" s="19">
        <f>C28*(1+F28)</f>
        <v/>
      </c>
      <c r="I28" s="19">
        <f>D28*(1+G28)</f>
        <v/>
      </c>
      <c r="J28" s="19">
        <f>H28+I28</f>
        <v/>
      </c>
      <c r="K28" s="19">
        <f>IF(AND(CONFIG!$B$11="Annual",MONTH(A28)=7),J28*CONFIG!$B$6/12,K27)</f>
        <v/>
      </c>
      <c r="L28" s="19">
        <f>IF(J28=0,0,H28-K28*H28/J28)</f>
        <v/>
      </c>
      <c r="M28" s="19">
        <f>IF(J28=0,0,I28-K28*I28/J28)</f>
        <v/>
      </c>
      <c r="O28" s="18">
        <f>DATA!A28</f>
        <v/>
      </c>
      <c r="P28">
        <f>DATA!B28</f>
        <v/>
      </c>
      <c r="Q28" s="19">
        <f>Z27</f>
        <v/>
      </c>
      <c r="R28" s="19">
        <f>AA27</f>
        <v/>
      </c>
      <c r="S28" s="19">
        <f>Q28+R28</f>
        <v/>
      </c>
      <c r="T28" s="20">
        <f>DATA!D28</f>
        <v/>
      </c>
      <c r="U28" s="20">
        <f>DATA!G28</f>
        <v/>
      </c>
      <c r="V28" s="19">
        <f>Q28*(1+T28)</f>
        <v/>
      </c>
      <c r="W28" s="19">
        <f>R28*(1+U28)</f>
        <v/>
      </c>
      <c r="X28" s="19">
        <f>V28+W28</f>
        <v/>
      </c>
      <c r="Y28" s="19">
        <f>IF(AND(CONFIG!$B$11="Annual",MONTH(O28)=7),X28*CONFIG!$B$6/12,Y27)</f>
        <v/>
      </c>
      <c r="Z28" s="19">
        <f>IF(X28=0,0,V28-Y28*V28/X28)</f>
        <v/>
      </c>
      <c r="AA28" s="19">
        <f>IF(X28=0,0,W28-Y28*W28/X28)</f>
        <v/>
      </c>
      <c r="AC28" s="18">
        <f>DATA!A28</f>
        <v/>
      </c>
      <c r="AD28">
        <f>DATA!B28</f>
        <v/>
      </c>
      <c r="AE28" s="19">
        <f>AN27</f>
        <v/>
      </c>
      <c r="AF28" s="19">
        <f>AO27</f>
        <v/>
      </c>
      <c r="AG28" s="19">
        <f>AE28+AF28</f>
        <v/>
      </c>
      <c r="AH28" s="20">
        <f>DATA!E28</f>
        <v/>
      </c>
      <c r="AI28" s="20">
        <f>DATA!G28</f>
        <v/>
      </c>
      <c r="AJ28" s="19">
        <f>AE28*(1+AH28)</f>
        <v/>
      </c>
      <c r="AK28" s="19">
        <f>AF28*(1+AI28)</f>
        <v/>
      </c>
      <c r="AL28" s="19">
        <f>AJ28+AK28</f>
        <v/>
      </c>
      <c r="AM28" s="19">
        <f>IF(AND(CONFIG!$B$11="Annual",MONTH(AC28)=7),AL28*CONFIG!$B$6/12,AM27)</f>
        <v/>
      </c>
      <c r="AN28" s="19">
        <f>IF(AL28=0,0,AJ28-AM28*AJ28/AL28)</f>
        <v/>
      </c>
      <c r="AO28" s="19">
        <f>IF(AL28=0,0,AK28-AM28*AK28/AL28)</f>
        <v/>
      </c>
    </row>
    <row r="29">
      <c r="A29" s="18">
        <f>DATA!A29</f>
        <v/>
      </c>
      <c r="B29">
        <f>DATA!B29</f>
        <v/>
      </c>
      <c r="C29" s="19">
        <f>L28</f>
        <v/>
      </c>
      <c r="D29" s="19">
        <f>M28</f>
        <v/>
      </c>
      <c r="E29" s="19">
        <f>C29+D29</f>
        <v/>
      </c>
      <c r="F29" s="20">
        <f>DATA!C29</f>
        <v/>
      </c>
      <c r="G29" s="20">
        <f>DATA!G29</f>
        <v/>
      </c>
      <c r="H29" s="19">
        <f>C29*(1+F29)</f>
        <v/>
      </c>
      <c r="I29" s="19">
        <f>D29*(1+G29)</f>
        <v/>
      </c>
      <c r="J29" s="19">
        <f>H29+I29</f>
        <v/>
      </c>
      <c r="K29" s="19">
        <f>IF(AND(CONFIG!$B$11="Annual",MONTH(A29)=7),J29*CONFIG!$B$6/12,K28)</f>
        <v/>
      </c>
      <c r="L29" s="19">
        <f>IF(J29=0,0,H29-K29*H29/J29)</f>
        <v/>
      </c>
      <c r="M29" s="19">
        <f>IF(J29=0,0,I29-K29*I29/J29)</f>
        <v/>
      </c>
      <c r="O29" s="18">
        <f>DATA!A29</f>
        <v/>
      </c>
      <c r="P29">
        <f>DATA!B29</f>
        <v/>
      </c>
      <c r="Q29" s="19">
        <f>Z28</f>
        <v/>
      </c>
      <c r="R29" s="19">
        <f>AA28</f>
        <v/>
      </c>
      <c r="S29" s="19">
        <f>Q29+R29</f>
        <v/>
      </c>
      <c r="T29" s="20">
        <f>DATA!D29</f>
        <v/>
      </c>
      <c r="U29" s="20">
        <f>DATA!G29</f>
        <v/>
      </c>
      <c r="V29" s="19">
        <f>Q29*(1+T29)</f>
        <v/>
      </c>
      <c r="W29" s="19">
        <f>R29*(1+U29)</f>
        <v/>
      </c>
      <c r="X29" s="19">
        <f>V29+W29</f>
        <v/>
      </c>
      <c r="Y29" s="19">
        <f>IF(AND(CONFIG!$B$11="Annual",MONTH(O29)=7),X29*CONFIG!$B$6/12,Y28)</f>
        <v/>
      </c>
      <c r="Z29" s="19">
        <f>IF(X29=0,0,V29-Y29*V29/X29)</f>
        <v/>
      </c>
      <c r="AA29" s="19">
        <f>IF(X29=0,0,W29-Y29*W29/X29)</f>
        <v/>
      </c>
      <c r="AC29" s="18">
        <f>DATA!A29</f>
        <v/>
      </c>
      <c r="AD29">
        <f>DATA!B29</f>
        <v/>
      </c>
      <c r="AE29" s="19">
        <f>AN28</f>
        <v/>
      </c>
      <c r="AF29" s="19">
        <f>AO28</f>
        <v/>
      </c>
      <c r="AG29" s="19">
        <f>AE29+AF29</f>
        <v/>
      </c>
      <c r="AH29" s="20">
        <f>DATA!E29</f>
        <v/>
      </c>
      <c r="AI29" s="20">
        <f>DATA!G29</f>
        <v/>
      </c>
      <c r="AJ29" s="19">
        <f>AE29*(1+AH29)</f>
        <v/>
      </c>
      <c r="AK29" s="19">
        <f>AF29*(1+AI29)</f>
        <v/>
      </c>
      <c r="AL29" s="19">
        <f>AJ29+AK29</f>
        <v/>
      </c>
      <c r="AM29" s="19">
        <f>IF(AND(CONFIG!$B$11="Annual",MONTH(AC29)=7),AL29*CONFIG!$B$6/12,AM28)</f>
        <v/>
      </c>
      <c r="AN29" s="19">
        <f>IF(AL29=0,0,AJ29-AM29*AJ29/AL29)</f>
        <v/>
      </c>
      <c r="AO29" s="19">
        <f>IF(AL29=0,0,AK29-AM29*AK29/AL29)</f>
        <v/>
      </c>
    </row>
    <row r="30">
      <c r="A30" s="18">
        <f>DATA!A30</f>
        <v/>
      </c>
      <c r="B30">
        <f>DATA!B30</f>
        <v/>
      </c>
      <c r="C30" s="19">
        <f>L29</f>
        <v/>
      </c>
      <c r="D30" s="19">
        <f>M29</f>
        <v/>
      </c>
      <c r="E30" s="19">
        <f>C30+D30</f>
        <v/>
      </c>
      <c r="F30" s="20">
        <f>DATA!C30</f>
        <v/>
      </c>
      <c r="G30" s="20">
        <f>DATA!G30</f>
        <v/>
      </c>
      <c r="H30" s="19">
        <f>C30*(1+F30)</f>
        <v/>
      </c>
      <c r="I30" s="19">
        <f>D30*(1+G30)</f>
        <v/>
      </c>
      <c r="J30" s="19">
        <f>H30+I30</f>
        <v/>
      </c>
      <c r="K30" s="19">
        <f>IF(AND(CONFIG!$B$11="Annual",MONTH(A30)=7),J30*CONFIG!$B$6/12,K29)</f>
        <v/>
      </c>
      <c r="L30" s="19">
        <f>IF(J30=0,0,H30-K30*H30/J30)</f>
        <v/>
      </c>
      <c r="M30" s="19">
        <f>IF(J30=0,0,I30-K30*I30/J30)</f>
        <v/>
      </c>
      <c r="O30" s="18">
        <f>DATA!A30</f>
        <v/>
      </c>
      <c r="P30">
        <f>DATA!B30</f>
        <v/>
      </c>
      <c r="Q30" s="19">
        <f>Z29</f>
        <v/>
      </c>
      <c r="R30" s="19">
        <f>AA29</f>
        <v/>
      </c>
      <c r="S30" s="19">
        <f>Q30+R30</f>
        <v/>
      </c>
      <c r="T30" s="20">
        <f>DATA!D30</f>
        <v/>
      </c>
      <c r="U30" s="20">
        <f>DATA!G30</f>
        <v/>
      </c>
      <c r="V30" s="19">
        <f>Q30*(1+T30)</f>
        <v/>
      </c>
      <c r="W30" s="19">
        <f>R30*(1+U30)</f>
        <v/>
      </c>
      <c r="X30" s="19">
        <f>V30+W30</f>
        <v/>
      </c>
      <c r="Y30" s="19">
        <f>IF(AND(CONFIG!$B$11="Annual",MONTH(O30)=7),X30*CONFIG!$B$6/12,Y29)</f>
        <v/>
      </c>
      <c r="Z30" s="19">
        <f>IF(X30=0,0,V30-Y30*V30/X30)</f>
        <v/>
      </c>
      <c r="AA30" s="19">
        <f>IF(X30=0,0,W30-Y30*W30/X30)</f>
        <v/>
      </c>
      <c r="AC30" s="18">
        <f>DATA!A30</f>
        <v/>
      </c>
      <c r="AD30">
        <f>DATA!B30</f>
        <v/>
      </c>
      <c r="AE30" s="19">
        <f>AN29</f>
        <v/>
      </c>
      <c r="AF30" s="19">
        <f>AO29</f>
        <v/>
      </c>
      <c r="AG30" s="19">
        <f>AE30+AF30</f>
        <v/>
      </c>
      <c r="AH30" s="20">
        <f>DATA!E30</f>
        <v/>
      </c>
      <c r="AI30" s="20">
        <f>DATA!G30</f>
        <v/>
      </c>
      <c r="AJ30" s="19">
        <f>AE30*(1+AH30)</f>
        <v/>
      </c>
      <c r="AK30" s="19">
        <f>AF30*(1+AI30)</f>
        <v/>
      </c>
      <c r="AL30" s="19">
        <f>AJ30+AK30</f>
        <v/>
      </c>
      <c r="AM30" s="19">
        <f>IF(AND(CONFIG!$B$11="Annual",MONTH(AC30)=7),AL30*CONFIG!$B$6/12,AM29)</f>
        <v/>
      </c>
      <c r="AN30" s="19">
        <f>IF(AL30=0,0,AJ30-AM30*AJ30/AL30)</f>
        <v/>
      </c>
      <c r="AO30" s="19">
        <f>IF(AL30=0,0,AK30-AM30*AK30/AL30)</f>
        <v/>
      </c>
    </row>
    <row r="31">
      <c r="A31" s="18">
        <f>DATA!A31</f>
        <v/>
      </c>
      <c r="B31">
        <f>DATA!B31</f>
        <v/>
      </c>
      <c r="C31" s="19">
        <f>L30</f>
        <v/>
      </c>
      <c r="D31" s="19">
        <f>M30</f>
        <v/>
      </c>
      <c r="E31" s="19">
        <f>C31+D31</f>
        <v/>
      </c>
      <c r="F31" s="20">
        <f>DATA!C31</f>
        <v/>
      </c>
      <c r="G31" s="20">
        <f>DATA!G31</f>
        <v/>
      </c>
      <c r="H31" s="19">
        <f>C31*(1+F31)</f>
        <v/>
      </c>
      <c r="I31" s="19">
        <f>D31*(1+G31)</f>
        <v/>
      </c>
      <c r="J31" s="19">
        <f>H31+I31</f>
        <v/>
      </c>
      <c r="K31" s="19">
        <f>IF(AND(CONFIG!$B$11="Annual",MONTH(A31)=7),J31*CONFIG!$B$6/12,K30)</f>
        <v/>
      </c>
      <c r="L31" s="19">
        <f>IF(J31=0,0,H31-K31*H31/J31)</f>
        <v/>
      </c>
      <c r="M31" s="19">
        <f>IF(J31=0,0,I31-K31*I31/J31)</f>
        <v/>
      </c>
      <c r="O31" s="18">
        <f>DATA!A31</f>
        <v/>
      </c>
      <c r="P31">
        <f>DATA!B31</f>
        <v/>
      </c>
      <c r="Q31" s="19">
        <f>Z30</f>
        <v/>
      </c>
      <c r="R31" s="19">
        <f>AA30</f>
        <v/>
      </c>
      <c r="S31" s="19">
        <f>Q31+R31</f>
        <v/>
      </c>
      <c r="T31" s="20">
        <f>DATA!D31</f>
        <v/>
      </c>
      <c r="U31" s="20">
        <f>DATA!G31</f>
        <v/>
      </c>
      <c r="V31" s="19">
        <f>Q31*(1+T31)</f>
        <v/>
      </c>
      <c r="W31" s="19">
        <f>R31*(1+U31)</f>
        <v/>
      </c>
      <c r="X31" s="19">
        <f>V31+W31</f>
        <v/>
      </c>
      <c r="Y31" s="19">
        <f>IF(AND(CONFIG!$B$11="Annual",MONTH(O31)=7),X31*CONFIG!$B$6/12,Y30)</f>
        <v/>
      </c>
      <c r="Z31" s="19">
        <f>IF(X31=0,0,V31-Y31*V31/X31)</f>
        <v/>
      </c>
      <c r="AA31" s="19">
        <f>IF(X31=0,0,W31-Y31*W31/X31)</f>
        <v/>
      </c>
      <c r="AC31" s="18">
        <f>DATA!A31</f>
        <v/>
      </c>
      <c r="AD31">
        <f>DATA!B31</f>
        <v/>
      </c>
      <c r="AE31" s="19">
        <f>AN30</f>
        <v/>
      </c>
      <c r="AF31" s="19">
        <f>AO30</f>
        <v/>
      </c>
      <c r="AG31" s="19">
        <f>AE31+AF31</f>
        <v/>
      </c>
      <c r="AH31" s="20">
        <f>DATA!E31</f>
        <v/>
      </c>
      <c r="AI31" s="20">
        <f>DATA!G31</f>
        <v/>
      </c>
      <c r="AJ31" s="19">
        <f>AE31*(1+AH31)</f>
        <v/>
      </c>
      <c r="AK31" s="19">
        <f>AF31*(1+AI31)</f>
        <v/>
      </c>
      <c r="AL31" s="19">
        <f>AJ31+AK31</f>
        <v/>
      </c>
      <c r="AM31" s="19">
        <f>IF(AND(CONFIG!$B$11="Annual",MONTH(AC31)=7),AL31*CONFIG!$B$6/12,AM30)</f>
        <v/>
      </c>
      <c r="AN31" s="19">
        <f>IF(AL31=0,0,AJ31-AM31*AJ31/AL31)</f>
        <v/>
      </c>
      <c r="AO31" s="19">
        <f>IF(AL31=0,0,AK31-AM31*AK31/AL31)</f>
        <v/>
      </c>
    </row>
    <row r="32">
      <c r="A32" s="18">
        <f>DATA!A32</f>
        <v/>
      </c>
      <c r="B32">
        <f>DATA!B32</f>
        <v/>
      </c>
      <c r="C32" s="19">
        <f>L31</f>
        <v/>
      </c>
      <c r="D32" s="19">
        <f>M31</f>
        <v/>
      </c>
      <c r="E32" s="19">
        <f>C32+D32</f>
        <v/>
      </c>
      <c r="F32" s="20">
        <f>DATA!C32</f>
        <v/>
      </c>
      <c r="G32" s="20">
        <f>DATA!G32</f>
        <v/>
      </c>
      <c r="H32" s="19">
        <f>C32*(1+F32)</f>
        <v/>
      </c>
      <c r="I32" s="19">
        <f>D32*(1+G32)</f>
        <v/>
      </c>
      <c r="J32" s="19">
        <f>H32+I32</f>
        <v/>
      </c>
      <c r="K32" s="19">
        <f>IF(AND(CONFIG!$B$11="Annual",MONTH(A32)=7),J32*CONFIG!$B$6/12,K31)</f>
        <v/>
      </c>
      <c r="L32" s="19">
        <f>IF(J32=0,0,H32-K32*H32/J32)</f>
        <v/>
      </c>
      <c r="M32" s="19">
        <f>IF(J32=0,0,I32-K32*I32/J32)</f>
        <v/>
      </c>
      <c r="O32" s="18">
        <f>DATA!A32</f>
        <v/>
      </c>
      <c r="P32">
        <f>DATA!B32</f>
        <v/>
      </c>
      <c r="Q32" s="19">
        <f>Z31</f>
        <v/>
      </c>
      <c r="R32" s="19">
        <f>AA31</f>
        <v/>
      </c>
      <c r="S32" s="19">
        <f>Q32+R32</f>
        <v/>
      </c>
      <c r="T32" s="20">
        <f>DATA!D32</f>
        <v/>
      </c>
      <c r="U32" s="20">
        <f>DATA!G32</f>
        <v/>
      </c>
      <c r="V32" s="19">
        <f>Q32*(1+T32)</f>
        <v/>
      </c>
      <c r="W32" s="19">
        <f>R32*(1+U32)</f>
        <v/>
      </c>
      <c r="X32" s="19">
        <f>V32+W32</f>
        <v/>
      </c>
      <c r="Y32" s="19">
        <f>IF(AND(CONFIG!$B$11="Annual",MONTH(O32)=7),X32*CONFIG!$B$6/12,Y31)</f>
        <v/>
      </c>
      <c r="Z32" s="19">
        <f>IF(X32=0,0,V32-Y32*V32/X32)</f>
        <v/>
      </c>
      <c r="AA32" s="19">
        <f>IF(X32=0,0,W32-Y32*W32/X32)</f>
        <v/>
      </c>
      <c r="AC32" s="18">
        <f>DATA!A32</f>
        <v/>
      </c>
      <c r="AD32">
        <f>DATA!B32</f>
        <v/>
      </c>
      <c r="AE32" s="19">
        <f>AN31</f>
        <v/>
      </c>
      <c r="AF32" s="19">
        <f>AO31</f>
        <v/>
      </c>
      <c r="AG32" s="19">
        <f>AE32+AF32</f>
        <v/>
      </c>
      <c r="AH32" s="20">
        <f>DATA!E32</f>
        <v/>
      </c>
      <c r="AI32" s="20">
        <f>DATA!G32</f>
        <v/>
      </c>
      <c r="AJ32" s="19">
        <f>AE32*(1+AH32)</f>
        <v/>
      </c>
      <c r="AK32" s="19">
        <f>AF32*(1+AI32)</f>
        <v/>
      </c>
      <c r="AL32" s="19">
        <f>AJ32+AK32</f>
        <v/>
      </c>
      <c r="AM32" s="19">
        <f>IF(AND(CONFIG!$B$11="Annual",MONTH(AC32)=7),AL32*CONFIG!$B$6/12,AM31)</f>
        <v/>
      </c>
      <c r="AN32" s="19">
        <f>IF(AL32=0,0,AJ32-AM32*AJ32/AL32)</f>
        <v/>
      </c>
      <c r="AO32" s="19">
        <f>IF(AL32=0,0,AK32-AM32*AK32/AL32)</f>
        <v/>
      </c>
    </row>
    <row r="33">
      <c r="A33" s="18">
        <f>DATA!A33</f>
        <v/>
      </c>
      <c r="B33">
        <f>DATA!B33</f>
        <v/>
      </c>
      <c r="C33" s="19">
        <f>L32</f>
        <v/>
      </c>
      <c r="D33" s="19">
        <f>M32</f>
        <v/>
      </c>
      <c r="E33" s="19">
        <f>C33+D33</f>
        <v/>
      </c>
      <c r="F33" s="20">
        <f>DATA!C33</f>
        <v/>
      </c>
      <c r="G33" s="20">
        <f>DATA!G33</f>
        <v/>
      </c>
      <c r="H33" s="19">
        <f>C33*(1+F33)</f>
        <v/>
      </c>
      <c r="I33" s="19">
        <f>D33*(1+G33)</f>
        <v/>
      </c>
      <c r="J33" s="19">
        <f>H33+I33</f>
        <v/>
      </c>
      <c r="K33" s="19">
        <f>IF(AND(CONFIG!$B$11="Annual",MONTH(A33)=7),J33*CONFIG!$B$6/12,K32)</f>
        <v/>
      </c>
      <c r="L33" s="19">
        <f>IF(J33=0,0,H33-K33*H33/J33)</f>
        <v/>
      </c>
      <c r="M33" s="19">
        <f>IF(J33=0,0,I33-K33*I33/J33)</f>
        <v/>
      </c>
      <c r="O33" s="18">
        <f>DATA!A33</f>
        <v/>
      </c>
      <c r="P33">
        <f>DATA!B33</f>
        <v/>
      </c>
      <c r="Q33" s="19">
        <f>Z32</f>
        <v/>
      </c>
      <c r="R33" s="19">
        <f>AA32</f>
        <v/>
      </c>
      <c r="S33" s="19">
        <f>Q33+R33</f>
        <v/>
      </c>
      <c r="T33" s="20">
        <f>DATA!D33</f>
        <v/>
      </c>
      <c r="U33" s="20">
        <f>DATA!G33</f>
        <v/>
      </c>
      <c r="V33" s="19">
        <f>Q33*(1+T33)</f>
        <v/>
      </c>
      <c r="W33" s="19">
        <f>R33*(1+U33)</f>
        <v/>
      </c>
      <c r="X33" s="19">
        <f>V33+W33</f>
        <v/>
      </c>
      <c r="Y33" s="19">
        <f>IF(AND(CONFIG!$B$11="Annual",MONTH(O33)=7),X33*CONFIG!$B$6/12,Y32)</f>
        <v/>
      </c>
      <c r="Z33" s="19">
        <f>IF(X33=0,0,V33-Y33*V33/X33)</f>
        <v/>
      </c>
      <c r="AA33" s="19">
        <f>IF(X33=0,0,W33-Y33*W33/X33)</f>
        <v/>
      </c>
      <c r="AC33" s="18">
        <f>DATA!A33</f>
        <v/>
      </c>
      <c r="AD33">
        <f>DATA!B33</f>
        <v/>
      </c>
      <c r="AE33" s="19">
        <f>AN32</f>
        <v/>
      </c>
      <c r="AF33" s="19">
        <f>AO32</f>
        <v/>
      </c>
      <c r="AG33" s="19">
        <f>AE33+AF33</f>
        <v/>
      </c>
      <c r="AH33" s="20">
        <f>DATA!E33</f>
        <v/>
      </c>
      <c r="AI33" s="20">
        <f>DATA!G33</f>
        <v/>
      </c>
      <c r="AJ33" s="19">
        <f>AE33*(1+AH33)</f>
        <v/>
      </c>
      <c r="AK33" s="19">
        <f>AF33*(1+AI33)</f>
        <v/>
      </c>
      <c r="AL33" s="19">
        <f>AJ33+AK33</f>
        <v/>
      </c>
      <c r="AM33" s="19">
        <f>IF(AND(CONFIG!$B$11="Annual",MONTH(AC33)=7),AL33*CONFIG!$B$6/12,AM32)</f>
        <v/>
      </c>
      <c r="AN33" s="19">
        <f>IF(AL33=0,0,AJ33-AM33*AJ33/AL33)</f>
        <v/>
      </c>
      <c r="AO33" s="19">
        <f>IF(AL33=0,0,AK33-AM33*AK33/AL33)</f>
        <v/>
      </c>
    </row>
    <row r="34">
      <c r="A34" s="18">
        <f>DATA!A34</f>
        <v/>
      </c>
      <c r="B34">
        <f>DATA!B34</f>
        <v/>
      </c>
      <c r="C34" s="19">
        <f>L33</f>
        <v/>
      </c>
      <c r="D34" s="19">
        <f>M33</f>
        <v/>
      </c>
      <c r="E34" s="19">
        <f>C34+D34</f>
        <v/>
      </c>
      <c r="F34" s="20">
        <f>DATA!C34</f>
        <v/>
      </c>
      <c r="G34" s="20">
        <f>DATA!G34</f>
        <v/>
      </c>
      <c r="H34" s="19">
        <f>C34*(1+F34)</f>
        <v/>
      </c>
      <c r="I34" s="19">
        <f>D34*(1+G34)</f>
        <v/>
      </c>
      <c r="J34" s="19">
        <f>H34+I34</f>
        <v/>
      </c>
      <c r="K34" s="19">
        <f>IF(AND(CONFIG!$B$11="Annual",MONTH(A34)=7),J34*CONFIG!$B$6/12,K33)</f>
        <v/>
      </c>
      <c r="L34" s="19">
        <f>IF(J34=0,0,H34-K34*H34/J34)</f>
        <v/>
      </c>
      <c r="M34" s="19">
        <f>IF(J34=0,0,I34-K34*I34/J34)</f>
        <v/>
      </c>
      <c r="O34" s="18">
        <f>DATA!A34</f>
        <v/>
      </c>
      <c r="P34">
        <f>DATA!B34</f>
        <v/>
      </c>
      <c r="Q34" s="19">
        <f>Z33</f>
        <v/>
      </c>
      <c r="R34" s="19">
        <f>AA33</f>
        <v/>
      </c>
      <c r="S34" s="19">
        <f>Q34+R34</f>
        <v/>
      </c>
      <c r="T34" s="20">
        <f>DATA!D34</f>
        <v/>
      </c>
      <c r="U34" s="20">
        <f>DATA!G34</f>
        <v/>
      </c>
      <c r="V34" s="19">
        <f>Q34*(1+T34)</f>
        <v/>
      </c>
      <c r="W34" s="19">
        <f>R34*(1+U34)</f>
        <v/>
      </c>
      <c r="X34" s="19">
        <f>V34+W34</f>
        <v/>
      </c>
      <c r="Y34" s="19">
        <f>IF(AND(CONFIG!$B$11="Annual",MONTH(O34)=7),X34*CONFIG!$B$6/12,Y33)</f>
        <v/>
      </c>
      <c r="Z34" s="19">
        <f>IF(X34=0,0,V34-Y34*V34/X34)</f>
        <v/>
      </c>
      <c r="AA34" s="19">
        <f>IF(X34=0,0,W34-Y34*W34/X34)</f>
        <v/>
      </c>
      <c r="AC34" s="18">
        <f>DATA!A34</f>
        <v/>
      </c>
      <c r="AD34">
        <f>DATA!B34</f>
        <v/>
      </c>
      <c r="AE34" s="19">
        <f>AN33</f>
        <v/>
      </c>
      <c r="AF34" s="19">
        <f>AO33</f>
        <v/>
      </c>
      <c r="AG34" s="19">
        <f>AE34+AF34</f>
        <v/>
      </c>
      <c r="AH34" s="20">
        <f>DATA!E34</f>
        <v/>
      </c>
      <c r="AI34" s="20">
        <f>DATA!G34</f>
        <v/>
      </c>
      <c r="AJ34" s="19">
        <f>AE34*(1+AH34)</f>
        <v/>
      </c>
      <c r="AK34" s="19">
        <f>AF34*(1+AI34)</f>
        <v/>
      </c>
      <c r="AL34" s="19">
        <f>AJ34+AK34</f>
        <v/>
      </c>
      <c r="AM34" s="19">
        <f>IF(AND(CONFIG!$B$11="Annual",MONTH(AC34)=7),AL34*CONFIG!$B$6/12,AM33)</f>
        <v/>
      </c>
      <c r="AN34" s="19">
        <f>IF(AL34=0,0,AJ34-AM34*AJ34/AL34)</f>
        <v/>
      </c>
      <c r="AO34" s="19">
        <f>IF(AL34=0,0,AK34-AM34*AK34/AL34)</f>
        <v/>
      </c>
    </row>
    <row r="35">
      <c r="A35" s="18">
        <f>DATA!A35</f>
        <v/>
      </c>
      <c r="B35">
        <f>DATA!B35</f>
        <v/>
      </c>
      <c r="C35" s="19">
        <f>L34</f>
        <v/>
      </c>
      <c r="D35" s="19">
        <f>M34</f>
        <v/>
      </c>
      <c r="E35" s="19">
        <f>C35+D35</f>
        <v/>
      </c>
      <c r="F35" s="20">
        <f>DATA!C35</f>
        <v/>
      </c>
      <c r="G35" s="20">
        <f>DATA!G35</f>
        <v/>
      </c>
      <c r="H35" s="19">
        <f>C35*(1+F35)</f>
        <v/>
      </c>
      <c r="I35" s="19">
        <f>D35*(1+G35)</f>
        <v/>
      </c>
      <c r="J35" s="19">
        <f>H35+I35</f>
        <v/>
      </c>
      <c r="K35" s="19">
        <f>IF(AND(CONFIG!$B$11="Annual",MONTH(A35)=7),J35*CONFIG!$B$6/12,K34)</f>
        <v/>
      </c>
      <c r="L35" s="19">
        <f>IF(J35=0,0,H35-K35*H35/J35)</f>
        <v/>
      </c>
      <c r="M35" s="19">
        <f>IF(J35=0,0,I35-K35*I35/J35)</f>
        <v/>
      </c>
      <c r="O35" s="18">
        <f>DATA!A35</f>
        <v/>
      </c>
      <c r="P35">
        <f>DATA!B35</f>
        <v/>
      </c>
      <c r="Q35" s="19">
        <f>Z34</f>
        <v/>
      </c>
      <c r="R35" s="19">
        <f>AA34</f>
        <v/>
      </c>
      <c r="S35" s="19">
        <f>Q35+R35</f>
        <v/>
      </c>
      <c r="T35" s="20">
        <f>DATA!D35</f>
        <v/>
      </c>
      <c r="U35" s="20">
        <f>DATA!G35</f>
        <v/>
      </c>
      <c r="V35" s="19">
        <f>Q35*(1+T35)</f>
        <v/>
      </c>
      <c r="W35" s="19">
        <f>R35*(1+U35)</f>
        <v/>
      </c>
      <c r="X35" s="19">
        <f>V35+W35</f>
        <v/>
      </c>
      <c r="Y35" s="19">
        <f>IF(AND(CONFIG!$B$11="Annual",MONTH(O35)=7),X35*CONFIG!$B$6/12,Y34)</f>
        <v/>
      </c>
      <c r="Z35" s="19">
        <f>IF(X35=0,0,V35-Y35*V35/X35)</f>
        <v/>
      </c>
      <c r="AA35" s="19">
        <f>IF(X35=0,0,W35-Y35*W35/X35)</f>
        <v/>
      </c>
      <c r="AC35" s="18">
        <f>DATA!A35</f>
        <v/>
      </c>
      <c r="AD35">
        <f>DATA!B35</f>
        <v/>
      </c>
      <c r="AE35" s="19">
        <f>AN34</f>
        <v/>
      </c>
      <c r="AF35" s="19">
        <f>AO34</f>
        <v/>
      </c>
      <c r="AG35" s="19">
        <f>AE35+AF35</f>
        <v/>
      </c>
      <c r="AH35" s="20">
        <f>DATA!E35</f>
        <v/>
      </c>
      <c r="AI35" s="20">
        <f>DATA!G35</f>
        <v/>
      </c>
      <c r="AJ35" s="19">
        <f>AE35*(1+AH35)</f>
        <v/>
      </c>
      <c r="AK35" s="19">
        <f>AF35*(1+AI35)</f>
        <v/>
      </c>
      <c r="AL35" s="19">
        <f>AJ35+AK35</f>
        <v/>
      </c>
      <c r="AM35" s="19">
        <f>IF(AND(CONFIG!$B$11="Annual",MONTH(AC35)=7),AL35*CONFIG!$B$6/12,AM34)</f>
        <v/>
      </c>
      <c r="AN35" s="19">
        <f>IF(AL35=0,0,AJ35-AM35*AJ35/AL35)</f>
        <v/>
      </c>
      <c r="AO35" s="19">
        <f>IF(AL35=0,0,AK35-AM35*AK35/AL35)</f>
        <v/>
      </c>
    </row>
    <row r="36">
      <c r="A36" s="18">
        <f>DATA!A36</f>
        <v/>
      </c>
      <c r="B36">
        <f>DATA!B36</f>
        <v/>
      </c>
      <c r="C36" s="19">
        <f>L35</f>
        <v/>
      </c>
      <c r="D36" s="19">
        <f>M35</f>
        <v/>
      </c>
      <c r="E36" s="19">
        <f>C36+D36</f>
        <v/>
      </c>
      <c r="F36" s="20">
        <f>DATA!C36</f>
        <v/>
      </c>
      <c r="G36" s="20">
        <f>DATA!G36</f>
        <v/>
      </c>
      <c r="H36" s="19">
        <f>C36*(1+F36)</f>
        <v/>
      </c>
      <c r="I36" s="19">
        <f>D36*(1+G36)</f>
        <v/>
      </c>
      <c r="J36" s="19">
        <f>H36+I36</f>
        <v/>
      </c>
      <c r="K36" s="19">
        <f>IF(AND(CONFIG!$B$11="Annual",MONTH(A36)=7),J36*CONFIG!$B$6/12,K35)</f>
        <v/>
      </c>
      <c r="L36" s="19">
        <f>IF(J36=0,0,H36-K36*H36/J36)</f>
        <v/>
      </c>
      <c r="M36" s="19">
        <f>IF(J36=0,0,I36-K36*I36/J36)</f>
        <v/>
      </c>
      <c r="O36" s="18">
        <f>DATA!A36</f>
        <v/>
      </c>
      <c r="P36">
        <f>DATA!B36</f>
        <v/>
      </c>
      <c r="Q36" s="19">
        <f>Z35</f>
        <v/>
      </c>
      <c r="R36" s="19">
        <f>AA35</f>
        <v/>
      </c>
      <c r="S36" s="19">
        <f>Q36+R36</f>
        <v/>
      </c>
      <c r="T36" s="20">
        <f>DATA!D36</f>
        <v/>
      </c>
      <c r="U36" s="20">
        <f>DATA!G36</f>
        <v/>
      </c>
      <c r="V36" s="19">
        <f>Q36*(1+T36)</f>
        <v/>
      </c>
      <c r="W36" s="19">
        <f>R36*(1+U36)</f>
        <v/>
      </c>
      <c r="X36" s="19">
        <f>V36+W36</f>
        <v/>
      </c>
      <c r="Y36" s="19">
        <f>IF(AND(CONFIG!$B$11="Annual",MONTH(O36)=7),X36*CONFIG!$B$6/12,Y35)</f>
        <v/>
      </c>
      <c r="Z36" s="19">
        <f>IF(X36=0,0,V36-Y36*V36/X36)</f>
        <v/>
      </c>
      <c r="AA36" s="19">
        <f>IF(X36=0,0,W36-Y36*W36/X36)</f>
        <v/>
      </c>
      <c r="AC36" s="18">
        <f>DATA!A36</f>
        <v/>
      </c>
      <c r="AD36">
        <f>DATA!B36</f>
        <v/>
      </c>
      <c r="AE36" s="19">
        <f>AN35</f>
        <v/>
      </c>
      <c r="AF36" s="19">
        <f>AO35</f>
        <v/>
      </c>
      <c r="AG36" s="19">
        <f>AE36+AF36</f>
        <v/>
      </c>
      <c r="AH36" s="20">
        <f>DATA!E36</f>
        <v/>
      </c>
      <c r="AI36" s="20">
        <f>DATA!G36</f>
        <v/>
      </c>
      <c r="AJ36" s="19">
        <f>AE36*(1+AH36)</f>
        <v/>
      </c>
      <c r="AK36" s="19">
        <f>AF36*(1+AI36)</f>
        <v/>
      </c>
      <c r="AL36" s="19">
        <f>AJ36+AK36</f>
        <v/>
      </c>
      <c r="AM36" s="19">
        <f>IF(AND(CONFIG!$B$11="Annual",MONTH(AC36)=7),AL36*CONFIG!$B$6/12,AM35)</f>
        <v/>
      </c>
      <c r="AN36" s="19">
        <f>IF(AL36=0,0,AJ36-AM36*AJ36/AL36)</f>
        <v/>
      </c>
      <c r="AO36" s="19">
        <f>IF(AL36=0,0,AK36-AM36*AK36/AL36)</f>
        <v/>
      </c>
    </row>
    <row r="37">
      <c r="A37" s="18">
        <f>DATA!A37</f>
        <v/>
      </c>
      <c r="B37">
        <f>DATA!B37</f>
        <v/>
      </c>
      <c r="C37" s="19">
        <f>L36</f>
        <v/>
      </c>
      <c r="D37" s="19">
        <f>M36</f>
        <v/>
      </c>
      <c r="E37" s="19">
        <f>C37+D37</f>
        <v/>
      </c>
      <c r="F37" s="20">
        <f>DATA!C37</f>
        <v/>
      </c>
      <c r="G37" s="20">
        <f>DATA!G37</f>
        <v/>
      </c>
      <c r="H37" s="19">
        <f>C37*(1+F37)</f>
        <v/>
      </c>
      <c r="I37" s="19">
        <f>D37*(1+G37)</f>
        <v/>
      </c>
      <c r="J37" s="19">
        <f>H37+I37</f>
        <v/>
      </c>
      <c r="K37" s="19">
        <f>IF(AND(CONFIG!$B$11="Annual",MONTH(A37)=7),J37*CONFIG!$B$6/12,K36)</f>
        <v/>
      </c>
      <c r="L37" s="19">
        <f>IF(J37=0,0,H37-K37*H37/J37)</f>
        <v/>
      </c>
      <c r="M37" s="19">
        <f>IF(J37=0,0,I37-K37*I37/J37)</f>
        <v/>
      </c>
      <c r="O37" s="18">
        <f>DATA!A37</f>
        <v/>
      </c>
      <c r="P37">
        <f>DATA!B37</f>
        <v/>
      </c>
      <c r="Q37" s="19">
        <f>Z36</f>
        <v/>
      </c>
      <c r="R37" s="19">
        <f>AA36</f>
        <v/>
      </c>
      <c r="S37" s="19">
        <f>Q37+R37</f>
        <v/>
      </c>
      <c r="T37" s="20">
        <f>DATA!D37</f>
        <v/>
      </c>
      <c r="U37" s="20">
        <f>DATA!G37</f>
        <v/>
      </c>
      <c r="V37" s="19">
        <f>Q37*(1+T37)</f>
        <v/>
      </c>
      <c r="W37" s="19">
        <f>R37*(1+U37)</f>
        <v/>
      </c>
      <c r="X37" s="19">
        <f>V37+W37</f>
        <v/>
      </c>
      <c r="Y37" s="19">
        <f>IF(AND(CONFIG!$B$11="Annual",MONTH(O37)=7),X37*CONFIG!$B$6/12,Y36)</f>
        <v/>
      </c>
      <c r="Z37" s="19">
        <f>IF(X37=0,0,V37-Y37*V37/X37)</f>
        <v/>
      </c>
      <c r="AA37" s="19">
        <f>IF(X37=0,0,W37-Y37*W37/X37)</f>
        <v/>
      </c>
      <c r="AC37" s="18">
        <f>DATA!A37</f>
        <v/>
      </c>
      <c r="AD37">
        <f>DATA!B37</f>
        <v/>
      </c>
      <c r="AE37" s="19">
        <f>AN36</f>
        <v/>
      </c>
      <c r="AF37" s="19">
        <f>AO36</f>
        <v/>
      </c>
      <c r="AG37" s="19">
        <f>AE37+AF37</f>
        <v/>
      </c>
      <c r="AH37" s="20">
        <f>DATA!E37</f>
        <v/>
      </c>
      <c r="AI37" s="20">
        <f>DATA!G37</f>
        <v/>
      </c>
      <c r="AJ37" s="19">
        <f>AE37*(1+AH37)</f>
        <v/>
      </c>
      <c r="AK37" s="19">
        <f>AF37*(1+AI37)</f>
        <v/>
      </c>
      <c r="AL37" s="19">
        <f>AJ37+AK37</f>
        <v/>
      </c>
      <c r="AM37" s="19">
        <f>IF(AND(CONFIG!$B$11="Annual",MONTH(AC37)=7),AL37*CONFIG!$B$6/12,AM36)</f>
        <v/>
      </c>
      <c r="AN37" s="19">
        <f>IF(AL37=0,0,AJ37-AM37*AJ37/AL37)</f>
        <v/>
      </c>
      <c r="AO37" s="19">
        <f>IF(AL37=0,0,AK37-AM37*AK37/AL37)</f>
        <v/>
      </c>
    </row>
    <row r="38">
      <c r="A38" s="18">
        <f>DATA!A38</f>
        <v/>
      </c>
      <c r="B38">
        <f>DATA!B38</f>
        <v/>
      </c>
      <c r="C38" s="19">
        <f>L37</f>
        <v/>
      </c>
      <c r="D38" s="19">
        <f>M37</f>
        <v/>
      </c>
      <c r="E38" s="19">
        <f>C38+D38</f>
        <v/>
      </c>
      <c r="F38" s="20">
        <f>DATA!C38</f>
        <v/>
      </c>
      <c r="G38" s="20">
        <f>DATA!G38</f>
        <v/>
      </c>
      <c r="H38" s="19">
        <f>C38*(1+F38)</f>
        <v/>
      </c>
      <c r="I38" s="19">
        <f>D38*(1+G38)</f>
        <v/>
      </c>
      <c r="J38" s="19">
        <f>H38+I38</f>
        <v/>
      </c>
      <c r="K38" s="19">
        <f>IF(AND(CONFIG!$B$11="Annual",MONTH(A38)=7),J38*CONFIG!$B$6/12,K37)</f>
        <v/>
      </c>
      <c r="L38" s="19">
        <f>IF(J38=0,0,H38-K38*H38/J38)</f>
        <v/>
      </c>
      <c r="M38" s="19">
        <f>IF(J38=0,0,I38-K38*I38/J38)</f>
        <v/>
      </c>
      <c r="O38" s="18">
        <f>DATA!A38</f>
        <v/>
      </c>
      <c r="P38">
        <f>DATA!B38</f>
        <v/>
      </c>
      <c r="Q38" s="19">
        <f>Z37</f>
        <v/>
      </c>
      <c r="R38" s="19">
        <f>AA37</f>
        <v/>
      </c>
      <c r="S38" s="19">
        <f>Q38+R38</f>
        <v/>
      </c>
      <c r="T38" s="20">
        <f>DATA!D38</f>
        <v/>
      </c>
      <c r="U38" s="20">
        <f>DATA!G38</f>
        <v/>
      </c>
      <c r="V38" s="19">
        <f>Q38*(1+T38)</f>
        <v/>
      </c>
      <c r="W38" s="19">
        <f>R38*(1+U38)</f>
        <v/>
      </c>
      <c r="X38" s="19">
        <f>V38+W38</f>
        <v/>
      </c>
      <c r="Y38" s="19">
        <f>IF(AND(CONFIG!$B$11="Annual",MONTH(O38)=7),X38*CONFIG!$B$6/12,Y37)</f>
        <v/>
      </c>
      <c r="Z38" s="19">
        <f>IF(X38=0,0,V38-Y38*V38/X38)</f>
        <v/>
      </c>
      <c r="AA38" s="19">
        <f>IF(X38=0,0,W38-Y38*W38/X38)</f>
        <v/>
      </c>
      <c r="AC38" s="18">
        <f>DATA!A38</f>
        <v/>
      </c>
      <c r="AD38">
        <f>DATA!B38</f>
        <v/>
      </c>
      <c r="AE38" s="19">
        <f>AN37</f>
        <v/>
      </c>
      <c r="AF38" s="19">
        <f>AO37</f>
        <v/>
      </c>
      <c r="AG38" s="19">
        <f>AE38+AF38</f>
        <v/>
      </c>
      <c r="AH38" s="20">
        <f>DATA!E38</f>
        <v/>
      </c>
      <c r="AI38" s="20">
        <f>DATA!G38</f>
        <v/>
      </c>
      <c r="AJ38" s="19">
        <f>AE38*(1+AH38)</f>
        <v/>
      </c>
      <c r="AK38" s="19">
        <f>AF38*(1+AI38)</f>
        <v/>
      </c>
      <c r="AL38" s="19">
        <f>AJ38+AK38</f>
        <v/>
      </c>
      <c r="AM38" s="19">
        <f>IF(AND(CONFIG!$B$11="Annual",MONTH(AC38)=7),AL38*CONFIG!$B$6/12,AM37)</f>
        <v/>
      </c>
      <c r="AN38" s="19">
        <f>IF(AL38=0,0,AJ38-AM38*AJ38/AL38)</f>
        <v/>
      </c>
      <c r="AO38" s="19">
        <f>IF(AL38=0,0,AK38-AM38*AK38/AL38)</f>
        <v/>
      </c>
    </row>
    <row r="39">
      <c r="A39" s="18">
        <f>DATA!A39</f>
        <v/>
      </c>
      <c r="B39">
        <f>DATA!B39</f>
        <v/>
      </c>
      <c r="C39" s="19">
        <f>L38</f>
        <v/>
      </c>
      <c r="D39" s="19">
        <f>M38</f>
        <v/>
      </c>
      <c r="E39" s="19">
        <f>C39+D39</f>
        <v/>
      </c>
      <c r="F39" s="20">
        <f>DATA!C39</f>
        <v/>
      </c>
      <c r="G39" s="20">
        <f>DATA!G39</f>
        <v/>
      </c>
      <c r="H39" s="19">
        <f>C39*(1+F39)</f>
        <v/>
      </c>
      <c r="I39" s="19">
        <f>D39*(1+G39)</f>
        <v/>
      </c>
      <c r="J39" s="19">
        <f>H39+I39</f>
        <v/>
      </c>
      <c r="K39" s="19">
        <f>IF(AND(CONFIG!$B$11="Annual",MONTH(A39)=7),J39*CONFIG!$B$6/12,K38)</f>
        <v/>
      </c>
      <c r="L39" s="19">
        <f>IF(J39=0,0,H39-K39*H39/J39)</f>
        <v/>
      </c>
      <c r="M39" s="19">
        <f>IF(J39=0,0,I39-K39*I39/J39)</f>
        <v/>
      </c>
      <c r="O39" s="18">
        <f>DATA!A39</f>
        <v/>
      </c>
      <c r="P39">
        <f>DATA!B39</f>
        <v/>
      </c>
      <c r="Q39" s="19">
        <f>Z38</f>
        <v/>
      </c>
      <c r="R39" s="19">
        <f>AA38</f>
        <v/>
      </c>
      <c r="S39" s="19">
        <f>Q39+R39</f>
        <v/>
      </c>
      <c r="T39" s="20">
        <f>DATA!D39</f>
        <v/>
      </c>
      <c r="U39" s="20">
        <f>DATA!G39</f>
        <v/>
      </c>
      <c r="V39" s="19">
        <f>Q39*(1+T39)</f>
        <v/>
      </c>
      <c r="W39" s="19">
        <f>R39*(1+U39)</f>
        <v/>
      </c>
      <c r="X39" s="19">
        <f>V39+W39</f>
        <v/>
      </c>
      <c r="Y39" s="19">
        <f>IF(AND(CONFIG!$B$11="Annual",MONTH(O39)=7),X39*CONFIG!$B$6/12,Y38)</f>
        <v/>
      </c>
      <c r="Z39" s="19">
        <f>IF(X39=0,0,V39-Y39*V39/X39)</f>
        <v/>
      </c>
      <c r="AA39" s="19">
        <f>IF(X39=0,0,W39-Y39*W39/X39)</f>
        <v/>
      </c>
      <c r="AC39" s="18">
        <f>DATA!A39</f>
        <v/>
      </c>
      <c r="AD39">
        <f>DATA!B39</f>
        <v/>
      </c>
      <c r="AE39" s="19">
        <f>AN38</f>
        <v/>
      </c>
      <c r="AF39" s="19">
        <f>AO38</f>
        <v/>
      </c>
      <c r="AG39" s="19">
        <f>AE39+AF39</f>
        <v/>
      </c>
      <c r="AH39" s="20">
        <f>DATA!E39</f>
        <v/>
      </c>
      <c r="AI39" s="20">
        <f>DATA!G39</f>
        <v/>
      </c>
      <c r="AJ39" s="19">
        <f>AE39*(1+AH39)</f>
        <v/>
      </c>
      <c r="AK39" s="19">
        <f>AF39*(1+AI39)</f>
        <v/>
      </c>
      <c r="AL39" s="19">
        <f>AJ39+AK39</f>
        <v/>
      </c>
      <c r="AM39" s="19">
        <f>IF(AND(CONFIG!$B$11="Annual",MONTH(AC39)=7),AL39*CONFIG!$B$6/12,AM38)</f>
        <v/>
      </c>
      <c r="AN39" s="19">
        <f>IF(AL39=0,0,AJ39-AM39*AJ39/AL39)</f>
        <v/>
      </c>
      <c r="AO39" s="19">
        <f>IF(AL39=0,0,AK39-AM39*AK39/AL39)</f>
        <v/>
      </c>
    </row>
    <row r="40">
      <c r="A40" s="18">
        <f>DATA!A40</f>
        <v/>
      </c>
      <c r="B40">
        <f>DATA!B40</f>
        <v/>
      </c>
      <c r="C40" s="19">
        <f>L39</f>
        <v/>
      </c>
      <c r="D40" s="19">
        <f>M39</f>
        <v/>
      </c>
      <c r="E40" s="19">
        <f>C40+D40</f>
        <v/>
      </c>
      <c r="F40" s="20">
        <f>DATA!C40</f>
        <v/>
      </c>
      <c r="G40" s="20">
        <f>DATA!G40</f>
        <v/>
      </c>
      <c r="H40" s="19">
        <f>C40*(1+F40)</f>
        <v/>
      </c>
      <c r="I40" s="19">
        <f>D40*(1+G40)</f>
        <v/>
      </c>
      <c r="J40" s="19">
        <f>H40+I40</f>
        <v/>
      </c>
      <c r="K40" s="19">
        <f>IF(AND(CONFIG!$B$11="Annual",MONTH(A40)=7),J40*CONFIG!$B$6/12,K39)</f>
        <v/>
      </c>
      <c r="L40" s="19">
        <f>IF(J40=0,0,H40-K40*H40/J40)</f>
        <v/>
      </c>
      <c r="M40" s="19">
        <f>IF(J40=0,0,I40-K40*I40/J40)</f>
        <v/>
      </c>
      <c r="O40" s="18">
        <f>DATA!A40</f>
        <v/>
      </c>
      <c r="P40">
        <f>DATA!B40</f>
        <v/>
      </c>
      <c r="Q40" s="19">
        <f>Z39</f>
        <v/>
      </c>
      <c r="R40" s="19">
        <f>AA39</f>
        <v/>
      </c>
      <c r="S40" s="19">
        <f>Q40+R40</f>
        <v/>
      </c>
      <c r="T40" s="20">
        <f>DATA!D40</f>
        <v/>
      </c>
      <c r="U40" s="20">
        <f>DATA!G40</f>
        <v/>
      </c>
      <c r="V40" s="19">
        <f>Q40*(1+T40)</f>
        <v/>
      </c>
      <c r="W40" s="19">
        <f>R40*(1+U40)</f>
        <v/>
      </c>
      <c r="X40" s="19">
        <f>V40+W40</f>
        <v/>
      </c>
      <c r="Y40" s="19">
        <f>IF(AND(CONFIG!$B$11="Annual",MONTH(O40)=7),X40*CONFIG!$B$6/12,Y39)</f>
        <v/>
      </c>
      <c r="Z40" s="19">
        <f>IF(X40=0,0,V40-Y40*V40/X40)</f>
        <v/>
      </c>
      <c r="AA40" s="19">
        <f>IF(X40=0,0,W40-Y40*W40/X40)</f>
        <v/>
      </c>
      <c r="AC40" s="18">
        <f>DATA!A40</f>
        <v/>
      </c>
      <c r="AD40">
        <f>DATA!B40</f>
        <v/>
      </c>
      <c r="AE40" s="19">
        <f>AN39</f>
        <v/>
      </c>
      <c r="AF40" s="19">
        <f>AO39</f>
        <v/>
      </c>
      <c r="AG40" s="19">
        <f>AE40+AF40</f>
        <v/>
      </c>
      <c r="AH40" s="20">
        <f>DATA!E40</f>
        <v/>
      </c>
      <c r="AI40" s="20">
        <f>DATA!G40</f>
        <v/>
      </c>
      <c r="AJ40" s="19">
        <f>AE40*(1+AH40)</f>
        <v/>
      </c>
      <c r="AK40" s="19">
        <f>AF40*(1+AI40)</f>
        <v/>
      </c>
      <c r="AL40" s="19">
        <f>AJ40+AK40</f>
        <v/>
      </c>
      <c r="AM40" s="19">
        <f>IF(AND(CONFIG!$B$11="Annual",MONTH(AC40)=7),AL40*CONFIG!$B$6/12,AM39)</f>
        <v/>
      </c>
      <c r="AN40" s="19">
        <f>IF(AL40=0,0,AJ40-AM40*AJ40/AL40)</f>
        <v/>
      </c>
      <c r="AO40" s="19">
        <f>IF(AL40=0,0,AK40-AM40*AK40/AL40)</f>
        <v/>
      </c>
    </row>
    <row r="41">
      <c r="A41" s="18">
        <f>DATA!A41</f>
        <v/>
      </c>
      <c r="B41">
        <f>DATA!B41</f>
        <v/>
      </c>
      <c r="C41" s="19">
        <f>L40</f>
        <v/>
      </c>
      <c r="D41" s="19">
        <f>M40</f>
        <v/>
      </c>
      <c r="E41" s="19">
        <f>C41+D41</f>
        <v/>
      </c>
      <c r="F41" s="20">
        <f>DATA!C41</f>
        <v/>
      </c>
      <c r="G41" s="20">
        <f>DATA!G41</f>
        <v/>
      </c>
      <c r="H41" s="19">
        <f>C41*(1+F41)</f>
        <v/>
      </c>
      <c r="I41" s="19">
        <f>D41*(1+G41)</f>
        <v/>
      </c>
      <c r="J41" s="19">
        <f>H41+I41</f>
        <v/>
      </c>
      <c r="K41" s="19">
        <f>IF(AND(CONFIG!$B$11="Annual",MONTH(A41)=7),J41*CONFIG!$B$6/12,K40)</f>
        <v/>
      </c>
      <c r="L41" s="19">
        <f>IF(J41=0,0,H41-K41*H41/J41)</f>
        <v/>
      </c>
      <c r="M41" s="19">
        <f>IF(J41=0,0,I41-K41*I41/J41)</f>
        <v/>
      </c>
      <c r="O41" s="18">
        <f>DATA!A41</f>
        <v/>
      </c>
      <c r="P41">
        <f>DATA!B41</f>
        <v/>
      </c>
      <c r="Q41" s="19">
        <f>Z40</f>
        <v/>
      </c>
      <c r="R41" s="19">
        <f>AA40</f>
        <v/>
      </c>
      <c r="S41" s="19">
        <f>Q41+R41</f>
        <v/>
      </c>
      <c r="T41" s="20">
        <f>DATA!D41</f>
        <v/>
      </c>
      <c r="U41" s="20">
        <f>DATA!G41</f>
        <v/>
      </c>
      <c r="V41" s="19">
        <f>Q41*(1+T41)</f>
        <v/>
      </c>
      <c r="W41" s="19">
        <f>R41*(1+U41)</f>
        <v/>
      </c>
      <c r="X41" s="19">
        <f>V41+W41</f>
        <v/>
      </c>
      <c r="Y41" s="19">
        <f>IF(AND(CONFIG!$B$11="Annual",MONTH(O41)=7),X41*CONFIG!$B$6/12,Y40)</f>
        <v/>
      </c>
      <c r="Z41" s="19">
        <f>IF(X41=0,0,V41-Y41*V41/X41)</f>
        <v/>
      </c>
      <c r="AA41" s="19">
        <f>IF(X41=0,0,W41-Y41*W41/X41)</f>
        <v/>
      </c>
      <c r="AC41" s="18">
        <f>DATA!A41</f>
        <v/>
      </c>
      <c r="AD41">
        <f>DATA!B41</f>
        <v/>
      </c>
      <c r="AE41" s="19">
        <f>AN40</f>
        <v/>
      </c>
      <c r="AF41" s="19">
        <f>AO40</f>
        <v/>
      </c>
      <c r="AG41" s="19">
        <f>AE41+AF41</f>
        <v/>
      </c>
      <c r="AH41" s="20">
        <f>DATA!E41</f>
        <v/>
      </c>
      <c r="AI41" s="20">
        <f>DATA!G41</f>
        <v/>
      </c>
      <c r="AJ41" s="19">
        <f>AE41*(1+AH41)</f>
        <v/>
      </c>
      <c r="AK41" s="19">
        <f>AF41*(1+AI41)</f>
        <v/>
      </c>
      <c r="AL41" s="19">
        <f>AJ41+AK41</f>
        <v/>
      </c>
      <c r="AM41" s="19">
        <f>IF(AND(CONFIG!$B$11="Annual",MONTH(AC41)=7),AL41*CONFIG!$B$6/12,AM40)</f>
        <v/>
      </c>
      <c r="AN41" s="19">
        <f>IF(AL41=0,0,AJ41-AM41*AJ41/AL41)</f>
        <v/>
      </c>
      <c r="AO41" s="19">
        <f>IF(AL41=0,0,AK41-AM41*AK41/AL41)</f>
        <v/>
      </c>
    </row>
    <row r="42">
      <c r="A42" s="18">
        <f>DATA!A42</f>
        <v/>
      </c>
      <c r="B42">
        <f>DATA!B42</f>
        <v/>
      </c>
      <c r="C42" s="19">
        <f>L41</f>
        <v/>
      </c>
      <c r="D42" s="19">
        <f>M41</f>
        <v/>
      </c>
      <c r="E42" s="19">
        <f>C42+D42</f>
        <v/>
      </c>
      <c r="F42" s="20">
        <f>DATA!C42</f>
        <v/>
      </c>
      <c r="G42" s="20">
        <f>DATA!G42</f>
        <v/>
      </c>
      <c r="H42" s="19">
        <f>C42*(1+F42)</f>
        <v/>
      </c>
      <c r="I42" s="19">
        <f>D42*(1+G42)</f>
        <v/>
      </c>
      <c r="J42" s="19">
        <f>H42+I42</f>
        <v/>
      </c>
      <c r="K42" s="19">
        <f>IF(AND(CONFIG!$B$11="Annual",MONTH(A42)=7),J42*CONFIG!$B$6/12,K41)</f>
        <v/>
      </c>
      <c r="L42" s="19">
        <f>IF(J42=0,0,H42-K42*H42/J42)</f>
        <v/>
      </c>
      <c r="M42" s="19">
        <f>IF(J42=0,0,I42-K42*I42/J42)</f>
        <v/>
      </c>
      <c r="O42" s="18">
        <f>DATA!A42</f>
        <v/>
      </c>
      <c r="P42">
        <f>DATA!B42</f>
        <v/>
      </c>
      <c r="Q42" s="19">
        <f>Z41</f>
        <v/>
      </c>
      <c r="R42" s="19">
        <f>AA41</f>
        <v/>
      </c>
      <c r="S42" s="19">
        <f>Q42+R42</f>
        <v/>
      </c>
      <c r="T42" s="20">
        <f>DATA!D42</f>
        <v/>
      </c>
      <c r="U42" s="20">
        <f>DATA!G42</f>
        <v/>
      </c>
      <c r="V42" s="19">
        <f>Q42*(1+T42)</f>
        <v/>
      </c>
      <c r="W42" s="19">
        <f>R42*(1+U42)</f>
        <v/>
      </c>
      <c r="X42" s="19">
        <f>V42+W42</f>
        <v/>
      </c>
      <c r="Y42" s="19">
        <f>IF(AND(CONFIG!$B$11="Annual",MONTH(O42)=7),X42*CONFIG!$B$6/12,Y41)</f>
        <v/>
      </c>
      <c r="Z42" s="19">
        <f>IF(X42=0,0,V42-Y42*V42/X42)</f>
        <v/>
      </c>
      <c r="AA42" s="19">
        <f>IF(X42=0,0,W42-Y42*W42/X42)</f>
        <v/>
      </c>
      <c r="AC42" s="18">
        <f>DATA!A42</f>
        <v/>
      </c>
      <c r="AD42">
        <f>DATA!B42</f>
        <v/>
      </c>
      <c r="AE42" s="19">
        <f>AN41</f>
        <v/>
      </c>
      <c r="AF42" s="19">
        <f>AO41</f>
        <v/>
      </c>
      <c r="AG42" s="19">
        <f>AE42+AF42</f>
        <v/>
      </c>
      <c r="AH42" s="20">
        <f>DATA!E42</f>
        <v/>
      </c>
      <c r="AI42" s="20">
        <f>DATA!G42</f>
        <v/>
      </c>
      <c r="AJ42" s="19">
        <f>AE42*(1+AH42)</f>
        <v/>
      </c>
      <c r="AK42" s="19">
        <f>AF42*(1+AI42)</f>
        <v/>
      </c>
      <c r="AL42" s="19">
        <f>AJ42+AK42</f>
        <v/>
      </c>
      <c r="AM42" s="19">
        <f>IF(AND(CONFIG!$B$11="Annual",MONTH(AC42)=7),AL42*CONFIG!$B$6/12,AM41)</f>
        <v/>
      </c>
      <c r="AN42" s="19">
        <f>IF(AL42=0,0,AJ42-AM42*AJ42/AL42)</f>
        <v/>
      </c>
      <c r="AO42" s="19">
        <f>IF(AL42=0,0,AK42-AM42*AK42/AL42)</f>
        <v/>
      </c>
    </row>
    <row r="43">
      <c r="A43" s="18">
        <f>DATA!A43</f>
        <v/>
      </c>
      <c r="B43">
        <f>DATA!B43</f>
        <v/>
      </c>
      <c r="C43" s="19">
        <f>L42</f>
        <v/>
      </c>
      <c r="D43" s="19">
        <f>M42</f>
        <v/>
      </c>
      <c r="E43" s="19">
        <f>C43+D43</f>
        <v/>
      </c>
      <c r="F43" s="20">
        <f>DATA!C43</f>
        <v/>
      </c>
      <c r="G43" s="20">
        <f>DATA!G43</f>
        <v/>
      </c>
      <c r="H43" s="19">
        <f>C43*(1+F43)</f>
        <v/>
      </c>
      <c r="I43" s="19">
        <f>D43*(1+G43)</f>
        <v/>
      </c>
      <c r="J43" s="19">
        <f>H43+I43</f>
        <v/>
      </c>
      <c r="K43" s="19">
        <f>IF(AND(CONFIG!$B$11="Annual",MONTH(A43)=7),J43*CONFIG!$B$6/12,K42)</f>
        <v/>
      </c>
      <c r="L43" s="19">
        <f>IF(J43=0,0,H43-K43*H43/J43)</f>
        <v/>
      </c>
      <c r="M43" s="19">
        <f>IF(J43=0,0,I43-K43*I43/J43)</f>
        <v/>
      </c>
      <c r="O43" s="18">
        <f>DATA!A43</f>
        <v/>
      </c>
      <c r="P43">
        <f>DATA!B43</f>
        <v/>
      </c>
      <c r="Q43" s="19">
        <f>Z42</f>
        <v/>
      </c>
      <c r="R43" s="19">
        <f>AA42</f>
        <v/>
      </c>
      <c r="S43" s="19">
        <f>Q43+R43</f>
        <v/>
      </c>
      <c r="T43" s="20">
        <f>DATA!D43</f>
        <v/>
      </c>
      <c r="U43" s="20">
        <f>DATA!G43</f>
        <v/>
      </c>
      <c r="V43" s="19">
        <f>Q43*(1+T43)</f>
        <v/>
      </c>
      <c r="W43" s="19">
        <f>R43*(1+U43)</f>
        <v/>
      </c>
      <c r="X43" s="19">
        <f>V43+W43</f>
        <v/>
      </c>
      <c r="Y43" s="19">
        <f>IF(AND(CONFIG!$B$11="Annual",MONTH(O43)=7),X43*CONFIG!$B$6/12,Y42)</f>
        <v/>
      </c>
      <c r="Z43" s="19">
        <f>IF(X43=0,0,V43-Y43*V43/X43)</f>
        <v/>
      </c>
      <c r="AA43" s="19">
        <f>IF(X43=0,0,W43-Y43*W43/X43)</f>
        <v/>
      </c>
      <c r="AC43" s="18">
        <f>DATA!A43</f>
        <v/>
      </c>
      <c r="AD43">
        <f>DATA!B43</f>
        <v/>
      </c>
      <c r="AE43" s="19">
        <f>AN42</f>
        <v/>
      </c>
      <c r="AF43" s="19">
        <f>AO42</f>
        <v/>
      </c>
      <c r="AG43" s="19">
        <f>AE43+AF43</f>
        <v/>
      </c>
      <c r="AH43" s="20">
        <f>DATA!E43</f>
        <v/>
      </c>
      <c r="AI43" s="20">
        <f>DATA!G43</f>
        <v/>
      </c>
      <c r="AJ43" s="19">
        <f>AE43*(1+AH43)</f>
        <v/>
      </c>
      <c r="AK43" s="19">
        <f>AF43*(1+AI43)</f>
        <v/>
      </c>
      <c r="AL43" s="19">
        <f>AJ43+AK43</f>
        <v/>
      </c>
      <c r="AM43" s="19">
        <f>IF(AND(CONFIG!$B$11="Annual",MONTH(AC43)=7),AL43*CONFIG!$B$6/12,AM42)</f>
        <v/>
      </c>
      <c r="AN43" s="19">
        <f>IF(AL43=0,0,AJ43-AM43*AJ43/AL43)</f>
        <v/>
      </c>
      <c r="AO43" s="19">
        <f>IF(AL43=0,0,AK43-AM43*AK43/AL43)</f>
        <v/>
      </c>
    </row>
    <row r="44">
      <c r="A44" s="18">
        <f>DATA!A44</f>
        <v/>
      </c>
      <c r="B44">
        <f>DATA!B44</f>
        <v/>
      </c>
      <c r="C44" s="19">
        <f>L43</f>
        <v/>
      </c>
      <c r="D44" s="19">
        <f>M43</f>
        <v/>
      </c>
      <c r="E44" s="19">
        <f>C44+D44</f>
        <v/>
      </c>
      <c r="F44" s="20">
        <f>DATA!C44</f>
        <v/>
      </c>
      <c r="G44" s="20">
        <f>DATA!G44</f>
        <v/>
      </c>
      <c r="H44" s="19">
        <f>C44*(1+F44)</f>
        <v/>
      </c>
      <c r="I44" s="19">
        <f>D44*(1+G44)</f>
        <v/>
      </c>
      <c r="J44" s="19">
        <f>H44+I44</f>
        <v/>
      </c>
      <c r="K44" s="19">
        <f>IF(AND(CONFIG!$B$11="Annual",MONTH(A44)=7),J44*CONFIG!$B$6/12,K43)</f>
        <v/>
      </c>
      <c r="L44" s="19">
        <f>IF(J44=0,0,H44-K44*H44/J44)</f>
        <v/>
      </c>
      <c r="M44" s="19">
        <f>IF(J44=0,0,I44-K44*I44/J44)</f>
        <v/>
      </c>
      <c r="O44" s="18">
        <f>DATA!A44</f>
        <v/>
      </c>
      <c r="P44">
        <f>DATA!B44</f>
        <v/>
      </c>
      <c r="Q44" s="19">
        <f>Z43</f>
        <v/>
      </c>
      <c r="R44" s="19">
        <f>AA43</f>
        <v/>
      </c>
      <c r="S44" s="19">
        <f>Q44+R44</f>
        <v/>
      </c>
      <c r="T44" s="20">
        <f>DATA!D44</f>
        <v/>
      </c>
      <c r="U44" s="20">
        <f>DATA!G44</f>
        <v/>
      </c>
      <c r="V44" s="19">
        <f>Q44*(1+T44)</f>
        <v/>
      </c>
      <c r="W44" s="19">
        <f>R44*(1+U44)</f>
        <v/>
      </c>
      <c r="X44" s="19">
        <f>V44+W44</f>
        <v/>
      </c>
      <c r="Y44" s="19">
        <f>IF(AND(CONFIG!$B$11="Annual",MONTH(O44)=7),X44*CONFIG!$B$6/12,Y43)</f>
        <v/>
      </c>
      <c r="Z44" s="19">
        <f>IF(X44=0,0,V44-Y44*V44/X44)</f>
        <v/>
      </c>
      <c r="AA44" s="19">
        <f>IF(X44=0,0,W44-Y44*W44/X44)</f>
        <v/>
      </c>
      <c r="AC44" s="18">
        <f>DATA!A44</f>
        <v/>
      </c>
      <c r="AD44">
        <f>DATA!B44</f>
        <v/>
      </c>
      <c r="AE44" s="19">
        <f>AN43</f>
        <v/>
      </c>
      <c r="AF44" s="19">
        <f>AO43</f>
        <v/>
      </c>
      <c r="AG44" s="19">
        <f>AE44+AF44</f>
        <v/>
      </c>
      <c r="AH44" s="20">
        <f>DATA!E44</f>
        <v/>
      </c>
      <c r="AI44" s="20">
        <f>DATA!G44</f>
        <v/>
      </c>
      <c r="AJ44" s="19">
        <f>AE44*(1+AH44)</f>
        <v/>
      </c>
      <c r="AK44" s="19">
        <f>AF44*(1+AI44)</f>
        <v/>
      </c>
      <c r="AL44" s="19">
        <f>AJ44+AK44</f>
        <v/>
      </c>
      <c r="AM44" s="19">
        <f>IF(AND(CONFIG!$B$11="Annual",MONTH(AC44)=7),AL44*CONFIG!$B$6/12,AM43)</f>
        <v/>
      </c>
      <c r="AN44" s="19">
        <f>IF(AL44=0,0,AJ44-AM44*AJ44/AL44)</f>
        <v/>
      </c>
      <c r="AO44" s="19">
        <f>IF(AL44=0,0,AK44-AM44*AK44/AL44)</f>
        <v/>
      </c>
    </row>
    <row r="45">
      <c r="A45" s="18">
        <f>DATA!A45</f>
        <v/>
      </c>
      <c r="B45">
        <f>DATA!B45</f>
        <v/>
      </c>
      <c r="C45" s="19">
        <f>L44</f>
        <v/>
      </c>
      <c r="D45" s="19">
        <f>M44</f>
        <v/>
      </c>
      <c r="E45" s="19">
        <f>C45+D45</f>
        <v/>
      </c>
      <c r="F45" s="20">
        <f>DATA!C45</f>
        <v/>
      </c>
      <c r="G45" s="20">
        <f>DATA!G45</f>
        <v/>
      </c>
      <c r="H45" s="19">
        <f>C45*(1+F45)</f>
        <v/>
      </c>
      <c r="I45" s="19">
        <f>D45*(1+G45)</f>
        <v/>
      </c>
      <c r="J45" s="19">
        <f>H45+I45</f>
        <v/>
      </c>
      <c r="K45" s="19">
        <f>IF(AND(CONFIG!$B$11="Annual",MONTH(A45)=7),J45*CONFIG!$B$6/12,K44)</f>
        <v/>
      </c>
      <c r="L45" s="19">
        <f>IF(J45=0,0,H45-K45*H45/J45)</f>
        <v/>
      </c>
      <c r="M45" s="19">
        <f>IF(J45=0,0,I45-K45*I45/J45)</f>
        <v/>
      </c>
      <c r="O45" s="18">
        <f>DATA!A45</f>
        <v/>
      </c>
      <c r="P45">
        <f>DATA!B45</f>
        <v/>
      </c>
      <c r="Q45" s="19">
        <f>Z44</f>
        <v/>
      </c>
      <c r="R45" s="19">
        <f>AA44</f>
        <v/>
      </c>
      <c r="S45" s="19">
        <f>Q45+R45</f>
        <v/>
      </c>
      <c r="T45" s="20">
        <f>DATA!D45</f>
        <v/>
      </c>
      <c r="U45" s="20">
        <f>DATA!G45</f>
        <v/>
      </c>
      <c r="V45" s="19">
        <f>Q45*(1+T45)</f>
        <v/>
      </c>
      <c r="W45" s="19">
        <f>R45*(1+U45)</f>
        <v/>
      </c>
      <c r="X45" s="19">
        <f>V45+W45</f>
        <v/>
      </c>
      <c r="Y45" s="19">
        <f>IF(AND(CONFIG!$B$11="Annual",MONTH(O45)=7),X45*CONFIG!$B$6/12,Y44)</f>
        <v/>
      </c>
      <c r="Z45" s="19">
        <f>IF(X45=0,0,V45-Y45*V45/X45)</f>
        <v/>
      </c>
      <c r="AA45" s="19">
        <f>IF(X45=0,0,W45-Y45*W45/X45)</f>
        <v/>
      </c>
      <c r="AC45" s="18">
        <f>DATA!A45</f>
        <v/>
      </c>
      <c r="AD45">
        <f>DATA!B45</f>
        <v/>
      </c>
      <c r="AE45" s="19">
        <f>AN44</f>
        <v/>
      </c>
      <c r="AF45" s="19">
        <f>AO44</f>
        <v/>
      </c>
      <c r="AG45" s="19">
        <f>AE45+AF45</f>
        <v/>
      </c>
      <c r="AH45" s="20">
        <f>DATA!E45</f>
        <v/>
      </c>
      <c r="AI45" s="20">
        <f>DATA!G45</f>
        <v/>
      </c>
      <c r="AJ45" s="19">
        <f>AE45*(1+AH45)</f>
        <v/>
      </c>
      <c r="AK45" s="19">
        <f>AF45*(1+AI45)</f>
        <v/>
      </c>
      <c r="AL45" s="19">
        <f>AJ45+AK45</f>
        <v/>
      </c>
      <c r="AM45" s="19">
        <f>IF(AND(CONFIG!$B$11="Annual",MONTH(AC45)=7),AL45*CONFIG!$B$6/12,AM44)</f>
        <v/>
      </c>
      <c r="AN45" s="19">
        <f>IF(AL45=0,0,AJ45-AM45*AJ45/AL45)</f>
        <v/>
      </c>
      <c r="AO45" s="19">
        <f>IF(AL45=0,0,AK45-AM45*AK45/AL45)</f>
        <v/>
      </c>
    </row>
    <row r="46">
      <c r="A46" s="18">
        <f>DATA!A46</f>
        <v/>
      </c>
      <c r="B46">
        <f>DATA!B46</f>
        <v/>
      </c>
      <c r="C46" s="19">
        <f>L45</f>
        <v/>
      </c>
      <c r="D46" s="19">
        <f>M45</f>
        <v/>
      </c>
      <c r="E46" s="19">
        <f>C46+D46</f>
        <v/>
      </c>
      <c r="F46" s="20">
        <f>DATA!C46</f>
        <v/>
      </c>
      <c r="G46" s="20">
        <f>DATA!G46</f>
        <v/>
      </c>
      <c r="H46" s="19">
        <f>C46*(1+F46)</f>
        <v/>
      </c>
      <c r="I46" s="19">
        <f>D46*(1+G46)</f>
        <v/>
      </c>
      <c r="J46" s="19">
        <f>H46+I46</f>
        <v/>
      </c>
      <c r="K46" s="19">
        <f>IF(AND(CONFIG!$B$11="Annual",MONTH(A46)=7),J46*CONFIG!$B$6/12,K45)</f>
        <v/>
      </c>
      <c r="L46" s="19">
        <f>IF(J46=0,0,H46-K46*H46/J46)</f>
        <v/>
      </c>
      <c r="M46" s="19">
        <f>IF(J46=0,0,I46-K46*I46/J46)</f>
        <v/>
      </c>
      <c r="O46" s="18">
        <f>DATA!A46</f>
        <v/>
      </c>
      <c r="P46">
        <f>DATA!B46</f>
        <v/>
      </c>
      <c r="Q46" s="19">
        <f>Z45</f>
        <v/>
      </c>
      <c r="R46" s="19">
        <f>AA45</f>
        <v/>
      </c>
      <c r="S46" s="19">
        <f>Q46+R46</f>
        <v/>
      </c>
      <c r="T46" s="20">
        <f>DATA!D46</f>
        <v/>
      </c>
      <c r="U46" s="20">
        <f>DATA!G46</f>
        <v/>
      </c>
      <c r="V46" s="19">
        <f>Q46*(1+T46)</f>
        <v/>
      </c>
      <c r="W46" s="19">
        <f>R46*(1+U46)</f>
        <v/>
      </c>
      <c r="X46" s="19">
        <f>V46+W46</f>
        <v/>
      </c>
      <c r="Y46" s="19">
        <f>IF(AND(CONFIG!$B$11="Annual",MONTH(O46)=7),X46*CONFIG!$B$6/12,Y45)</f>
        <v/>
      </c>
      <c r="Z46" s="19">
        <f>IF(X46=0,0,V46-Y46*V46/X46)</f>
        <v/>
      </c>
      <c r="AA46" s="19">
        <f>IF(X46=0,0,W46-Y46*W46/X46)</f>
        <v/>
      </c>
      <c r="AC46" s="18">
        <f>DATA!A46</f>
        <v/>
      </c>
      <c r="AD46">
        <f>DATA!B46</f>
        <v/>
      </c>
      <c r="AE46" s="19">
        <f>AN45</f>
        <v/>
      </c>
      <c r="AF46" s="19">
        <f>AO45</f>
        <v/>
      </c>
      <c r="AG46" s="19">
        <f>AE46+AF46</f>
        <v/>
      </c>
      <c r="AH46" s="20">
        <f>DATA!E46</f>
        <v/>
      </c>
      <c r="AI46" s="20">
        <f>DATA!G46</f>
        <v/>
      </c>
      <c r="AJ46" s="19">
        <f>AE46*(1+AH46)</f>
        <v/>
      </c>
      <c r="AK46" s="19">
        <f>AF46*(1+AI46)</f>
        <v/>
      </c>
      <c r="AL46" s="19">
        <f>AJ46+AK46</f>
        <v/>
      </c>
      <c r="AM46" s="19">
        <f>IF(AND(CONFIG!$B$11="Annual",MONTH(AC46)=7),AL46*CONFIG!$B$6/12,AM45)</f>
        <v/>
      </c>
      <c r="AN46" s="19">
        <f>IF(AL46=0,0,AJ46-AM46*AJ46/AL46)</f>
        <v/>
      </c>
      <c r="AO46" s="19">
        <f>IF(AL46=0,0,AK46-AM46*AK46/AL46)</f>
        <v/>
      </c>
    </row>
    <row r="47">
      <c r="A47" s="18">
        <f>DATA!A47</f>
        <v/>
      </c>
      <c r="B47">
        <f>DATA!B47</f>
        <v/>
      </c>
      <c r="C47" s="19">
        <f>L46</f>
        <v/>
      </c>
      <c r="D47" s="19">
        <f>M46</f>
        <v/>
      </c>
      <c r="E47" s="19">
        <f>C47+D47</f>
        <v/>
      </c>
      <c r="F47" s="20">
        <f>DATA!C47</f>
        <v/>
      </c>
      <c r="G47" s="20">
        <f>DATA!G47</f>
        <v/>
      </c>
      <c r="H47" s="19">
        <f>C47*(1+F47)</f>
        <v/>
      </c>
      <c r="I47" s="19">
        <f>D47*(1+G47)</f>
        <v/>
      </c>
      <c r="J47" s="19">
        <f>H47+I47</f>
        <v/>
      </c>
      <c r="K47" s="19">
        <f>IF(AND(CONFIG!$B$11="Annual",MONTH(A47)=7),J47*CONFIG!$B$6/12,K46)</f>
        <v/>
      </c>
      <c r="L47" s="19">
        <f>IF(J47=0,0,H47-K47*H47/J47)</f>
        <v/>
      </c>
      <c r="M47" s="19">
        <f>IF(J47=0,0,I47-K47*I47/J47)</f>
        <v/>
      </c>
      <c r="O47" s="18">
        <f>DATA!A47</f>
        <v/>
      </c>
      <c r="P47">
        <f>DATA!B47</f>
        <v/>
      </c>
      <c r="Q47" s="19">
        <f>Z46</f>
        <v/>
      </c>
      <c r="R47" s="19">
        <f>AA46</f>
        <v/>
      </c>
      <c r="S47" s="19">
        <f>Q47+R47</f>
        <v/>
      </c>
      <c r="T47" s="20">
        <f>DATA!D47</f>
        <v/>
      </c>
      <c r="U47" s="20">
        <f>DATA!G47</f>
        <v/>
      </c>
      <c r="V47" s="19">
        <f>Q47*(1+T47)</f>
        <v/>
      </c>
      <c r="W47" s="19">
        <f>R47*(1+U47)</f>
        <v/>
      </c>
      <c r="X47" s="19">
        <f>V47+W47</f>
        <v/>
      </c>
      <c r="Y47" s="19">
        <f>IF(AND(CONFIG!$B$11="Annual",MONTH(O47)=7),X47*CONFIG!$B$6/12,Y46)</f>
        <v/>
      </c>
      <c r="Z47" s="19">
        <f>IF(X47=0,0,V47-Y47*V47/X47)</f>
        <v/>
      </c>
      <c r="AA47" s="19">
        <f>IF(X47=0,0,W47-Y47*W47/X47)</f>
        <v/>
      </c>
      <c r="AC47" s="18">
        <f>DATA!A47</f>
        <v/>
      </c>
      <c r="AD47">
        <f>DATA!B47</f>
        <v/>
      </c>
      <c r="AE47" s="19">
        <f>AN46</f>
        <v/>
      </c>
      <c r="AF47" s="19">
        <f>AO46</f>
        <v/>
      </c>
      <c r="AG47" s="19">
        <f>AE47+AF47</f>
        <v/>
      </c>
      <c r="AH47" s="20">
        <f>DATA!E47</f>
        <v/>
      </c>
      <c r="AI47" s="20">
        <f>DATA!G47</f>
        <v/>
      </c>
      <c r="AJ47" s="19">
        <f>AE47*(1+AH47)</f>
        <v/>
      </c>
      <c r="AK47" s="19">
        <f>AF47*(1+AI47)</f>
        <v/>
      </c>
      <c r="AL47" s="19">
        <f>AJ47+AK47</f>
        <v/>
      </c>
      <c r="AM47" s="19">
        <f>IF(AND(CONFIG!$B$11="Annual",MONTH(AC47)=7),AL47*CONFIG!$B$6/12,AM46)</f>
        <v/>
      </c>
      <c r="AN47" s="19">
        <f>IF(AL47=0,0,AJ47-AM47*AJ47/AL47)</f>
        <v/>
      </c>
      <c r="AO47" s="19">
        <f>IF(AL47=0,0,AK47-AM47*AK47/AL47)</f>
        <v/>
      </c>
    </row>
    <row r="48">
      <c r="A48" s="18">
        <f>DATA!A48</f>
        <v/>
      </c>
      <c r="B48">
        <f>DATA!B48</f>
        <v/>
      </c>
      <c r="C48" s="19">
        <f>L47</f>
        <v/>
      </c>
      <c r="D48" s="19">
        <f>M47</f>
        <v/>
      </c>
      <c r="E48" s="19">
        <f>C48+D48</f>
        <v/>
      </c>
      <c r="F48" s="20">
        <f>DATA!C48</f>
        <v/>
      </c>
      <c r="G48" s="20">
        <f>DATA!G48</f>
        <v/>
      </c>
      <c r="H48" s="19">
        <f>C48*(1+F48)</f>
        <v/>
      </c>
      <c r="I48" s="19">
        <f>D48*(1+G48)</f>
        <v/>
      </c>
      <c r="J48" s="19">
        <f>H48+I48</f>
        <v/>
      </c>
      <c r="K48" s="19">
        <f>IF(AND(CONFIG!$B$11="Annual",MONTH(A48)=7),J48*CONFIG!$B$6/12,K47)</f>
        <v/>
      </c>
      <c r="L48" s="19">
        <f>IF(J48=0,0,H48-K48*H48/J48)</f>
        <v/>
      </c>
      <c r="M48" s="19">
        <f>IF(J48=0,0,I48-K48*I48/J48)</f>
        <v/>
      </c>
      <c r="O48" s="18">
        <f>DATA!A48</f>
        <v/>
      </c>
      <c r="P48">
        <f>DATA!B48</f>
        <v/>
      </c>
      <c r="Q48" s="19">
        <f>Z47</f>
        <v/>
      </c>
      <c r="R48" s="19">
        <f>AA47</f>
        <v/>
      </c>
      <c r="S48" s="19">
        <f>Q48+R48</f>
        <v/>
      </c>
      <c r="T48" s="20">
        <f>DATA!D48</f>
        <v/>
      </c>
      <c r="U48" s="20">
        <f>DATA!G48</f>
        <v/>
      </c>
      <c r="V48" s="19">
        <f>Q48*(1+T48)</f>
        <v/>
      </c>
      <c r="W48" s="19">
        <f>R48*(1+U48)</f>
        <v/>
      </c>
      <c r="X48" s="19">
        <f>V48+W48</f>
        <v/>
      </c>
      <c r="Y48" s="19">
        <f>IF(AND(CONFIG!$B$11="Annual",MONTH(O48)=7),X48*CONFIG!$B$6/12,Y47)</f>
        <v/>
      </c>
      <c r="Z48" s="19">
        <f>IF(X48=0,0,V48-Y48*V48/X48)</f>
        <v/>
      </c>
      <c r="AA48" s="19">
        <f>IF(X48=0,0,W48-Y48*W48/X48)</f>
        <v/>
      </c>
      <c r="AC48" s="18">
        <f>DATA!A48</f>
        <v/>
      </c>
      <c r="AD48">
        <f>DATA!B48</f>
        <v/>
      </c>
      <c r="AE48" s="19">
        <f>AN47</f>
        <v/>
      </c>
      <c r="AF48" s="19">
        <f>AO47</f>
        <v/>
      </c>
      <c r="AG48" s="19">
        <f>AE48+AF48</f>
        <v/>
      </c>
      <c r="AH48" s="20">
        <f>DATA!E48</f>
        <v/>
      </c>
      <c r="AI48" s="20">
        <f>DATA!G48</f>
        <v/>
      </c>
      <c r="AJ48" s="19">
        <f>AE48*(1+AH48)</f>
        <v/>
      </c>
      <c r="AK48" s="19">
        <f>AF48*(1+AI48)</f>
        <v/>
      </c>
      <c r="AL48" s="19">
        <f>AJ48+AK48</f>
        <v/>
      </c>
      <c r="AM48" s="19">
        <f>IF(AND(CONFIG!$B$11="Annual",MONTH(AC48)=7),AL48*CONFIG!$B$6/12,AM47)</f>
        <v/>
      </c>
      <c r="AN48" s="19">
        <f>IF(AL48=0,0,AJ48-AM48*AJ48/AL48)</f>
        <v/>
      </c>
      <c r="AO48" s="19">
        <f>IF(AL48=0,0,AK48-AM48*AK48/AL48)</f>
        <v/>
      </c>
    </row>
    <row r="49">
      <c r="A49" s="18">
        <f>DATA!A49</f>
        <v/>
      </c>
      <c r="B49">
        <f>DATA!B49</f>
        <v/>
      </c>
      <c r="C49" s="19">
        <f>L48</f>
        <v/>
      </c>
      <c r="D49" s="19">
        <f>M48</f>
        <v/>
      </c>
      <c r="E49" s="19">
        <f>C49+D49</f>
        <v/>
      </c>
      <c r="F49" s="20">
        <f>DATA!C49</f>
        <v/>
      </c>
      <c r="G49" s="20">
        <f>DATA!G49</f>
        <v/>
      </c>
      <c r="H49" s="19">
        <f>C49*(1+F49)</f>
        <v/>
      </c>
      <c r="I49" s="19">
        <f>D49*(1+G49)</f>
        <v/>
      </c>
      <c r="J49" s="19">
        <f>H49+I49</f>
        <v/>
      </c>
      <c r="K49" s="19">
        <f>IF(AND(CONFIG!$B$11="Annual",MONTH(A49)=7),J49*CONFIG!$B$6/12,K48)</f>
        <v/>
      </c>
      <c r="L49" s="19">
        <f>IF(J49=0,0,H49-K49*H49/J49)</f>
        <v/>
      </c>
      <c r="M49" s="19">
        <f>IF(J49=0,0,I49-K49*I49/J49)</f>
        <v/>
      </c>
      <c r="O49" s="18">
        <f>DATA!A49</f>
        <v/>
      </c>
      <c r="P49">
        <f>DATA!B49</f>
        <v/>
      </c>
      <c r="Q49" s="19">
        <f>Z48</f>
        <v/>
      </c>
      <c r="R49" s="19">
        <f>AA48</f>
        <v/>
      </c>
      <c r="S49" s="19">
        <f>Q49+R49</f>
        <v/>
      </c>
      <c r="T49" s="20">
        <f>DATA!D49</f>
        <v/>
      </c>
      <c r="U49" s="20">
        <f>DATA!G49</f>
        <v/>
      </c>
      <c r="V49" s="19">
        <f>Q49*(1+T49)</f>
        <v/>
      </c>
      <c r="W49" s="19">
        <f>R49*(1+U49)</f>
        <v/>
      </c>
      <c r="X49" s="19">
        <f>V49+W49</f>
        <v/>
      </c>
      <c r="Y49" s="19">
        <f>IF(AND(CONFIG!$B$11="Annual",MONTH(O49)=7),X49*CONFIG!$B$6/12,Y48)</f>
        <v/>
      </c>
      <c r="Z49" s="19">
        <f>IF(X49=0,0,V49-Y49*V49/X49)</f>
        <v/>
      </c>
      <c r="AA49" s="19">
        <f>IF(X49=0,0,W49-Y49*W49/X49)</f>
        <v/>
      </c>
      <c r="AC49" s="18">
        <f>DATA!A49</f>
        <v/>
      </c>
      <c r="AD49">
        <f>DATA!B49</f>
        <v/>
      </c>
      <c r="AE49" s="19">
        <f>AN48</f>
        <v/>
      </c>
      <c r="AF49" s="19">
        <f>AO48</f>
        <v/>
      </c>
      <c r="AG49" s="19">
        <f>AE49+AF49</f>
        <v/>
      </c>
      <c r="AH49" s="20">
        <f>DATA!E49</f>
        <v/>
      </c>
      <c r="AI49" s="20">
        <f>DATA!G49</f>
        <v/>
      </c>
      <c r="AJ49" s="19">
        <f>AE49*(1+AH49)</f>
        <v/>
      </c>
      <c r="AK49" s="19">
        <f>AF49*(1+AI49)</f>
        <v/>
      </c>
      <c r="AL49" s="19">
        <f>AJ49+AK49</f>
        <v/>
      </c>
      <c r="AM49" s="19">
        <f>IF(AND(CONFIG!$B$11="Annual",MONTH(AC49)=7),AL49*CONFIG!$B$6/12,AM48)</f>
        <v/>
      </c>
      <c r="AN49" s="19">
        <f>IF(AL49=0,0,AJ49-AM49*AJ49/AL49)</f>
        <v/>
      </c>
      <c r="AO49" s="19">
        <f>IF(AL49=0,0,AK49-AM49*AK49/AL49)</f>
        <v/>
      </c>
    </row>
    <row r="50">
      <c r="A50" s="18">
        <f>DATA!A50</f>
        <v/>
      </c>
      <c r="B50">
        <f>DATA!B50</f>
        <v/>
      </c>
      <c r="C50" s="19">
        <f>L49</f>
        <v/>
      </c>
      <c r="D50" s="19">
        <f>M49</f>
        <v/>
      </c>
      <c r="E50" s="19">
        <f>C50+D50</f>
        <v/>
      </c>
      <c r="F50" s="20">
        <f>DATA!C50</f>
        <v/>
      </c>
      <c r="G50" s="20">
        <f>DATA!G50</f>
        <v/>
      </c>
      <c r="H50" s="19">
        <f>C50*(1+F50)</f>
        <v/>
      </c>
      <c r="I50" s="19">
        <f>D50*(1+G50)</f>
        <v/>
      </c>
      <c r="J50" s="19">
        <f>H50+I50</f>
        <v/>
      </c>
      <c r="K50" s="19">
        <f>IF(AND(CONFIG!$B$11="Annual",MONTH(A50)=7),J50*CONFIG!$B$6/12,K49)</f>
        <v/>
      </c>
      <c r="L50" s="19">
        <f>IF(J50=0,0,H50-K50*H50/J50)</f>
        <v/>
      </c>
      <c r="M50" s="19">
        <f>IF(J50=0,0,I50-K50*I50/J50)</f>
        <v/>
      </c>
      <c r="O50" s="18">
        <f>DATA!A50</f>
        <v/>
      </c>
      <c r="P50">
        <f>DATA!B50</f>
        <v/>
      </c>
      <c r="Q50" s="19">
        <f>Z49</f>
        <v/>
      </c>
      <c r="R50" s="19">
        <f>AA49</f>
        <v/>
      </c>
      <c r="S50" s="19">
        <f>Q50+R50</f>
        <v/>
      </c>
      <c r="T50" s="20">
        <f>DATA!D50</f>
        <v/>
      </c>
      <c r="U50" s="20">
        <f>DATA!G50</f>
        <v/>
      </c>
      <c r="V50" s="19">
        <f>Q50*(1+T50)</f>
        <v/>
      </c>
      <c r="W50" s="19">
        <f>R50*(1+U50)</f>
        <v/>
      </c>
      <c r="X50" s="19">
        <f>V50+W50</f>
        <v/>
      </c>
      <c r="Y50" s="19">
        <f>IF(AND(CONFIG!$B$11="Annual",MONTH(O50)=7),X50*CONFIG!$B$6/12,Y49)</f>
        <v/>
      </c>
      <c r="Z50" s="19">
        <f>IF(X50=0,0,V50-Y50*V50/X50)</f>
        <v/>
      </c>
      <c r="AA50" s="19">
        <f>IF(X50=0,0,W50-Y50*W50/X50)</f>
        <v/>
      </c>
      <c r="AC50" s="18">
        <f>DATA!A50</f>
        <v/>
      </c>
      <c r="AD50">
        <f>DATA!B50</f>
        <v/>
      </c>
      <c r="AE50" s="19">
        <f>AN49</f>
        <v/>
      </c>
      <c r="AF50" s="19">
        <f>AO49</f>
        <v/>
      </c>
      <c r="AG50" s="19">
        <f>AE50+AF50</f>
        <v/>
      </c>
      <c r="AH50" s="20">
        <f>DATA!E50</f>
        <v/>
      </c>
      <c r="AI50" s="20">
        <f>DATA!G50</f>
        <v/>
      </c>
      <c r="AJ50" s="19">
        <f>AE50*(1+AH50)</f>
        <v/>
      </c>
      <c r="AK50" s="19">
        <f>AF50*(1+AI50)</f>
        <v/>
      </c>
      <c r="AL50" s="19">
        <f>AJ50+AK50</f>
        <v/>
      </c>
      <c r="AM50" s="19">
        <f>IF(AND(CONFIG!$B$11="Annual",MONTH(AC50)=7),AL50*CONFIG!$B$6/12,AM49)</f>
        <v/>
      </c>
      <c r="AN50" s="19">
        <f>IF(AL50=0,0,AJ50-AM50*AJ50/AL50)</f>
        <v/>
      </c>
      <c r="AO50" s="19">
        <f>IF(AL50=0,0,AK50-AM50*AK50/AL50)</f>
        <v/>
      </c>
    </row>
    <row r="51">
      <c r="A51" s="18">
        <f>DATA!A51</f>
        <v/>
      </c>
      <c r="B51">
        <f>DATA!B51</f>
        <v/>
      </c>
      <c r="C51" s="19">
        <f>L50</f>
        <v/>
      </c>
      <c r="D51" s="19">
        <f>M50</f>
        <v/>
      </c>
      <c r="E51" s="19">
        <f>C51+D51</f>
        <v/>
      </c>
      <c r="F51" s="20">
        <f>DATA!C51</f>
        <v/>
      </c>
      <c r="G51" s="20">
        <f>DATA!G51</f>
        <v/>
      </c>
      <c r="H51" s="19">
        <f>C51*(1+F51)</f>
        <v/>
      </c>
      <c r="I51" s="19">
        <f>D51*(1+G51)</f>
        <v/>
      </c>
      <c r="J51" s="19">
        <f>H51+I51</f>
        <v/>
      </c>
      <c r="K51" s="19">
        <f>IF(AND(CONFIG!$B$11="Annual",MONTH(A51)=7),J51*CONFIG!$B$6/12,K50)</f>
        <v/>
      </c>
      <c r="L51" s="19">
        <f>IF(J51=0,0,H51-K51*H51/J51)</f>
        <v/>
      </c>
      <c r="M51" s="19">
        <f>IF(J51=0,0,I51-K51*I51/J51)</f>
        <v/>
      </c>
      <c r="O51" s="18">
        <f>DATA!A51</f>
        <v/>
      </c>
      <c r="P51">
        <f>DATA!B51</f>
        <v/>
      </c>
      <c r="Q51" s="19">
        <f>Z50</f>
        <v/>
      </c>
      <c r="R51" s="19">
        <f>AA50</f>
        <v/>
      </c>
      <c r="S51" s="19">
        <f>Q51+R51</f>
        <v/>
      </c>
      <c r="T51" s="20">
        <f>DATA!D51</f>
        <v/>
      </c>
      <c r="U51" s="20">
        <f>DATA!G51</f>
        <v/>
      </c>
      <c r="V51" s="19">
        <f>Q51*(1+T51)</f>
        <v/>
      </c>
      <c r="W51" s="19">
        <f>R51*(1+U51)</f>
        <v/>
      </c>
      <c r="X51" s="19">
        <f>V51+W51</f>
        <v/>
      </c>
      <c r="Y51" s="19">
        <f>IF(AND(CONFIG!$B$11="Annual",MONTH(O51)=7),X51*CONFIG!$B$6/12,Y50)</f>
        <v/>
      </c>
      <c r="Z51" s="19">
        <f>IF(X51=0,0,V51-Y51*V51/X51)</f>
        <v/>
      </c>
      <c r="AA51" s="19">
        <f>IF(X51=0,0,W51-Y51*W51/X51)</f>
        <v/>
      </c>
      <c r="AC51" s="18">
        <f>DATA!A51</f>
        <v/>
      </c>
      <c r="AD51">
        <f>DATA!B51</f>
        <v/>
      </c>
      <c r="AE51" s="19">
        <f>AN50</f>
        <v/>
      </c>
      <c r="AF51" s="19">
        <f>AO50</f>
        <v/>
      </c>
      <c r="AG51" s="19">
        <f>AE51+AF51</f>
        <v/>
      </c>
      <c r="AH51" s="20">
        <f>DATA!E51</f>
        <v/>
      </c>
      <c r="AI51" s="20">
        <f>DATA!G51</f>
        <v/>
      </c>
      <c r="AJ51" s="19">
        <f>AE51*(1+AH51)</f>
        <v/>
      </c>
      <c r="AK51" s="19">
        <f>AF51*(1+AI51)</f>
        <v/>
      </c>
      <c r="AL51" s="19">
        <f>AJ51+AK51</f>
        <v/>
      </c>
      <c r="AM51" s="19">
        <f>IF(AND(CONFIG!$B$11="Annual",MONTH(AC51)=7),AL51*CONFIG!$B$6/12,AM50)</f>
        <v/>
      </c>
      <c r="AN51" s="19">
        <f>IF(AL51=0,0,AJ51-AM51*AJ51/AL51)</f>
        <v/>
      </c>
      <c r="AO51" s="19">
        <f>IF(AL51=0,0,AK51-AM51*AK51/AL51)</f>
        <v/>
      </c>
    </row>
    <row r="52">
      <c r="A52" s="18">
        <f>DATA!A52</f>
        <v/>
      </c>
      <c r="B52">
        <f>DATA!B52</f>
        <v/>
      </c>
      <c r="C52" s="19">
        <f>L51</f>
        <v/>
      </c>
      <c r="D52" s="19">
        <f>M51</f>
        <v/>
      </c>
      <c r="E52" s="19">
        <f>C52+D52</f>
        <v/>
      </c>
      <c r="F52" s="20">
        <f>DATA!C52</f>
        <v/>
      </c>
      <c r="G52" s="20">
        <f>DATA!G52</f>
        <v/>
      </c>
      <c r="H52" s="19">
        <f>C52*(1+F52)</f>
        <v/>
      </c>
      <c r="I52" s="19">
        <f>D52*(1+G52)</f>
        <v/>
      </c>
      <c r="J52" s="19">
        <f>H52+I52</f>
        <v/>
      </c>
      <c r="K52" s="19">
        <f>IF(AND(CONFIG!$B$11="Annual",MONTH(A52)=7),J52*CONFIG!$B$6/12,K51)</f>
        <v/>
      </c>
      <c r="L52" s="19">
        <f>IF(J52=0,0,H52-K52*H52/J52)</f>
        <v/>
      </c>
      <c r="M52" s="19">
        <f>IF(J52=0,0,I52-K52*I52/J52)</f>
        <v/>
      </c>
      <c r="O52" s="18">
        <f>DATA!A52</f>
        <v/>
      </c>
      <c r="P52">
        <f>DATA!B52</f>
        <v/>
      </c>
      <c r="Q52" s="19">
        <f>Z51</f>
        <v/>
      </c>
      <c r="R52" s="19">
        <f>AA51</f>
        <v/>
      </c>
      <c r="S52" s="19">
        <f>Q52+R52</f>
        <v/>
      </c>
      <c r="T52" s="20">
        <f>DATA!D52</f>
        <v/>
      </c>
      <c r="U52" s="20">
        <f>DATA!G52</f>
        <v/>
      </c>
      <c r="V52" s="19">
        <f>Q52*(1+T52)</f>
        <v/>
      </c>
      <c r="W52" s="19">
        <f>R52*(1+U52)</f>
        <v/>
      </c>
      <c r="X52" s="19">
        <f>V52+W52</f>
        <v/>
      </c>
      <c r="Y52" s="19">
        <f>IF(AND(CONFIG!$B$11="Annual",MONTH(O52)=7),X52*CONFIG!$B$6/12,Y51)</f>
        <v/>
      </c>
      <c r="Z52" s="19">
        <f>IF(X52=0,0,V52-Y52*V52/X52)</f>
        <v/>
      </c>
      <c r="AA52" s="19">
        <f>IF(X52=0,0,W52-Y52*W52/X52)</f>
        <v/>
      </c>
      <c r="AC52" s="18">
        <f>DATA!A52</f>
        <v/>
      </c>
      <c r="AD52">
        <f>DATA!B52</f>
        <v/>
      </c>
      <c r="AE52" s="19">
        <f>AN51</f>
        <v/>
      </c>
      <c r="AF52" s="19">
        <f>AO51</f>
        <v/>
      </c>
      <c r="AG52" s="19">
        <f>AE52+AF52</f>
        <v/>
      </c>
      <c r="AH52" s="20">
        <f>DATA!E52</f>
        <v/>
      </c>
      <c r="AI52" s="20">
        <f>DATA!G52</f>
        <v/>
      </c>
      <c r="AJ52" s="19">
        <f>AE52*(1+AH52)</f>
        <v/>
      </c>
      <c r="AK52" s="19">
        <f>AF52*(1+AI52)</f>
        <v/>
      </c>
      <c r="AL52" s="19">
        <f>AJ52+AK52</f>
        <v/>
      </c>
      <c r="AM52" s="19">
        <f>IF(AND(CONFIG!$B$11="Annual",MONTH(AC52)=7),AL52*CONFIG!$B$6/12,AM51)</f>
        <v/>
      </c>
      <c r="AN52" s="19">
        <f>IF(AL52=0,0,AJ52-AM52*AJ52/AL52)</f>
        <v/>
      </c>
      <c r="AO52" s="19">
        <f>IF(AL52=0,0,AK52-AM52*AK52/AL52)</f>
        <v/>
      </c>
    </row>
    <row r="53">
      <c r="A53" s="18">
        <f>DATA!A53</f>
        <v/>
      </c>
      <c r="B53">
        <f>DATA!B53</f>
        <v/>
      </c>
      <c r="C53" s="19">
        <f>L52</f>
        <v/>
      </c>
      <c r="D53" s="19">
        <f>M52</f>
        <v/>
      </c>
      <c r="E53" s="19">
        <f>C53+D53</f>
        <v/>
      </c>
      <c r="F53" s="20">
        <f>DATA!C53</f>
        <v/>
      </c>
      <c r="G53" s="20">
        <f>DATA!G53</f>
        <v/>
      </c>
      <c r="H53" s="19">
        <f>C53*(1+F53)</f>
        <v/>
      </c>
      <c r="I53" s="19">
        <f>D53*(1+G53)</f>
        <v/>
      </c>
      <c r="J53" s="19">
        <f>H53+I53</f>
        <v/>
      </c>
      <c r="K53" s="19">
        <f>IF(AND(CONFIG!$B$11="Annual",MONTH(A53)=7),J53*CONFIG!$B$6/12,K52)</f>
        <v/>
      </c>
      <c r="L53" s="19">
        <f>IF(J53=0,0,H53-K53*H53/J53)</f>
        <v/>
      </c>
      <c r="M53" s="19">
        <f>IF(J53=0,0,I53-K53*I53/J53)</f>
        <v/>
      </c>
      <c r="O53" s="18">
        <f>DATA!A53</f>
        <v/>
      </c>
      <c r="P53">
        <f>DATA!B53</f>
        <v/>
      </c>
      <c r="Q53" s="19">
        <f>Z52</f>
        <v/>
      </c>
      <c r="R53" s="19">
        <f>AA52</f>
        <v/>
      </c>
      <c r="S53" s="19">
        <f>Q53+R53</f>
        <v/>
      </c>
      <c r="T53" s="20">
        <f>DATA!D53</f>
        <v/>
      </c>
      <c r="U53" s="20">
        <f>DATA!G53</f>
        <v/>
      </c>
      <c r="V53" s="19">
        <f>Q53*(1+T53)</f>
        <v/>
      </c>
      <c r="W53" s="19">
        <f>R53*(1+U53)</f>
        <v/>
      </c>
      <c r="X53" s="19">
        <f>V53+W53</f>
        <v/>
      </c>
      <c r="Y53" s="19">
        <f>IF(AND(CONFIG!$B$11="Annual",MONTH(O53)=7),X53*CONFIG!$B$6/12,Y52)</f>
        <v/>
      </c>
      <c r="Z53" s="19">
        <f>IF(X53=0,0,V53-Y53*V53/X53)</f>
        <v/>
      </c>
      <c r="AA53" s="19">
        <f>IF(X53=0,0,W53-Y53*W53/X53)</f>
        <v/>
      </c>
      <c r="AC53" s="18">
        <f>DATA!A53</f>
        <v/>
      </c>
      <c r="AD53">
        <f>DATA!B53</f>
        <v/>
      </c>
      <c r="AE53" s="19">
        <f>AN52</f>
        <v/>
      </c>
      <c r="AF53" s="19">
        <f>AO52</f>
        <v/>
      </c>
      <c r="AG53" s="19">
        <f>AE53+AF53</f>
        <v/>
      </c>
      <c r="AH53" s="20">
        <f>DATA!E53</f>
        <v/>
      </c>
      <c r="AI53" s="20">
        <f>DATA!G53</f>
        <v/>
      </c>
      <c r="AJ53" s="19">
        <f>AE53*(1+AH53)</f>
        <v/>
      </c>
      <c r="AK53" s="19">
        <f>AF53*(1+AI53)</f>
        <v/>
      </c>
      <c r="AL53" s="19">
        <f>AJ53+AK53</f>
        <v/>
      </c>
      <c r="AM53" s="19">
        <f>IF(AND(CONFIG!$B$11="Annual",MONTH(AC53)=7),AL53*CONFIG!$B$6/12,AM52)</f>
        <v/>
      </c>
      <c r="AN53" s="19">
        <f>IF(AL53=0,0,AJ53-AM53*AJ53/AL53)</f>
        <v/>
      </c>
      <c r="AO53" s="19">
        <f>IF(AL53=0,0,AK53-AM53*AK53/AL53)</f>
        <v/>
      </c>
    </row>
    <row r="54">
      <c r="A54" s="18">
        <f>DATA!A54</f>
        <v/>
      </c>
      <c r="B54">
        <f>DATA!B54</f>
        <v/>
      </c>
      <c r="C54" s="19">
        <f>L53</f>
        <v/>
      </c>
      <c r="D54" s="19">
        <f>M53</f>
        <v/>
      </c>
      <c r="E54" s="19">
        <f>C54+D54</f>
        <v/>
      </c>
      <c r="F54" s="20">
        <f>DATA!C54</f>
        <v/>
      </c>
      <c r="G54" s="20">
        <f>DATA!G54</f>
        <v/>
      </c>
      <c r="H54" s="19">
        <f>C54*(1+F54)</f>
        <v/>
      </c>
      <c r="I54" s="19">
        <f>D54*(1+G54)</f>
        <v/>
      </c>
      <c r="J54" s="19">
        <f>H54+I54</f>
        <v/>
      </c>
      <c r="K54" s="19">
        <f>IF(AND(CONFIG!$B$11="Annual",MONTH(A54)=7),J54*CONFIG!$B$6/12,K53)</f>
        <v/>
      </c>
      <c r="L54" s="19">
        <f>IF(J54=0,0,H54-K54*H54/J54)</f>
        <v/>
      </c>
      <c r="M54" s="19">
        <f>IF(J54=0,0,I54-K54*I54/J54)</f>
        <v/>
      </c>
      <c r="O54" s="18">
        <f>DATA!A54</f>
        <v/>
      </c>
      <c r="P54">
        <f>DATA!B54</f>
        <v/>
      </c>
      <c r="Q54" s="19">
        <f>Z53</f>
        <v/>
      </c>
      <c r="R54" s="19">
        <f>AA53</f>
        <v/>
      </c>
      <c r="S54" s="19">
        <f>Q54+R54</f>
        <v/>
      </c>
      <c r="T54" s="20">
        <f>DATA!D54</f>
        <v/>
      </c>
      <c r="U54" s="20">
        <f>DATA!G54</f>
        <v/>
      </c>
      <c r="V54" s="19">
        <f>Q54*(1+T54)</f>
        <v/>
      </c>
      <c r="W54" s="19">
        <f>R54*(1+U54)</f>
        <v/>
      </c>
      <c r="X54" s="19">
        <f>V54+W54</f>
        <v/>
      </c>
      <c r="Y54" s="19">
        <f>IF(AND(CONFIG!$B$11="Annual",MONTH(O54)=7),X54*CONFIG!$B$6/12,Y53)</f>
        <v/>
      </c>
      <c r="Z54" s="19">
        <f>IF(X54=0,0,V54-Y54*V54/X54)</f>
        <v/>
      </c>
      <c r="AA54" s="19">
        <f>IF(X54=0,0,W54-Y54*W54/X54)</f>
        <v/>
      </c>
      <c r="AC54" s="18">
        <f>DATA!A54</f>
        <v/>
      </c>
      <c r="AD54">
        <f>DATA!B54</f>
        <v/>
      </c>
      <c r="AE54" s="19">
        <f>AN53</f>
        <v/>
      </c>
      <c r="AF54" s="19">
        <f>AO53</f>
        <v/>
      </c>
      <c r="AG54" s="19">
        <f>AE54+AF54</f>
        <v/>
      </c>
      <c r="AH54" s="20">
        <f>DATA!E54</f>
        <v/>
      </c>
      <c r="AI54" s="20">
        <f>DATA!G54</f>
        <v/>
      </c>
      <c r="AJ54" s="19">
        <f>AE54*(1+AH54)</f>
        <v/>
      </c>
      <c r="AK54" s="19">
        <f>AF54*(1+AI54)</f>
        <v/>
      </c>
      <c r="AL54" s="19">
        <f>AJ54+AK54</f>
        <v/>
      </c>
      <c r="AM54" s="19">
        <f>IF(AND(CONFIG!$B$11="Annual",MONTH(AC54)=7),AL54*CONFIG!$B$6/12,AM53)</f>
        <v/>
      </c>
      <c r="AN54" s="19">
        <f>IF(AL54=0,0,AJ54-AM54*AJ54/AL54)</f>
        <v/>
      </c>
      <c r="AO54" s="19">
        <f>IF(AL54=0,0,AK54-AM54*AK54/AL54)</f>
        <v/>
      </c>
    </row>
    <row r="55">
      <c r="A55" s="18">
        <f>DATA!A55</f>
        <v/>
      </c>
      <c r="B55">
        <f>DATA!B55</f>
        <v/>
      </c>
      <c r="C55" s="19">
        <f>L54</f>
        <v/>
      </c>
      <c r="D55" s="19">
        <f>M54</f>
        <v/>
      </c>
      <c r="E55" s="19">
        <f>C55+D55</f>
        <v/>
      </c>
      <c r="F55" s="20">
        <f>DATA!C55</f>
        <v/>
      </c>
      <c r="G55" s="20">
        <f>DATA!G55</f>
        <v/>
      </c>
      <c r="H55" s="19">
        <f>C55*(1+F55)</f>
        <v/>
      </c>
      <c r="I55" s="19">
        <f>D55*(1+G55)</f>
        <v/>
      </c>
      <c r="J55" s="19">
        <f>H55+I55</f>
        <v/>
      </c>
      <c r="K55" s="19">
        <f>IF(AND(CONFIG!$B$11="Annual",MONTH(A55)=7),J55*CONFIG!$B$6/12,K54)</f>
        <v/>
      </c>
      <c r="L55" s="19">
        <f>IF(J55=0,0,H55-K55*H55/J55)</f>
        <v/>
      </c>
      <c r="M55" s="19">
        <f>IF(J55=0,0,I55-K55*I55/J55)</f>
        <v/>
      </c>
      <c r="O55" s="18">
        <f>DATA!A55</f>
        <v/>
      </c>
      <c r="P55">
        <f>DATA!B55</f>
        <v/>
      </c>
      <c r="Q55" s="19">
        <f>Z54</f>
        <v/>
      </c>
      <c r="R55" s="19">
        <f>AA54</f>
        <v/>
      </c>
      <c r="S55" s="19">
        <f>Q55+R55</f>
        <v/>
      </c>
      <c r="T55" s="20">
        <f>DATA!D55</f>
        <v/>
      </c>
      <c r="U55" s="20">
        <f>DATA!G55</f>
        <v/>
      </c>
      <c r="V55" s="19">
        <f>Q55*(1+T55)</f>
        <v/>
      </c>
      <c r="W55" s="19">
        <f>R55*(1+U55)</f>
        <v/>
      </c>
      <c r="X55" s="19">
        <f>V55+W55</f>
        <v/>
      </c>
      <c r="Y55" s="19">
        <f>IF(AND(CONFIG!$B$11="Annual",MONTH(O55)=7),X55*CONFIG!$B$6/12,Y54)</f>
        <v/>
      </c>
      <c r="Z55" s="19">
        <f>IF(X55=0,0,V55-Y55*V55/X55)</f>
        <v/>
      </c>
      <c r="AA55" s="19">
        <f>IF(X55=0,0,W55-Y55*W55/X55)</f>
        <v/>
      </c>
      <c r="AC55" s="18">
        <f>DATA!A55</f>
        <v/>
      </c>
      <c r="AD55">
        <f>DATA!B55</f>
        <v/>
      </c>
      <c r="AE55" s="19">
        <f>AN54</f>
        <v/>
      </c>
      <c r="AF55" s="19">
        <f>AO54</f>
        <v/>
      </c>
      <c r="AG55" s="19">
        <f>AE55+AF55</f>
        <v/>
      </c>
      <c r="AH55" s="20">
        <f>DATA!E55</f>
        <v/>
      </c>
      <c r="AI55" s="20">
        <f>DATA!G55</f>
        <v/>
      </c>
      <c r="AJ55" s="19">
        <f>AE55*(1+AH55)</f>
        <v/>
      </c>
      <c r="AK55" s="19">
        <f>AF55*(1+AI55)</f>
        <v/>
      </c>
      <c r="AL55" s="19">
        <f>AJ55+AK55</f>
        <v/>
      </c>
      <c r="AM55" s="19">
        <f>IF(AND(CONFIG!$B$11="Annual",MONTH(AC55)=7),AL55*CONFIG!$B$6/12,AM54)</f>
        <v/>
      </c>
      <c r="AN55" s="19">
        <f>IF(AL55=0,0,AJ55-AM55*AJ55/AL55)</f>
        <v/>
      </c>
      <c r="AO55" s="19">
        <f>IF(AL55=0,0,AK55-AM55*AK55/AL55)</f>
        <v/>
      </c>
    </row>
    <row r="56">
      <c r="A56" s="18">
        <f>DATA!A56</f>
        <v/>
      </c>
      <c r="B56">
        <f>DATA!B56</f>
        <v/>
      </c>
      <c r="C56" s="19">
        <f>L55</f>
        <v/>
      </c>
      <c r="D56" s="19">
        <f>M55</f>
        <v/>
      </c>
      <c r="E56" s="19">
        <f>C56+D56</f>
        <v/>
      </c>
      <c r="F56" s="20">
        <f>DATA!C56</f>
        <v/>
      </c>
      <c r="G56" s="20">
        <f>DATA!G56</f>
        <v/>
      </c>
      <c r="H56" s="19">
        <f>C56*(1+F56)</f>
        <v/>
      </c>
      <c r="I56" s="19">
        <f>D56*(1+G56)</f>
        <v/>
      </c>
      <c r="J56" s="19">
        <f>H56+I56</f>
        <v/>
      </c>
      <c r="K56" s="19">
        <f>IF(AND(CONFIG!$B$11="Annual",MONTH(A56)=7),J56*CONFIG!$B$6/12,K55)</f>
        <v/>
      </c>
      <c r="L56" s="19">
        <f>IF(J56=0,0,H56-K56*H56/J56)</f>
        <v/>
      </c>
      <c r="M56" s="19">
        <f>IF(J56=0,0,I56-K56*I56/J56)</f>
        <v/>
      </c>
      <c r="O56" s="18">
        <f>DATA!A56</f>
        <v/>
      </c>
      <c r="P56">
        <f>DATA!B56</f>
        <v/>
      </c>
      <c r="Q56" s="19">
        <f>Z55</f>
        <v/>
      </c>
      <c r="R56" s="19">
        <f>AA55</f>
        <v/>
      </c>
      <c r="S56" s="19">
        <f>Q56+R56</f>
        <v/>
      </c>
      <c r="T56" s="20">
        <f>DATA!D56</f>
        <v/>
      </c>
      <c r="U56" s="20">
        <f>DATA!G56</f>
        <v/>
      </c>
      <c r="V56" s="19">
        <f>Q56*(1+T56)</f>
        <v/>
      </c>
      <c r="W56" s="19">
        <f>R56*(1+U56)</f>
        <v/>
      </c>
      <c r="X56" s="19">
        <f>V56+W56</f>
        <v/>
      </c>
      <c r="Y56" s="19">
        <f>IF(AND(CONFIG!$B$11="Annual",MONTH(O56)=7),X56*CONFIG!$B$6/12,Y55)</f>
        <v/>
      </c>
      <c r="Z56" s="19">
        <f>IF(X56=0,0,V56-Y56*V56/X56)</f>
        <v/>
      </c>
      <c r="AA56" s="19">
        <f>IF(X56=0,0,W56-Y56*W56/X56)</f>
        <v/>
      </c>
      <c r="AC56" s="18">
        <f>DATA!A56</f>
        <v/>
      </c>
      <c r="AD56">
        <f>DATA!B56</f>
        <v/>
      </c>
      <c r="AE56" s="19">
        <f>AN55</f>
        <v/>
      </c>
      <c r="AF56" s="19">
        <f>AO55</f>
        <v/>
      </c>
      <c r="AG56" s="19">
        <f>AE56+AF56</f>
        <v/>
      </c>
      <c r="AH56" s="20">
        <f>DATA!E56</f>
        <v/>
      </c>
      <c r="AI56" s="20">
        <f>DATA!G56</f>
        <v/>
      </c>
      <c r="AJ56" s="19">
        <f>AE56*(1+AH56)</f>
        <v/>
      </c>
      <c r="AK56" s="19">
        <f>AF56*(1+AI56)</f>
        <v/>
      </c>
      <c r="AL56" s="19">
        <f>AJ56+AK56</f>
        <v/>
      </c>
      <c r="AM56" s="19">
        <f>IF(AND(CONFIG!$B$11="Annual",MONTH(AC56)=7),AL56*CONFIG!$B$6/12,AM55)</f>
        <v/>
      </c>
      <c r="AN56" s="19">
        <f>IF(AL56=0,0,AJ56-AM56*AJ56/AL56)</f>
        <v/>
      </c>
      <c r="AO56" s="19">
        <f>IF(AL56=0,0,AK56-AM56*AK56/AL56)</f>
        <v/>
      </c>
    </row>
    <row r="57">
      <c r="A57" s="18">
        <f>DATA!A57</f>
        <v/>
      </c>
      <c r="B57">
        <f>DATA!B57</f>
        <v/>
      </c>
      <c r="C57" s="19">
        <f>L56</f>
        <v/>
      </c>
      <c r="D57" s="19">
        <f>M56</f>
        <v/>
      </c>
      <c r="E57" s="19">
        <f>C57+D57</f>
        <v/>
      </c>
      <c r="F57" s="20">
        <f>DATA!C57</f>
        <v/>
      </c>
      <c r="G57" s="20">
        <f>DATA!G57</f>
        <v/>
      </c>
      <c r="H57" s="19">
        <f>C57*(1+F57)</f>
        <v/>
      </c>
      <c r="I57" s="19">
        <f>D57*(1+G57)</f>
        <v/>
      </c>
      <c r="J57" s="19">
        <f>H57+I57</f>
        <v/>
      </c>
      <c r="K57" s="19">
        <f>IF(AND(CONFIG!$B$11="Annual",MONTH(A57)=7),J57*CONFIG!$B$6/12,K56)</f>
        <v/>
      </c>
      <c r="L57" s="19">
        <f>IF(J57=0,0,H57-K57*H57/J57)</f>
        <v/>
      </c>
      <c r="M57" s="19">
        <f>IF(J57=0,0,I57-K57*I57/J57)</f>
        <v/>
      </c>
      <c r="O57" s="18">
        <f>DATA!A57</f>
        <v/>
      </c>
      <c r="P57">
        <f>DATA!B57</f>
        <v/>
      </c>
      <c r="Q57" s="19">
        <f>Z56</f>
        <v/>
      </c>
      <c r="R57" s="19">
        <f>AA56</f>
        <v/>
      </c>
      <c r="S57" s="19">
        <f>Q57+R57</f>
        <v/>
      </c>
      <c r="T57" s="20">
        <f>DATA!D57</f>
        <v/>
      </c>
      <c r="U57" s="20">
        <f>DATA!G57</f>
        <v/>
      </c>
      <c r="V57" s="19">
        <f>Q57*(1+T57)</f>
        <v/>
      </c>
      <c r="W57" s="19">
        <f>R57*(1+U57)</f>
        <v/>
      </c>
      <c r="X57" s="19">
        <f>V57+W57</f>
        <v/>
      </c>
      <c r="Y57" s="19">
        <f>IF(AND(CONFIG!$B$11="Annual",MONTH(O57)=7),X57*CONFIG!$B$6/12,Y56)</f>
        <v/>
      </c>
      <c r="Z57" s="19">
        <f>IF(X57=0,0,V57-Y57*V57/X57)</f>
        <v/>
      </c>
      <c r="AA57" s="19">
        <f>IF(X57=0,0,W57-Y57*W57/X57)</f>
        <v/>
      </c>
      <c r="AC57" s="18">
        <f>DATA!A57</f>
        <v/>
      </c>
      <c r="AD57">
        <f>DATA!B57</f>
        <v/>
      </c>
      <c r="AE57" s="19">
        <f>AN56</f>
        <v/>
      </c>
      <c r="AF57" s="19">
        <f>AO56</f>
        <v/>
      </c>
      <c r="AG57" s="19">
        <f>AE57+AF57</f>
        <v/>
      </c>
      <c r="AH57" s="20">
        <f>DATA!E57</f>
        <v/>
      </c>
      <c r="AI57" s="20">
        <f>DATA!G57</f>
        <v/>
      </c>
      <c r="AJ57" s="19">
        <f>AE57*(1+AH57)</f>
        <v/>
      </c>
      <c r="AK57" s="19">
        <f>AF57*(1+AI57)</f>
        <v/>
      </c>
      <c r="AL57" s="19">
        <f>AJ57+AK57</f>
        <v/>
      </c>
      <c r="AM57" s="19">
        <f>IF(AND(CONFIG!$B$11="Annual",MONTH(AC57)=7),AL57*CONFIG!$B$6/12,AM56)</f>
        <v/>
      </c>
      <c r="AN57" s="19">
        <f>IF(AL57=0,0,AJ57-AM57*AJ57/AL57)</f>
        <v/>
      </c>
      <c r="AO57" s="19">
        <f>IF(AL57=0,0,AK57-AM57*AK57/AL57)</f>
        <v/>
      </c>
    </row>
    <row r="58">
      <c r="A58" s="18">
        <f>DATA!A58</f>
        <v/>
      </c>
      <c r="B58">
        <f>DATA!B58</f>
        <v/>
      </c>
      <c r="C58" s="19">
        <f>L57</f>
        <v/>
      </c>
      <c r="D58" s="19">
        <f>M57</f>
        <v/>
      </c>
      <c r="E58" s="19">
        <f>C58+D58</f>
        <v/>
      </c>
      <c r="F58" s="20">
        <f>DATA!C58</f>
        <v/>
      </c>
      <c r="G58" s="20">
        <f>DATA!G58</f>
        <v/>
      </c>
      <c r="H58" s="19">
        <f>C58*(1+F58)</f>
        <v/>
      </c>
      <c r="I58" s="19">
        <f>D58*(1+G58)</f>
        <v/>
      </c>
      <c r="J58" s="19">
        <f>H58+I58</f>
        <v/>
      </c>
      <c r="K58" s="19">
        <f>IF(AND(CONFIG!$B$11="Annual",MONTH(A58)=7),J58*CONFIG!$B$6/12,K57)</f>
        <v/>
      </c>
      <c r="L58" s="19">
        <f>IF(J58=0,0,H58-K58*H58/J58)</f>
        <v/>
      </c>
      <c r="M58" s="19">
        <f>IF(J58=0,0,I58-K58*I58/J58)</f>
        <v/>
      </c>
      <c r="O58" s="18">
        <f>DATA!A58</f>
        <v/>
      </c>
      <c r="P58">
        <f>DATA!B58</f>
        <v/>
      </c>
      <c r="Q58" s="19">
        <f>Z57</f>
        <v/>
      </c>
      <c r="R58" s="19">
        <f>AA57</f>
        <v/>
      </c>
      <c r="S58" s="19">
        <f>Q58+R58</f>
        <v/>
      </c>
      <c r="T58" s="20">
        <f>DATA!D58</f>
        <v/>
      </c>
      <c r="U58" s="20">
        <f>DATA!G58</f>
        <v/>
      </c>
      <c r="V58" s="19">
        <f>Q58*(1+T58)</f>
        <v/>
      </c>
      <c r="W58" s="19">
        <f>R58*(1+U58)</f>
        <v/>
      </c>
      <c r="X58" s="19">
        <f>V58+W58</f>
        <v/>
      </c>
      <c r="Y58" s="19">
        <f>IF(AND(CONFIG!$B$11="Annual",MONTH(O58)=7),X58*CONFIG!$B$6/12,Y57)</f>
        <v/>
      </c>
      <c r="Z58" s="19">
        <f>IF(X58=0,0,V58-Y58*V58/X58)</f>
        <v/>
      </c>
      <c r="AA58" s="19">
        <f>IF(X58=0,0,W58-Y58*W58/X58)</f>
        <v/>
      </c>
      <c r="AC58" s="18">
        <f>DATA!A58</f>
        <v/>
      </c>
      <c r="AD58">
        <f>DATA!B58</f>
        <v/>
      </c>
      <c r="AE58" s="19">
        <f>AN57</f>
        <v/>
      </c>
      <c r="AF58" s="19">
        <f>AO57</f>
        <v/>
      </c>
      <c r="AG58" s="19">
        <f>AE58+AF58</f>
        <v/>
      </c>
      <c r="AH58" s="20">
        <f>DATA!E58</f>
        <v/>
      </c>
      <c r="AI58" s="20">
        <f>DATA!G58</f>
        <v/>
      </c>
      <c r="AJ58" s="19">
        <f>AE58*(1+AH58)</f>
        <v/>
      </c>
      <c r="AK58" s="19">
        <f>AF58*(1+AI58)</f>
        <v/>
      </c>
      <c r="AL58" s="19">
        <f>AJ58+AK58</f>
        <v/>
      </c>
      <c r="AM58" s="19">
        <f>IF(AND(CONFIG!$B$11="Annual",MONTH(AC58)=7),AL58*CONFIG!$B$6/12,AM57)</f>
        <v/>
      </c>
      <c r="AN58" s="19">
        <f>IF(AL58=0,0,AJ58-AM58*AJ58/AL58)</f>
        <v/>
      </c>
      <c r="AO58" s="19">
        <f>IF(AL58=0,0,AK58-AM58*AK58/AL58)</f>
        <v/>
      </c>
    </row>
    <row r="59">
      <c r="A59" s="18">
        <f>DATA!A59</f>
        <v/>
      </c>
      <c r="B59">
        <f>DATA!B59</f>
        <v/>
      </c>
      <c r="C59" s="19">
        <f>L58</f>
        <v/>
      </c>
      <c r="D59" s="19">
        <f>M58</f>
        <v/>
      </c>
      <c r="E59" s="19">
        <f>C59+D59</f>
        <v/>
      </c>
      <c r="F59" s="20">
        <f>DATA!C59</f>
        <v/>
      </c>
      <c r="G59" s="20">
        <f>DATA!G59</f>
        <v/>
      </c>
      <c r="H59" s="19">
        <f>C59*(1+F59)</f>
        <v/>
      </c>
      <c r="I59" s="19">
        <f>D59*(1+G59)</f>
        <v/>
      </c>
      <c r="J59" s="19">
        <f>H59+I59</f>
        <v/>
      </c>
      <c r="K59" s="19">
        <f>IF(AND(CONFIG!$B$11="Annual",MONTH(A59)=7),J59*CONFIG!$B$6/12,K58)</f>
        <v/>
      </c>
      <c r="L59" s="19">
        <f>IF(J59=0,0,H59-K59*H59/J59)</f>
        <v/>
      </c>
      <c r="M59" s="19">
        <f>IF(J59=0,0,I59-K59*I59/J59)</f>
        <v/>
      </c>
      <c r="O59" s="18">
        <f>DATA!A59</f>
        <v/>
      </c>
      <c r="P59">
        <f>DATA!B59</f>
        <v/>
      </c>
      <c r="Q59" s="19">
        <f>Z58</f>
        <v/>
      </c>
      <c r="R59" s="19">
        <f>AA58</f>
        <v/>
      </c>
      <c r="S59" s="19">
        <f>Q59+R59</f>
        <v/>
      </c>
      <c r="T59" s="20">
        <f>DATA!D59</f>
        <v/>
      </c>
      <c r="U59" s="20">
        <f>DATA!G59</f>
        <v/>
      </c>
      <c r="V59" s="19">
        <f>Q59*(1+T59)</f>
        <v/>
      </c>
      <c r="W59" s="19">
        <f>R59*(1+U59)</f>
        <v/>
      </c>
      <c r="X59" s="19">
        <f>V59+W59</f>
        <v/>
      </c>
      <c r="Y59" s="19">
        <f>IF(AND(CONFIG!$B$11="Annual",MONTH(O59)=7),X59*CONFIG!$B$6/12,Y58)</f>
        <v/>
      </c>
      <c r="Z59" s="19">
        <f>IF(X59=0,0,V59-Y59*V59/X59)</f>
        <v/>
      </c>
      <c r="AA59" s="19">
        <f>IF(X59=0,0,W59-Y59*W59/X59)</f>
        <v/>
      </c>
      <c r="AC59" s="18">
        <f>DATA!A59</f>
        <v/>
      </c>
      <c r="AD59">
        <f>DATA!B59</f>
        <v/>
      </c>
      <c r="AE59" s="19">
        <f>AN58</f>
        <v/>
      </c>
      <c r="AF59" s="19">
        <f>AO58</f>
        <v/>
      </c>
      <c r="AG59" s="19">
        <f>AE59+AF59</f>
        <v/>
      </c>
      <c r="AH59" s="20">
        <f>DATA!E59</f>
        <v/>
      </c>
      <c r="AI59" s="20">
        <f>DATA!G59</f>
        <v/>
      </c>
      <c r="AJ59" s="19">
        <f>AE59*(1+AH59)</f>
        <v/>
      </c>
      <c r="AK59" s="19">
        <f>AF59*(1+AI59)</f>
        <v/>
      </c>
      <c r="AL59" s="19">
        <f>AJ59+AK59</f>
        <v/>
      </c>
      <c r="AM59" s="19">
        <f>IF(AND(CONFIG!$B$11="Annual",MONTH(AC59)=7),AL59*CONFIG!$B$6/12,AM58)</f>
        <v/>
      </c>
      <c r="AN59" s="19">
        <f>IF(AL59=0,0,AJ59-AM59*AJ59/AL59)</f>
        <v/>
      </c>
      <c r="AO59" s="19">
        <f>IF(AL59=0,0,AK59-AM59*AK59/AL59)</f>
        <v/>
      </c>
    </row>
    <row r="60">
      <c r="A60" s="18">
        <f>DATA!A60</f>
        <v/>
      </c>
      <c r="B60">
        <f>DATA!B60</f>
        <v/>
      </c>
      <c r="C60" s="19">
        <f>L59</f>
        <v/>
      </c>
      <c r="D60" s="19">
        <f>M59</f>
        <v/>
      </c>
      <c r="E60" s="19">
        <f>C60+D60</f>
        <v/>
      </c>
      <c r="F60" s="20">
        <f>DATA!C60</f>
        <v/>
      </c>
      <c r="G60" s="20">
        <f>DATA!G60</f>
        <v/>
      </c>
      <c r="H60" s="19">
        <f>C60*(1+F60)</f>
        <v/>
      </c>
      <c r="I60" s="19">
        <f>D60*(1+G60)</f>
        <v/>
      </c>
      <c r="J60" s="19">
        <f>H60+I60</f>
        <v/>
      </c>
      <c r="K60" s="19">
        <f>IF(AND(CONFIG!$B$11="Annual",MONTH(A60)=7),J60*CONFIG!$B$6/12,K59)</f>
        <v/>
      </c>
      <c r="L60" s="19">
        <f>IF(J60=0,0,H60-K60*H60/J60)</f>
        <v/>
      </c>
      <c r="M60" s="19">
        <f>IF(J60=0,0,I60-K60*I60/J60)</f>
        <v/>
      </c>
      <c r="O60" s="18">
        <f>DATA!A60</f>
        <v/>
      </c>
      <c r="P60">
        <f>DATA!B60</f>
        <v/>
      </c>
      <c r="Q60" s="19">
        <f>Z59</f>
        <v/>
      </c>
      <c r="R60" s="19">
        <f>AA59</f>
        <v/>
      </c>
      <c r="S60" s="19">
        <f>Q60+R60</f>
        <v/>
      </c>
      <c r="T60" s="20">
        <f>DATA!D60</f>
        <v/>
      </c>
      <c r="U60" s="20">
        <f>DATA!G60</f>
        <v/>
      </c>
      <c r="V60" s="19">
        <f>Q60*(1+T60)</f>
        <v/>
      </c>
      <c r="W60" s="19">
        <f>R60*(1+U60)</f>
        <v/>
      </c>
      <c r="X60" s="19">
        <f>V60+W60</f>
        <v/>
      </c>
      <c r="Y60" s="19">
        <f>IF(AND(CONFIG!$B$11="Annual",MONTH(O60)=7),X60*CONFIG!$B$6/12,Y59)</f>
        <v/>
      </c>
      <c r="Z60" s="19">
        <f>IF(X60=0,0,V60-Y60*V60/X60)</f>
        <v/>
      </c>
      <c r="AA60" s="19">
        <f>IF(X60=0,0,W60-Y60*W60/X60)</f>
        <v/>
      </c>
      <c r="AC60" s="18">
        <f>DATA!A60</f>
        <v/>
      </c>
      <c r="AD60">
        <f>DATA!B60</f>
        <v/>
      </c>
      <c r="AE60" s="19">
        <f>AN59</f>
        <v/>
      </c>
      <c r="AF60" s="19">
        <f>AO59</f>
        <v/>
      </c>
      <c r="AG60" s="19">
        <f>AE60+AF60</f>
        <v/>
      </c>
      <c r="AH60" s="20">
        <f>DATA!E60</f>
        <v/>
      </c>
      <c r="AI60" s="20">
        <f>DATA!G60</f>
        <v/>
      </c>
      <c r="AJ60" s="19">
        <f>AE60*(1+AH60)</f>
        <v/>
      </c>
      <c r="AK60" s="19">
        <f>AF60*(1+AI60)</f>
        <v/>
      </c>
      <c r="AL60" s="19">
        <f>AJ60+AK60</f>
        <v/>
      </c>
      <c r="AM60" s="19">
        <f>IF(AND(CONFIG!$B$11="Annual",MONTH(AC60)=7),AL60*CONFIG!$B$6/12,AM59)</f>
        <v/>
      </c>
      <c r="AN60" s="19">
        <f>IF(AL60=0,0,AJ60-AM60*AJ60/AL60)</f>
        <v/>
      </c>
      <c r="AO60" s="19">
        <f>IF(AL60=0,0,AK60-AM60*AK60/AL60)</f>
        <v/>
      </c>
    </row>
    <row r="61">
      <c r="A61" s="18">
        <f>DATA!A61</f>
        <v/>
      </c>
      <c r="B61">
        <f>DATA!B61</f>
        <v/>
      </c>
      <c r="C61" s="19">
        <f>L60</f>
        <v/>
      </c>
      <c r="D61" s="19">
        <f>M60</f>
        <v/>
      </c>
      <c r="E61" s="19">
        <f>C61+D61</f>
        <v/>
      </c>
      <c r="F61" s="20">
        <f>DATA!C61</f>
        <v/>
      </c>
      <c r="G61" s="20">
        <f>DATA!G61</f>
        <v/>
      </c>
      <c r="H61" s="19">
        <f>C61*(1+F61)</f>
        <v/>
      </c>
      <c r="I61" s="19">
        <f>D61*(1+G61)</f>
        <v/>
      </c>
      <c r="J61" s="19">
        <f>H61+I61</f>
        <v/>
      </c>
      <c r="K61" s="19">
        <f>IF(AND(CONFIG!$B$11="Annual",MONTH(A61)=7),J61*CONFIG!$B$6/12,K60)</f>
        <v/>
      </c>
      <c r="L61" s="19">
        <f>IF(J61=0,0,H61-K61*H61/J61)</f>
        <v/>
      </c>
      <c r="M61" s="19">
        <f>IF(J61=0,0,I61-K61*I61/J61)</f>
        <v/>
      </c>
      <c r="O61" s="18">
        <f>DATA!A61</f>
        <v/>
      </c>
      <c r="P61">
        <f>DATA!B61</f>
        <v/>
      </c>
      <c r="Q61" s="19">
        <f>Z60</f>
        <v/>
      </c>
      <c r="R61" s="19">
        <f>AA60</f>
        <v/>
      </c>
      <c r="S61" s="19">
        <f>Q61+R61</f>
        <v/>
      </c>
      <c r="T61" s="20">
        <f>DATA!D61</f>
        <v/>
      </c>
      <c r="U61" s="20">
        <f>DATA!G61</f>
        <v/>
      </c>
      <c r="V61" s="19">
        <f>Q61*(1+T61)</f>
        <v/>
      </c>
      <c r="W61" s="19">
        <f>R61*(1+U61)</f>
        <v/>
      </c>
      <c r="X61" s="19">
        <f>V61+W61</f>
        <v/>
      </c>
      <c r="Y61" s="19">
        <f>IF(AND(CONFIG!$B$11="Annual",MONTH(O61)=7),X61*CONFIG!$B$6/12,Y60)</f>
        <v/>
      </c>
      <c r="Z61" s="19">
        <f>IF(X61=0,0,V61-Y61*V61/X61)</f>
        <v/>
      </c>
      <c r="AA61" s="19">
        <f>IF(X61=0,0,W61-Y61*W61/X61)</f>
        <v/>
      </c>
      <c r="AC61" s="18">
        <f>DATA!A61</f>
        <v/>
      </c>
      <c r="AD61">
        <f>DATA!B61</f>
        <v/>
      </c>
      <c r="AE61" s="19">
        <f>AN60</f>
        <v/>
      </c>
      <c r="AF61" s="19">
        <f>AO60</f>
        <v/>
      </c>
      <c r="AG61" s="19">
        <f>AE61+AF61</f>
        <v/>
      </c>
      <c r="AH61" s="20">
        <f>DATA!E61</f>
        <v/>
      </c>
      <c r="AI61" s="20">
        <f>DATA!G61</f>
        <v/>
      </c>
      <c r="AJ61" s="19">
        <f>AE61*(1+AH61)</f>
        <v/>
      </c>
      <c r="AK61" s="19">
        <f>AF61*(1+AI61)</f>
        <v/>
      </c>
      <c r="AL61" s="19">
        <f>AJ61+AK61</f>
        <v/>
      </c>
      <c r="AM61" s="19">
        <f>IF(AND(CONFIG!$B$11="Annual",MONTH(AC61)=7),AL61*CONFIG!$B$6/12,AM60)</f>
        <v/>
      </c>
      <c r="AN61" s="19">
        <f>IF(AL61=0,0,AJ61-AM61*AJ61/AL61)</f>
        <v/>
      </c>
      <c r="AO61" s="19">
        <f>IF(AL61=0,0,AK61-AM61*AK61/AL61)</f>
        <v/>
      </c>
    </row>
    <row r="62">
      <c r="A62" s="18">
        <f>DATA!A62</f>
        <v/>
      </c>
      <c r="B62">
        <f>DATA!B62</f>
        <v/>
      </c>
      <c r="C62" s="19">
        <f>L61</f>
        <v/>
      </c>
      <c r="D62" s="19">
        <f>M61</f>
        <v/>
      </c>
      <c r="E62" s="19">
        <f>C62+D62</f>
        <v/>
      </c>
      <c r="F62" s="20">
        <f>DATA!C62</f>
        <v/>
      </c>
      <c r="G62" s="20">
        <f>DATA!G62</f>
        <v/>
      </c>
      <c r="H62" s="19">
        <f>C62*(1+F62)</f>
        <v/>
      </c>
      <c r="I62" s="19">
        <f>D62*(1+G62)</f>
        <v/>
      </c>
      <c r="J62" s="19">
        <f>H62+I62</f>
        <v/>
      </c>
      <c r="K62" s="19">
        <f>IF(AND(CONFIG!$B$11="Annual",MONTH(A62)=7),J62*CONFIG!$B$6/12,K61)</f>
        <v/>
      </c>
      <c r="L62" s="19">
        <f>IF(J62=0,0,H62-K62*H62/J62)</f>
        <v/>
      </c>
      <c r="M62" s="19">
        <f>IF(J62=0,0,I62-K62*I62/J62)</f>
        <v/>
      </c>
      <c r="O62" s="18">
        <f>DATA!A62</f>
        <v/>
      </c>
      <c r="P62">
        <f>DATA!B62</f>
        <v/>
      </c>
      <c r="Q62" s="19">
        <f>Z61</f>
        <v/>
      </c>
      <c r="R62" s="19">
        <f>AA61</f>
        <v/>
      </c>
      <c r="S62" s="19">
        <f>Q62+R62</f>
        <v/>
      </c>
      <c r="T62" s="20">
        <f>DATA!D62</f>
        <v/>
      </c>
      <c r="U62" s="20">
        <f>DATA!G62</f>
        <v/>
      </c>
      <c r="V62" s="19">
        <f>Q62*(1+T62)</f>
        <v/>
      </c>
      <c r="W62" s="19">
        <f>R62*(1+U62)</f>
        <v/>
      </c>
      <c r="X62" s="19">
        <f>V62+W62</f>
        <v/>
      </c>
      <c r="Y62" s="19">
        <f>IF(AND(CONFIG!$B$11="Annual",MONTH(O62)=7),X62*CONFIG!$B$6/12,Y61)</f>
        <v/>
      </c>
      <c r="Z62" s="19">
        <f>IF(X62=0,0,V62-Y62*V62/X62)</f>
        <v/>
      </c>
      <c r="AA62" s="19">
        <f>IF(X62=0,0,W62-Y62*W62/X62)</f>
        <v/>
      </c>
      <c r="AC62" s="18">
        <f>DATA!A62</f>
        <v/>
      </c>
      <c r="AD62">
        <f>DATA!B62</f>
        <v/>
      </c>
      <c r="AE62" s="19">
        <f>AN61</f>
        <v/>
      </c>
      <c r="AF62" s="19">
        <f>AO61</f>
        <v/>
      </c>
      <c r="AG62" s="19">
        <f>AE62+AF62</f>
        <v/>
      </c>
      <c r="AH62" s="20">
        <f>DATA!E62</f>
        <v/>
      </c>
      <c r="AI62" s="20">
        <f>DATA!G62</f>
        <v/>
      </c>
      <c r="AJ62" s="19">
        <f>AE62*(1+AH62)</f>
        <v/>
      </c>
      <c r="AK62" s="19">
        <f>AF62*(1+AI62)</f>
        <v/>
      </c>
      <c r="AL62" s="19">
        <f>AJ62+AK62</f>
        <v/>
      </c>
      <c r="AM62" s="19">
        <f>IF(AND(CONFIG!$B$11="Annual",MONTH(AC62)=7),AL62*CONFIG!$B$6/12,AM61)</f>
        <v/>
      </c>
      <c r="AN62" s="19">
        <f>IF(AL62=0,0,AJ62-AM62*AJ62/AL62)</f>
        <v/>
      </c>
      <c r="AO62" s="19">
        <f>IF(AL62=0,0,AK62-AM62*AK62/AL62)</f>
        <v/>
      </c>
    </row>
    <row r="63">
      <c r="A63" s="18">
        <f>DATA!A63</f>
        <v/>
      </c>
      <c r="B63">
        <f>DATA!B63</f>
        <v/>
      </c>
      <c r="C63" s="19">
        <f>L62</f>
        <v/>
      </c>
      <c r="D63" s="19">
        <f>M62</f>
        <v/>
      </c>
      <c r="E63" s="19">
        <f>C63+D63</f>
        <v/>
      </c>
      <c r="F63" s="20">
        <f>DATA!C63</f>
        <v/>
      </c>
      <c r="G63" s="20">
        <f>DATA!G63</f>
        <v/>
      </c>
      <c r="H63" s="19">
        <f>C63*(1+F63)</f>
        <v/>
      </c>
      <c r="I63" s="19">
        <f>D63*(1+G63)</f>
        <v/>
      </c>
      <c r="J63" s="19">
        <f>H63+I63</f>
        <v/>
      </c>
      <c r="K63" s="19">
        <f>IF(AND(CONFIG!$B$11="Annual",MONTH(A63)=7),J63*CONFIG!$B$6/12,K62)</f>
        <v/>
      </c>
      <c r="L63" s="19">
        <f>IF(J63=0,0,H63-K63*H63/J63)</f>
        <v/>
      </c>
      <c r="M63" s="19">
        <f>IF(J63=0,0,I63-K63*I63/J63)</f>
        <v/>
      </c>
      <c r="O63" s="18">
        <f>DATA!A63</f>
        <v/>
      </c>
      <c r="P63">
        <f>DATA!B63</f>
        <v/>
      </c>
      <c r="Q63" s="19">
        <f>Z62</f>
        <v/>
      </c>
      <c r="R63" s="19">
        <f>AA62</f>
        <v/>
      </c>
      <c r="S63" s="19">
        <f>Q63+R63</f>
        <v/>
      </c>
      <c r="T63" s="20">
        <f>DATA!D63</f>
        <v/>
      </c>
      <c r="U63" s="20">
        <f>DATA!G63</f>
        <v/>
      </c>
      <c r="V63" s="19">
        <f>Q63*(1+T63)</f>
        <v/>
      </c>
      <c r="W63" s="19">
        <f>R63*(1+U63)</f>
        <v/>
      </c>
      <c r="X63" s="19">
        <f>V63+W63</f>
        <v/>
      </c>
      <c r="Y63" s="19">
        <f>IF(AND(CONFIG!$B$11="Annual",MONTH(O63)=7),X63*CONFIG!$B$6/12,Y62)</f>
        <v/>
      </c>
      <c r="Z63" s="19">
        <f>IF(X63=0,0,V63-Y63*V63/X63)</f>
        <v/>
      </c>
      <c r="AA63" s="19">
        <f>IF(X63=0,0,W63-Y63*W63/X63)</f>
        <v/>
      </c>
      <c r="AC63" s="18">
        <f>DATA!A63</f>
        <v/>
      </c>
      <c r="AD63">
        <f>DATA!B63</f>
        <v/>
      </c>
      <c r="AE63" s="19">
        <f>AN62</f>
        <v/>
      </c>
      <c r="AF63" s="19">
        <f>AO62</f>
        <v/>
      </c>
      <c r="AG63" s="19">
        <f>AE63+AF63</f>
        <v/>
      </c>
      <c r="AH63" s="20">
        <f>DATA!E63</f>
        <v/>
      </c>
      <c r="AI63" s="20">
        <f>DATA!G63</f>
        <v/>
      </c>
      <c r="AJ63" s="19">
        <f>AE63*(1+AH63)</f>
        <v/>
      </c>
      <c r="AK63" s="19">
        <f>AF63*(1+AI63)</f>
        <v/>
      </c>
      <c r="AL63" s="19">
        <f>AJ63+AK63</f>
        <v/>
      </c>
      <c r="AM63" s="19">
        <f>IF(AND(CONFIG!$B$11="Annual",MONTH(AC63)=7),AL63*CONFIG!$B$6/12,AM62)</f>
        <v/>
      </c>
      <c r="AN63" s="19">
        <f>IF(AL63=0,0,AJ63-AM63*AJ63/AL63)</f>
        <v/>
      </c>
      <c r="AO63" s="19">
        <f>IF(AL63=0,0,AK63-AM63*AK63/AL63)</f>
        <v/>
      </c>
    </row>
    <row r="64">
      <c r="A64" s="18">
        <f>DATA!A64</f>
        <v/>
      </c>
      <c r="B64">
        <f>DATA!B64</f>
        <v/>
      </c>
      <c r="C64" s="19">
        <f>L63</f>
        <v/>
      </c>
      <c r="D64" s="19">
        <f>M63</f>
        <v/>
      </c>
      <c r="E64" s="19">
        <f>C64+D64</f>
        <v/>
      </c>
      <c r="F64" s="20">
        <f>DATA!C64</f>
        <v/>
      </c>
      <c r="G64" s="20">
        <f>DATA!G64</f>
        <v/>
      </c>
      <c r="H64" s="19">
        <f>C64*(1+F64)</f>
        <v/>
      </c>
      <c r="I64" s="19">
        <f>D64*(1+G64)</f>
        <v/>
      </c>
      <c r="J64" s="19">
        <f>H64+I64</f>
        <v/>
      </c>
      <c r="K64" s="19">
        <f>IF(AND(CONFIG!$B$11="Annual",MONTH(A64)=7),J64*CONFIG!$B$6/12,K63)</f>
        <v/>
      </c>
      <c r="L64" s="19">
        <f>IF(J64=0,0,H64-K64*H64/J64)</f>
        <v/>
      </c>
      <c r="M64" s="19">
        <f>IF(J64=0,0,I64-K64*I64/J64)</f>
        <v/>
      </c>
      <c r="O64" s="18">
        <f>DATA!A64</f>
        <v/>
      </c>
      <c r="P64">
        <f>DATA!B64</f>
        <v/>
      </c>
      <c r="Q64" s="19">
        <f>Z63</f>
        <v/>
      </c>
      <c r="R64" s="19">
        <f>AA63</f>
        <v/>
      </c>
      <c r="S64" s="19">
        <f>Q64+R64</f>
        <v/>
      </c>
      <c r="T64" s="20">
        <f>DATA!D64</f>
        <v/>
      </c>
      <c r="U64" s="20">
        <f>DATA!G64</f>
        <v/>
      </c>
      <c r="V64" s="19">
        <f>Q64*(1+T64)</f>
        <v/>
      </c>
      <c r="W64" s="19">
        <f>R64*(1+U64)</f>
        <v/>
      </c>
      <c r="X64" s="19">
        <f>V64+W64</f>
        <v/>
      </c>
      <c r="Y64" s="19">
        <f>IF(AND(CONFIG!$B$11="Annual",MONTH(O64)=7),X64*CONFIG!$B$6/12,Y63)</f>
        <v/>
      </c>
      <c r="Z64" s="19">
        <f>IF(X64=0,0,V64-Y64*V64/X64)</f>
        <v/>
      </c>
      <c r="AA64" s="19">
        <f>IF(X64=0,0,W64-Y64*W64/X64)</f>
        <v/>
      </c>
      <c r="AC64" s="18">
        <f>DATA!A64</f>
        <v/>
      </c>
      <c r="AD64">
        <f>DATA!B64</f>
        <v/>
      </c>
      <c r="AE64" s="19">
        <f>AN63</f>
        <v/>
      </c>
      <c r="AF64" s="19">
        <f>AO63</f>
        <v/>
      </c>
      <c r="AG64" s="19">
        <f>AE64+AF64</f>
        <v/>
      </c>
      <c r="AH64" s="20">
        <f>DATA!E64</f>
        <v/>
      </c>
      <c r="AI64" s="20">
        <f>DATA!G64</f>
        <v/>
      </c>
      <c r="AJ64" s="19">
        <f>AE64*(1+AH64)</f>
        <v/>
      </c>
      <c r="AK64" s="19">
        <f>AF64*(1+AI64)</f>
        <v/>
      </c>
      <c r="AL64" s="19">
        <f>AJ64+AK64</f>
        <v/>
      </c>
      <c r="AM64" s="19">
        <f>IF(AND(CONFIG!$B$11="Annual",MONTH(AC64)=7),AL64*CONFIG!$B$6/12,AM63)</f>
        <v/>
      </c>
      <c r="AN64" s="19">
        <f>IF(AL64=0,0,AJ64-AM64*AJ64/AL64)</f>
        <v/>
      </c>
      <c r="AO64" s="19">
        <f>IF(AL64=0,0,AK64-AM64*AK64/AL64)</f>
        <v/>
      </c>
    </row>
    <row r="65">
      <c r="A65" s="18">
        <f>DATA!A65</f>
        <v/>
      </c>
      <c r="B65">
        <f>DATA!B65</f>
        <v/>
      </c>
      <c r="C65" s="19">
        <f>L64</f>
        <v/>
      </c>
      <c r="D65" s="19">
        <f>M64</f>
        <v/>
      </c>
      <c r="E65" s="19">
        <f>C65+D65</f>
        <v/>
      </c>
      <c r="F65" s="20">
        <f>DATA!C65</f>
        <v/>
      </c>
      <c r="G65" s="20">
        <f>DATA!G65</f>
        <v/>
      </c>
      <c r="H65" s="19">
        <f>C65*(1+F65)</f>
        <v/>
      </c>
      <c r="I65" s="19">
        <f>D65*(1+G65)</f>
        <v/>
      </c>
      <c r="J65" s="19">
        <f>H65+I65</f>
        <v/>
      </c>
      <c r="K65" s="19">
        <f>IF(AND(CONFIG!$B$11="Annual",MONTH(A65)=7),J65*CONFIG!$B$6/12,K64)</f>
        <v/>
      </c>
      <c r="L65" s="19">
        <f>IF(J65=0,0,H65-K65*H65/J65)</f>
        <v/>
      </c>
      <c r="M65" s="19">
        <f>IF(J65=0,0,I65-K65*I65/J65)</f>
        <v/>
      </c>
      <c r="O65" s="18">
        <f>DATA!A65</f>
        <v/>
      </c>
      <c r="P65">
        <f>DATA!B65</f>
        <v/>
      </c>
      <c r="Q65" s="19">
        <f>Z64</f>
        <v/>
      </c>
      <c r="R65" s="19">
        <f>AA64</f>
        <v/>
      </c>
      <c r="S65" s="19">
        <f>Q65+R65</f>
        <v/>
      </c>
      <c r="T65" s="20">
        <f>DATA!D65</f>
        <v/>
      </c>
      <c r="U65" s="20">
        <f>DATA!G65</f>
        <v/>
      </c>
      <c r="V65" s="19">
        <f>Q65*(1+T65)</f>
        <v/>
      </c>
      <c r="W65" s="19">
        <f>R65*(1+U65)</f>
        <v/>
      </c>
      <c r="X65" s="19">
        <f>V65+W65</f>
        <v/>
      </c>
      <c r="Y65" s="19">
        <f>IF(AND(CONFIG!$B$11="Annual",MONTH(O65)=7),X65*CONFIG!$B$6/12,Y64)</f>
        <v/>
      </c>
      <c r="Z65" s="19">
        <f>IF(X65=0,0,V65-Y65*V65/X65)</f>
        <v/>
      </c>
      <c r="AA65" s="19">
        <f>IF(X65=0,0,W65-Y65*W65/X65)</f>
        <v/>
      </c>
      <c r="AC65" s="18">
        <f>DATA!A65</f>
        <v/>
      </c>
      <c r="AD65">
        <f>DATA!B65</f>
        <v/>
      </c>
      <c r="AE65" s="19">
        <f>AN64</f>
        <v/>
      </c>
      <c r="AF65" s="19">
        <f>AO64</f>
        <v/>
      </c>
      <c r="AG65" s="19">
        <f>AE65+AF65</f>
        <v/>
      </c>
      <c r="AH65" s="20">
        <f>DATA!E65</f>
        <v/>
      </c>
      <c r="AI65" s="20">
        <f>DATA!G65</f>
        <v/>
      </c>
      <c r="AJ65" s="19">
        <f>AE65*(1+AH65)</f>
        <v/>
      </c>
      <c r="AK65" s="19">
        <f>AF65*(1+AI65)</f>
        <v/>
      </c>
      <c r="AL65" s="19">
        <f>AJ65+AK65</f>
        <v/>
      </c>
      <c r="AM65" s="19">
        <f>IF(AND(CONFIG!$B$11="Annual",MONTH(AC65)=7),AL65*CONFIG!$B$6/12,AM64)</f>
        <v/>
      </c>
      <c r="AN65" s="19">
        <f>IF(AL65=0,0,AJ65-AM65*AJ65/AL65)</f>
        <v/>
      </c>
      <c r="AO65" s="19">
        <f>IF(AL65=0,0,AK65-AM65*AK65/AL65)</f>
        <v/>
      </c>
    </row>
    <row r="66">
      <c r="A66" s="18">
        <f>DATA!A66</f>
        <v/>
      </c>
      <c r="B66">
        <f>DATA!B66</f>
        <v/>
      </c>
      <c r="C66" s="19">
        <f>L65</f>
        <v/>
      </c>
      <c r="D66" s="19">
        <f>M65</f>
        <v/>
      </c>
      <c r="E66" s="19">
        <f>C66+D66</f>
        <v/>
      </c>
      <c r="F66" s="20">
        <f>DATA!C66</f>
        <v/>
      </c>
      <c r="G66" s="20">
        <f>DATA!G66</f>
        <v/>
      </c>
      <c r="H66" s="19">
        <f>C66*(1+F66)</f>
        <v/>
      </c>
      <c r="I66" s="19">
        <f>D66*(1+G66)</f>
        <v/>
      </c>
      <c r="J66" s="19">
        <f>H66+I66</f>
        <v/>
      </c>
      <c r="K66" s="19">
        <f>IF(AND(CONFIG!$B$11="Annual",MONTH(A66)=7),J66*CONFIG!$B$6/12,K65)</f>
        <v/>
      </c>
      <c r="L66" s="19">
        <f>IF(J66=0,0,H66-K66*H66/J66)</f>
        <v/>
      </c>
      <c r="M66" s="19">
        <f>IF(J66=0,0,I66-K66*I66/J66)</f>
        <v/>
      </c>
      <c r="O66" s="18">
        <f>DATA!A66</f>
        <v/>
      </c>
      <c r="P66">
        <f>DATA!B66</f>
        <v/>
      </c>
      <c r="Q66" s="19">
        <f>Z65</f>
        <v/>
      </c>
      <c r="R66" s="19">
        <f>AA65</f>
        <v/>
      </c>
      <c r="S66" s="19">
        <f>Q66+R66</f>
        <v/>
      </c>
      <c r="T66" s="20">
        <f>DATA!D66</f>
        <v/>
      </c>
      <c r="U66" s="20">
        <f>DATA!G66</f>
        <v/>
      </c>
      <c r="V66" s="19">
        <f>Q66*(1+T66)</f>
        <v/>
      </c>
      <c r="W66" s="19">
        <f>R66*(1+U66)</f>
        <v/>
      </c>
      <c r="X66" s="19">
        <f>V66+W66</f>
        <v/>
      </c>
      <c r="Y66" s="19">
        <f>IF(AND(CONFIG!$B$11="Annual",MONTH(O66)=7),X66*CONFIG!$B$6/12,Y65)</f>
        <v/>
      </c>
      <c r="Z66" s="19">
        <f>IF(X66=0,0,V66-Y66*V66/X66)</f>
        <v/>
      </c>
      <c r="AA66" s="19">
        <f>IF(X66=0,0,W66-Y66*W66/X66)</f>
        <v/>
      </c>
      <c r="AC66" s="18">
        <f>DATA!A66</f>
        <v/>
      </c>
      <c r="AD66">
        <f>DATA!B66</f>
        <v/>
      </c>
      <c r="AE66" s="19">
        <f>AN65</f>
        <v/>
      </c>
      <c r="AF66" s="19">
        <f>AO65</f>
        <v/>
      </c>
      <c r="AG66" s="19">
        <f>AE66+AF66</f>
        <v/>
      </c>
      <c r="AH66" s="20">
        <f>DATA!E66</f>
        <v/>
      </c>
      <c r="AI66" s="20">
        <f>DATA!G66</f>
        <v/>
      </c>
      <c r="AJ66" s="19">
        <f>AE66*(1+AH66)</f>
        <v/>
      </c>
      <c r="AK66" s="19">
        <f>AF66*(1+AI66)</f>
        <v/>
      </c>
      <c r="AL66" s="19">
        <f>AJ66+AK66</f>
        <v/>
      </c>
      <c r="AM66" s="19">
        <f>IF(AND(CONFIG!$B$11="Annual",MONTH(AC66)=7),AL66*CONFIG!$B$6/12,AM65)</f>
        <v/>
      </c>
      <c r="AN66" s="19">
        <f>IF(AL66=0,0,AJ66-AM66*AJ66/AL66)</f>
        <v/>
      </c>
      <c r="AO66" s="19">
        <f>IF(AL66=0,0,AK66-AM66*AK66/AL66)</f>
        <v/>
      </c>
    </row>
    <row r="67">
      <c r="A67" s="18">
        <f>DATA!A67</f>
        <v/>
      </c>
      <c r="B67">
        <f>DATA!B67</f>
        <v/>
      </c>
      <c r="C67" s="19">
        <f>L66</f>
        <v/>
      </c>
      <c r="D67" s="19">
        <f>M66</f>
        <v/>
      </c>
      <c r="E67" s="19">
        <f>C67+D67</f>
        <v/>
      </c>
      <c r="F67" s="20">
        <f>DATA!C67</f>
        <v/>
      </c>
      <c r="G67" s="20">
        <f>DATA!G67</f>
        <v/>
      </c>
      <c r="H67" s="19">
        <f>C67*(1+F67)</f>
        <v/>
      </c>
      <c r="I67" s="19">
        <f>D67*(1+G67)</f>
        <v/>
      </c>
      <c r="J67" s="19">
        <f>H67+I67</f>
        <v/>
      </c>
      <c r="K67" s="19">
        <f>IF(AND(CONFIG!$B$11="Annual",MONTH(A67)=7),J67*CONFIG!$B$6/12,K66)</f>
        <v/>
      </c>
      <c r="L67" s="19">
        <f>IF(J67=0,0,H67-K67*H67/J67)</f>
        <v/>
      </c>
      <c r="M67" s="19">
        <f>IF(J67=0,0,I67-K67*I67/J67)</f>
        <v/>
      </c>
      <c r="O67" s="18">
        <f>DATA!A67</f>
        <v/>
      </c>
      <c r="P67">
        <f>DATA!B67</f>
        <v/>
      </c>
      <c r="Q67" s="19">
        <f>Z66</f>
        <v/>
      </c>
      <c r="R67" s="19">
        <f>AA66</f>
        <v/>
      </c>
      <c r="S67" s="19">
        <f>Q67+R67</f>
        <v/>
      </c>
      <c r="T67" s="20">
        <f>DATA!D67</f>
        <v/>
      </c>
      <c r="U67" s="20">
        <f>DATA!G67</f>
        <v/>
      </c>
      <c r="V67" s="19">
        <f>Q67*(1+T67)</f>
        <v/>
      </c>
      <c r="W67" s="19">
        <f>R67*(1+U67)</f>
        <v/>
      </c>
      <c r="X67" s="19">
        <f>V67+W67</f>
        <v/>
      </c>
      <c r="Y67" s="19">
        <f>IF(AND(CONFIG!$B$11="Annual",MONTH(O67)=7),X67*CONFIG!$B$6/12,Y66)</f>
        <v/>
      </c>
      <c r="Z67" s="19">
        <f>IF(X67=0,0,V67-Y67*V67/X67)</f>
        <v/>
      </c>
      <c r="AA67" s="19">
        <f>IF(X67=0,0,W67-Y67*W67/X67)</f>
        <v/>
      </c>
      <c r="AC67" s="18">
        <f>DATA!A67</f>
        <v/>
      </c>
      <c r="AD67">
        <f>DATA!B67</f>
        <v/>
      </c>
      <c r="AE67" s="19">
        <f>AN66</f>
        <v/>
      </c>
      <c r="AF67" s="19">
        <f>AO66</f>
        <v/>
      </c>
      <c r="AG67" s="19">
        <f>AE67+AF67</f>
        <v/>
      </c>
      <c r="AH67" s="20">
        <f>DATA!E67</f>
        <v/>
      </c>
      <c r="AI67" s="20">
        <f>DATA!G67</f>
        <v/>
      </c>
      <c r="AJ67" s="19">
        <f>AE67*(1+AH67)</f>
        <v/>
      </c>
      <c r="AK67" s="19">
        <f>AF67*(1+AI67)</f>
        <v/>
      </c>
      <c r="AL67" s="19">
        <f>AJ67+AK67</f>
        <v/>
      </c>
      <c r="AM67" s="19">
        <f>IF(AND(CONFIG!$B$11="Annual",MONTH(AC67)=7),AL67*CONFIG!$B$6/12,AM66)</f>
        <v/>
      </c>
      <c r="AN67" s="19">
        <f>IF(AL67=0,0,AJ67-AM67*AJ67/AL67)</f>
        <v/>
      </c>
      <c r="AO67" s="19">
        <f>IF(AL67=0,0,AK67-AM67*AK67/AL67)</f>
        <v/>
      </c>
    </row>
    <row r="68">
      <c r="A68" s="18">
        <f>DATA!A68</f>
        <v/>
      </c>
      <c r="B68">
        <f>DATA!B68</f>
        <v/>
      </c>
      <c r="C68" s="19">
        <f>L67</f>
        <v/>
      </c>
      <c r="D68" s="19">
        <f>M67</f>
        <v/>
      </c>
      <c r="E68" s="19">
        <f>C68+D68</f>
        <v/>
      </c>
      <c r="F68" s="20">
        <f>DATA!C68</f>
        <v/>
      </c>
      <c r="G68" s="20">
        <f>DATA!G68</f>
        <v/>
      </c>
      <c r="H68" s="19">
        <f>C68*(1+F68)</f>
        <v/>
      </c>
      <c r="I68" s="19">
        <f>D68*(1+G68)</f>
        <v/>
      </c>
      <c r="J68" s="19">
        <f>H68+I68</f>
        <v/>
      </c>
      <c r="K68" s="19">
        <f>IF(AND(CONFIG!$B$11="Annual",MONTH(A68)=7),J68*CONFIG!$B$6/12,K67)</f>
        <v/>
      </c>
      <c r="L68" s="19">
        <f>IF(J68=0,0,H68-K68*H68/J68)</f>
        <v/>
      </c>
      <c r="M68" s="19">
        <f>IF(J68=0,0,I68-K68*I68/J68)</f>
        <v/>
      </c>
      <c r="O68" s="18">
        <f>DATA!A68</f>
        <v/>
      </c>
      <c r="P68">
        <f>DATA!B68</f>
        <v/>
      </c>
      <c r="Q68" s="19">
        <f>Z67</f>
        <v/>
      </c>
      <c r="R68" s="19">
        <f>AA67</f>
        <v/>
      </c>
      <c r="S68" s="19">
        <f>Q68+R68</f>
        <v/>
      </c>
      <c r="T68" s="20">
        <f>DATA!D68</f>
        <v/>
      </c>
      <c r="U68" s="20">
        <f>DATA!G68</f>
        <v/>
      </c>
      <c r="V68" s="19">
        <f>Q68*(1+T68)</f>
        <v/>
      </c>
      <c r="W68" s="19">
        <f>R68*(1+U68)</f>
        <v/>
      </c>
      <c r="X68" s="19">
        <f>V68+W68</f>
        <v/>
      </c>
      <c r="Y68" s="19">
        <f>IF(AND(CONFIG!$B$11="Annual",MONTH(O68)=7),X68*CONFIG!$B$6/12,Y67)</f>
        <v/>
      </c>
      <c r="Z68" s="19">
        <f>IF(X68=0,0,V68-Y68*V68/X68)</f>
        <v/>
      </c>
      <c r="AA68" s="19">
        <f>IF(X68=0,0,W68-Y68*W68/X68)</f>
        <v/>
      </c>
      <c r="AC68" s="18">
        <f>DATA!A68</f>
        <v/>
      </c>
      <c r="AD68">
        <f>DATA!B68</f>
        <v/>
      </c>
      <c r="AE68" s="19">
        <f>AN67</f>
        <v/>
      </c>
      <c r="AF68" s="19">
        <f>AO67</f>
        <v/>
      </c>
      <c r="AG68" s="19">
        <f>AE68+AF68</f>
        <v/>
      </c>
      <c r="AH68" s="20">
        <f>DATA!E68</f>
        <v/>
      </c>
      <c r="AI68" s="20">
        <f>DATA!G68</f>
        <v/>
      </c>
      <c r="AJ68" s="19">
        <f>AE68*(1+AH68)</f>
        <v/>
      </c>
      <c r="AK68" s="19">
        <f>AF68*(1+AI68)</f>
        <v/>
      </c>
      <c r="AL68" s="19">
        <f>AJ68+AK68</f>
        <v/>
      </c>
      <c r="AM68" s="19">
        <f>IF(AND(CONFIG!$B$11="Annual",MONTH(AC68)=7),AL68*CONFIG!$B$6/12,AM67)</f>
        <v/>
      </c>
      <c r="AN68" s="19">
        <f>IF(AL68=0,0,AJ68-AM68*AJ68/AL68)</f>
        <v/>
      </c>
      <c r="AO68" s="19">
        <f>IF(AL68=0,0,AK68-AM68*AK68/AL68)</f>
        <v/>
      </c>
    </row>
    <row r="69">
      <c r="A69" s="18">
        <f>DATA!A69</f>
        <v/>
      </c>
      <c r="B69">
        <f>DATA!B69</f>
        <v/>
      </c>
      <c r="C69" s="19">
        <f>L68</f>
        <v/>
      </c>
      <c r="D69" s="19">
        <f>M68</f>
        <v/>
      </c>
      <c r="E69" s="19">
        <f>C69+D69</f>
        <v/>
      </c>
      <c r="F69" s="20">
        <f>DATA!C69</f>
        <v/>
      </c>
      <c r="G69" s="20">
        <f>DATA!G69</f>
        <v/>
      </c>
      <c r="H69" s="19">
        <f>C69*(1+F69)</f>
        <v/>
      </c>
      <c r="I69" s="19">
        <f>D69*(1+G69)</f>
        <v/>
      </c>
      <c r="J69" s="19">
        <f>H69+I69</f>
        <v/>
      </c>
      <c r="K69" s="19">
        <f>IF(AND(CONFIG!$B$11="Annual",MONTH(A69)=7),J69*CONFIG!$B$6/12,K68)</f>
        <v/>
      </c>
      <c r="L69" s="19">
        <f>IF(J69=0,0,H69-K69*H69/J69)</f>
        <v/>
      </c>
      <c r="M69" s="19">
        <f>IF(J69=0,0,I69-K69*I69/J69)</f>
        <v/>
      </c>
      <c r="O69" s="18">
        <f>DATA!A69</f>
        <v/>
      </c>
      <c r="P69">
        <f>DATA!B69</f>
        <v/>
      </c>
      <c r="Q69" s="19">
        <f>Z68</f>
        <v/>
      </c>
      <c r="R69" s="19">
        <f>AA68</f>
        <v/>
      </c>
      <c r="S69" s="19">
        <f>Q69+R69</f>
        <v/>
      </c>
      <c r="T69" s="20">
        <f>DATA!D69</f>
        <v/>
      </c>
      <c r="U69" s="20">
        <f>DATA!G69</f>
        <v/>
      </c>
      <c r="V69" s="19">
        <f>Q69*(1+T69)</f>
        <v/>
      </c>
      <c r="W69" s="19">
        <f>R69*(1+U69)</f>
        <v/>
      </c>
      <c r="X69" s="19">
        <f>V69+W69</f>
        <v/>
      </c>
      <c r="Y69" s="19">
        <f>IF(AND(CONFIG!$B$11="Annual",MONTH(O69)=7),X69*CONFIG!$B$6/12,Y68)</f>
        <v/>
      </c>
      <c r="Z69" s="19">
        <f>IF(X69=0,0,V69-Y69*V69/X69)</f>
        <v/>
      </c>
      <c r="AA69" s="19">
        <f>IF(X69=0,0,W69-Y69*W69/X69)</f>
        <v/>
      </c>
      <c r="AC69" s="18">
        <f>DATA!A69</f>
        <v/>
      </c>
      <c r="AD69">
        <f>DATA!B69</f>
        <v/>
      </c>
      <c r="AE69" s="19">
        <f>AN68</f>
        <v/>
      </c>
      <c r="AF69" s="19">
        <f>AO68</f>
        <v/>
      </c>
      <c r="AG69" s="19">
        <f>AE69+AF69</f>
        <v/>
      </c>
      <c r="AH69" s="20">
        <f>DATA!E69</f>
        <v/>
      </c>
      <c r="AI69" s="20">
        <f>DATA!G69</f>
        <v/>
      </c>
      <c r="AJ69" s="19">
        <f>AE69*(1+AH69)</f>
        <v/>
      </c>
      <c r="AK69" s="19">
        <f>AF69*(1+AI69)</f>
        <v/>
      </c>
      <c r="AL69" s="19">
        <f>AJ69+AK69</f>
        <v/>
      </c>
      <c r="AM69" s="19">
        <f>IF(AND(CONFIG!$B$11="Annual",MONTH(AC69)=7),AL69*CONFIG!$B$6/12,AM68)</f>
        <v/>
      </c>
      <c r="AN69" s="19">
        <f>IF(AL69=0,0,AJ69-AM69*AJ69/AL69)</f>
        <v/>
      </c>
      <c r="AO69" s="19">
        <f>IF(AL69=0,0,AK69-AM69*AK69/AL69)</f>
        <v/>
      </c>
    </row>
    <row r="70">
      <c r="A70" s="18">
        <f>DATA!A70</f>
        <v/>
      </c>
      <c r="B70">
        <f>DATA!B70</f>
        <v/>
      </c>
      <c r="C70" s="19">
        <f>L69</f>
        <v/>
      </c>
      <c r="D70" s="19">
        <f>M69</f>
        <v/>
      </c>
      <c r="E70" s="19">
        <f>C70+D70</f>
        <v/>
      </c>
      <c r="F70" s="20">
        <f>DATA!C70</f>
        <v/>
      </c>
      <c r="G70" s="20">
        <f>DATA!G70</f>
        <v/>
      </c>
      <c r="H70" s="19">
        <f>C70*(1+F70)</f>
        <v/>
      </c>
      <c r="I70" s="19">
        <f>D70*(1+G70)</f>
        <v/>
      </c>
      <c r="J70" s="19">
        <f>H70+I70</f>
        <v/>
      </c>
      <c r="K70" s="19">
        <f>IF(AND(CONFIG!$B$11="Annual",MONTH(A70)=7),J70*CONFIG!$B$6/12,K69)</f>
        <v/>
      </c>
      <c r="L70" s="19">
        <f>IF(J70=0,0,H70-K70*H70/J70)</f>
        <v/>
      </c>
      <c r="M70" s="19">
        <f>IF(J70=0,0,I70-K70*I70/J70)</f>
        <v/>
      </c>
      <c r="O70" s="18">
        <f>DATA!A70</f>
        <v/>
      </c>
      <c r="P70">
        <f>DATA!B70</f>
        <v/>
      </c>
      <c r="Q70" s="19">
        <f>Z69</f>
        <v/>
      </c>
      <c r="R70" s="19">
        <f>AA69</f>
        <v/>
      </c>
      <c r="S70" s="19">
        <f>Q70+R70</f>
        <v/>
      </c>
      <c r="T70" s="20">
        <f>DATA!D70</f>
        <v/>
      </c>
      <c r="U70" s="20">
        <f>DATA!G70</f>
        <v/>
      </c>
      <c r="V70" s="19">
        <f>Q70*(1+T70)</f>
        <v/>
      </c>
      <c r="W70" s="19">
        <f>R70*(1+U70)</f>
        <v/>
      </c>
      <c r="X70" s="19">
        <f>V70+W70</f>
        <v/>
      </c>
      <c r="Y70" s="19">
        <f>IF(AND(CONFIG!$B$11="Annual",MONTH(O70)=7),X70*CONFIG!$B$6/12,Y69)</f>
        <v/>
      </c>
      <c r="Z70" s="19">
        <f>IF(X70=0,0,V70-Y70*V70/X70)</f>
        <v/>
      </c>
      <c r="AA70" s="19">
        <f>IF(X70=0,0,W70-Y70*W70/X70)</f>
        <v/>
      </c>
      <c r="AC70" s="18">
        <f>DATA!A70</f>
        <v/>
      </c>
      <c r="AD70">
        <f>DATA!B70</f>
        <v/>
      </c>
      <c r="AE70" s="19">
        <f>AN69</f>
        <v/>
      </c>
      <c r="AF70" s="19">
        <f>AO69</f>
        <v/>
      </c>
      <c r="AG70" s="19">
        <f>AE70+AF70</f>
        <v/>
      </c>
      <c r="AH70" s="20">
        <f>DATA!E70</f>
        <v/>
      </c>
      <c r="AI70" s="20">
        <f>DATA!G70</f>
        <v/>
      </c>
      <c r="AJ70" s="19">
        <f>AE70*(1+AH70)</f>
        <v/>
      </c>
      <c r="AK70" s="19">
        <f>AF70*(1+AI70)</f>
        <v/>
      </c>
      <c r="AL70" s="19">
        <f>AJ70+AK70</f>
        <v/>
      </c>
      <c r="AM70" s="19">
        <f>IF(AND(CONFIG!$B$11="Annual",MONTH(AC70)=7),AL70*CONFIG!$B$6/12,AM69)</f>
        <v/>
      </c>
      <c r="AN70" s="19">
        <f>IF(AL70=0,0,AJ70-AM70*AJ70/AL70)</f>
        <v/>
      </c>
      <c r="AO70" s="19">
        <f>IF(AL70=0,0,AK70-AM70*AK70/AL70)</f>
        <v/>
      </c>
    </row>
    <row r="71">
      <c r="A71" s="18">
        <f>DATA!A71</f>
        <v/>
      </c>
      <c r="B71">
        <f>DATA!B71</f>
        <v/>
      </c>
      <c r="C71" s="19">
        <f>L70</f>
        <v/>
      </c>
      <c r="D71" s="19">
        <f>M70</f>
        <v/>
      </c>
      <c r="E71" s="19">
        <f>C71+D71</f>
        <v/>
      </c>
      <c r="F71" s="20">
        <f>DATA!C71</f>
        <v/>
      </c>
      <c r="G71" s="20">
        <f>DATA!G71</f>
        <v/>
      </c>
      <c r="H71" s="19">
        <f>C71*(1+F71)</f>
        <v/>
      </c>
      <c r="I71" s="19">
        <f>D71*(1+G71)</f>
        <v/>
      </c>
      <c r="J71" s="19">
        <f>H71+I71</f>
        <v/>
      </c>
      <c r="K71" s="19">
        <f>IF(AND(CONFIG!$B$11="Annual",MONTH(A71)=7),J71*CONFIG!$B$6/12,K70)</f>
        <v/>
      </c>
      <c r="L71" s="19">
        <f>IF(J71=0,0,H71-K71*H71/J71)</f>
        <v/>
      </c>
      <c r="M71" s="19">
        <f>IF(J71=0,0,I71-K71*I71/J71)</f>
        <v/>
      </c>
      <c r="O71" s="18">
        <f>DATA!A71</f>
        <v/>
      </c>
      <c r="P71">
        <f>DATA!B71</f>
        <v/>
      </c>
      <c r="Q71" s="19">
        <f>Z70</f>
        <v/>
      </c>
      <c r="R71" s="19">
        <f>AA70</f>
        <v/>
      </c>
      <c r="S71" s="19">
        <f>Q71+R71</f>
        <v/>
      </c>
      <c r="T71" s="20">
        <f>DATA!D71</f>
        <v/>
      </c>
      <c r="U71" s="20">
        <f>DATA!G71</f>
        <v/>
      </c>
      <c r="V71" s="19">
        <f>Q71*(1+T71)</f>
        <v/>
      </c>
      <c r="W71" s="19">
        <f>R71*(1+U71)</f>
        <v/>
      </c>
      <c r="X71" s="19">
        <f>V71+W71</f>
        <v/>
      </c>
      <c r="Y71" s="19">
        <f>IF(AND(CONFIG!$B$11="Annual",MONTH(O71)=7),X71*CONFIG!$B$6/12,Y70)</f>
        <v/>
      </c>
      <c r="Z71" s="19">
        <f>IF(X71=0,0,V71-Y71*V71/X71)</f>
        <v/>
      </c>
      <c r="AA71" s="19">
        <f>IF(X71=0,0,W71-Y71*W71/X71)</f>
        <v/>
      </c>
      <c r="AC71" s="18">
        <f>DATA!A71</f>
        <v/>
      </c>
      <c r="AD71">
        <f>DATA!B71</f>
        <v/>
      </c>
      <c r="AE71" s="19">
        <f>AN70</f>
        <v/>
      </c>
      <c r="AF71" s="19">
        <f>AO70</f>
        <v/>
      </c>
      <c r="AG71" s="19">
        <f>AE71+AF71</f>
        <v/>
      </c>
      <c r="AH71" s="20">
        <f>DATA!E71</f>
        <v/>
      </c>
      <c r="AI71" s="20">
        <f>DATA!G71</f>
        <v/>
      </c>
      <c r="AJ71" s="19">
        <f>AE71*(1+AH71)</f>
        <v/>
      </c>
      <c r="AK71" s="19">
        <f>AF71*(1+AI71)</f>
        <v/>
      </c>
      <c r="AL71" s="19">
        <f>AJ71+AK71</f>
        <v/>
      </c>
      <c r="AM71" s="19">
        <f>IF(AND(CONFIG!$B$11="Annual",MONTH(AC71)=7),AL71*CONFIG!$B$6/12,AM70)</f>
        <v/>
      </c>
      <c r="AN71" s="19">
        <f>IF(AL71=0,0,AJ71-AM71*AJ71/AL71)</f>
        <v/>
      </c>
      <c r="AO71" s="19">
        <f>IF(AL71=0,0,AK71-AM71*AK71/AL71)</f>
        <v/>
      </c>
    </row>
    <row r="72">
      <c r="A72" s="18">
        <f>DATA!A72</f>
        <v/>
      </c>
      <c r="B72">
        <f>DATA!B72</f>
        <v/>
      </c>
      <c r="C72" s="19">
        <f>L71</f>
        <v/>
      </c>
      <c r="D72" s="19">
        <f>M71</f>
        <v/>
      </c>
      <c r="E72" s="19">
        <f>C72+D72</f>
        <v/>
      </c>
      <c r="F72" s="20">
        <f>DATA!C72</f>
        <v/>
      </c>
      <c r="G72" s="20">
        <f>DATA!G72</f>
        <v/>
      </c>
      <c r="H72" s="19">
        <f>C72*(1+F72)</f>
        <v/>
      </c>
      <c r="I72" s="19">
        <f>D72*(1+G72)</f>
        <v/>
      </c>
      <c r="J72" s="19">
        <f>H72+I72</f>
        <v/>
      </c>
      <c r="K72" s="19">
        <f>IF(AND(CONFIG!$B$11="Annual",MONTH(A72)=7),J72*CONFIG!$B$6/12,K71)</f>
        <v/>
      </c>
      <c r="L72" s="19">
        <f>IF(J72=0,0,H72-K72*H72/J72)</f>
        <v/>
      </c>
      <c r="M72" s="19">
        <f>IF(J72=0,0,I72-K72*I72/J72)</f>
        <v/>
      </c>
      <c r="O72" s="18">
        <f>DATA!A72</f>
        <v/>
      </c>
      <c r="P72">
        <f>DATA!B72</f>
        <v/>
      </c>
      <c r="Q72" s="19">
        <f>Z71</f>
        <v/>
      </c>
      <c r="R72" s="19">
        <f>AA71</f>
        <v/>
      </c>
      <c r="S72" s="19">
        <f>Q72+R72</f>
        <v/>
      </c>
      <c r="T72" s="20">
        <f>DATA!D72</f>
        <v/>
      </c>
      <c r="U72" s="20">
        <f>DATA!G72</f>
        <v/>
      </c>
      <c r="V72" s="19">
        <f>Q72*(1+T72)</f>
        <v/>
      </c>
      <c r="W72" s="19">
        <f>R72*(1+U72)</f>
        <v/>
      </c>
      <c r="X72" s="19">
        <f>V72+W72</f>
        <v/>
      </c>
      <c r="Y72" s="19">
        <f>IF(AND(CONFIG!$B$11="Annual",MONTH(O72)=7),X72*CONFIG!$B$6/12,Y71)</f>
        <v/>
      </c>
      <c r="Z72" s="19">
        <f>IF(X72=0,0,V72-Y72*V72/X72)</f>
        <v/>
      </c>
      <c r="AA72" s="19">
        <f>IF(X72=0,0,W72-Y72*W72/X72)</f>
        <v/>
      </c>
      <c r="AC72" s="18">
        <f>DATA!A72</f>
        <v/>
      </c>
      <c r="AD72">
        <f>DATA!B72</f>
        <v/>
      </c>
      <c r="AE72" s="19">
        <f>AN71</f>
        <v/>
      </c>
      <c r="AF72" s="19">
        <f>AO71</f>
        <v/>
      </c>
      <c r="AG72" s="19">
        <f>AE72+AF72</f>
        <v/>
      </c>
      <c r="AH72" s="20">
        <f>DATA!E72</f>
        <v/>
      </c>
      <c r="AI72" s="20">
        <f>DATA!G72</f>
        <v/>
      </c>
      <c r="AJ72" s="19">
        <f>AE72*(1+AH72)</f>
        <v/>
      </c>
      <c r="AK72" s="19">
        <f>AF72*(1+AI72)</f>
        <v/>
      </c>
      <c r="AL72" s="19">
        <f>AJ72+AK72</f>
        <v/>
      </c>
      <c r="AM72" s="19">
        <f>IF(AND(CONFIG!$B$11="Annual",MONTH(AC72)=7),AL72*CONFIG!$B$6/12,AM71)</f>
        <v/>
      </c>
      <c r="AN72" s="19">
        <f>IF(AL72=0,0,AJ72-AM72*AJ72/AL72)</f>
        <v/>
      </c>
      <c r="AO72" s="19">
        <f>IF(AL72=0,0,AK72-AM72*AK72/AL72)</f>
        <v/>
      </c>
    </row>
    <row r="73">
      <c r="A73" s="18">
        <f>DATA!A73</f>
        <v/>
      </c>
      <c r="B73">
        <f>DATA!B73</f>
        <v/>
      </c>
      <c r="C73" s="19">
        <f>L72</f>
        <v/>
      </c>
      <c r="D73" s="19">
        <f>M72</f>
        <v/>
      </c>
      <c r="E73" s="19">
        <f>C73+D73</f>
        <v/>
      </c>
      <c r="F73" s="20">
        <f>DATA!C73</f>
        <v/>
      </c>
      <c r="G73" s="20">
        <f>DATA!G73</f>
        <v/>
      </c>
      <c r="H73" s="19">
        <f>C73*(1+F73)</f>
        <v/>
      </c>
      <c r="I73" s="19">
        <f>D73*(1+G73)</f>
        <v/>
      </c>
      <c r="J73" s="19">
        <f>H73+I73</f>
        <v/>
      </c>
      <c r="K73" s="19">
        <f>IF(AND(CONFIG!$B$11="Annual",MONTH(A73)=7),J73*CONFIG!$B$6/12,K72)</f>
        <v/>
      </c>
      <c r="L73" s="19">
        <f>IF(J73=0,0,H73-K73*H73/J73)</f>
        <v/>
      </c>
      <c r="M73" s="19">
        <f>IF(J73=0,0,I73-K73*I73/J73)</f>
        <v/>
      </c>
      <c r="O73" s="18">
        <f>DATA!A73</f>
        <v/>
      </c>
      <c r="P73">
        <f>DATA!B73</f>
        <v/>
      </c>
      <c r="Q73" s="19">
        <f>Z72</f>
        <v/>
      </c>
      <c r="R73" s="19">
        <f>AA72</f>
        <v/>
      </c>
      <c r="S73" s="19">
        <f>Q73+R73</f>
        <v/>
      </c>
      <c r="T73" s="20">
        <f>DATA!D73</f>
        <v/>
      </c>
      <c r="U73" s="20">
        <f>DATA!G73</f>
        <v/>
      </c>
      <c r="V73" s="19">
        <f>Q73*(1+T73)</f>
        <v/>
      </c>
      <c r="W73" s="19">
        <f>R73*(1+U73)</f>
        <v/>
      </c>
      <c r="X73" s="19">
        <f>V73+W73</f>
        <v/>
      </c>
      <c r="Y73" s="19">
        <f>IF(AND(CONFIG!$B$11="Annual",MONTH(O73)=7),X73*CONFIG!$B$6/12,Y72)</f>
        <v/>
      </c>
      <c r="Z73" s="19">
        <f>IF(X73=0,0,V73-Y73*V73/X73)</f>
        <v/>
      </c>
      <c r="AA73" s="19">
        <f>IF(X73=0,0,W73-Y73*W73/X73)</f>
        <v/>
      </c>
      <c r="AC73" s="18">
        <f>DATA!A73</f>
        <v/>
      </c>
      <c r="AD73">
        <f>DATA!B73</f>
        <v/>
      </c>
      <c r="AE73" s="19">
        <f>AN72</f>
        <v/>
      </c>
      <c r="AF73" s="19">
        <f>AO72</f>
        <v/>
      </c>
      <c r="AG73" s="19">
        <f>AE73+AF73</f>
        <v/>
      </c>
      <c r="AH73" s="20">
        <f>DATA!E73</f>
        <v/>
      </c>
      <c r="AI73" s="20">
        <f>DATA!G73</f>
        <v/>
      </c>
      <c r="AJ73" s="19">
        <f>AE73*(1+AH73)</f>
        <v/>
      </c>
      <c r="AK73" s="19">
        <f>AF73*(1+AI73)</f>
        <v/>
      </c>
      <c r="AL73" s="19">
        <f>AJ73+AK73</f>
        <v/>
      </c>
      <c r="AM73" s="19">
        <f>IF(AND(CONFIG!$B$11="Annual",MONTH(AC73)=7),AL73*CONFIG!$B$6/12,AM72)</f>
        <v/>
      </c>
      <c r="AN73" s="19">
        <f>IF(AL73=0,0,AJ73-AM73*AJ73/AL73)</f>
        <v/>
      </c>
      <c r="AO73" s="19">
        <f>IF(AL73=0,0,AK73-AM73*AK73/AL73)</f>
        <v/>
      </c>
    </row>
    <row r="74">
      <c r="A74" s="18">
        <f>DATA!A74</f>
        <v/>
      </c>
      <c r="B74">
        <f>DATA!B74</f>
        <v/>
      </c>
      <c r="C74" s="19">
        <f>L73</f>
        <v/>
      </c>
      <c r="D74" s="19">
        <f>M73</f>
        <v/>
      </c>
      <c r="E74" s="19">
        <f>C74+D74</f>
        <v/>
      </c>
      <c r="F74" s="20">
        <f>DATA!C74</f>
        <v/>
      </c>
      <c r="G74" s="20">
        <f>DATA!G74</f>
        <v/>
      </c>
      <c r="H74" s="19">
        <f>C74*(1+F74)</f>
        <v/>
      </c>
      <c r="I74" s="19">
        <f>D74*(1+G74)</f>
        <v/>
      </c>
      <c r="J74" s="19">
        <f>H74+I74</f>
        <v/>
      </c>
      <c r="K74" s="19">
        <f>IF(AND(CONFIG!$B$11="Annual",MONTH(A74)=7),J74*CONFIG!$B$6/12,K73)</f>
        <v/>
      </c>
      <c r="L74" s="19">
        <f>IF(J74=0,0,H74-K74*H74/J74)</f>
        <v/>
      </c>
      <c r="M74" s="19">
        <f>IF(J74=0,0,I74-K74*I74/J74)</f>
        <v/>
      </c>
      <c r="O74" s="18">
        <f>DATA!A74</f>
        <v/>
      </c>
      <c r="P74">
        <f>DATA!B74</f>
        <v/>
      </c>
      <c r="Q74" s="19">
        <f>Z73</f>
        <v/>
      </c>
      <c r="R74" s="19">
        <f>AA73</f>
        <v/>
      </c>
      <c r="S74" s="19">
        <f>Q74+R74</f>
        <v/>
      </c>
      <c r="T74" s="20">
        <f>DATA!D74</f>
        <v/>
      </c>
      <c r="U74" s="20">
        <f>DATA!G74</f>
        <v/>
      </c>
      <c r="V74" s="19">
        <f>Q74*(1+T74)</f>
        <v/>
      </c>
      <c r="W74" s="19">
        <f>R74*(1+U74)</f>
        <v/>
      </c>
      <c r="X74" s="19">
        <f>V74+W74</f>
        <v/>
      </c>
      <c r="Y74" s="19">
        <f>IF(AND(CONFIG!$B$11="Annual",MONTH(O74)=7),X74*CONFIG!$B$6/12,Y73)</f>
        <v/>
      </c>
      <c r="Z74" s="19">
        <f>IF(X74=0,0,V74-Y74*V74/X74)</f>
        <v/>
      </c>
      <c r="AA74" s="19">
        <f>IF(X74=0,0,W74-Y74*W74/X74)</f>
        <v/>
      </c>
      <c r="AC74" s="18">
        <f>DATA!A74</f>
        <v/>
      </c>
      <c r="AD74">
        <f>DATA!B74</f>
        <v/>
      </c>
      <c r="AE74" s="19">
        <f>AN73</f>
        <v/>
      </c>
      <c r="AF74" s="19">
        <f>AO73</f>
        <v/>
      </c>
      <c r="AG74" s="19">
        <f>AE74+AF74</f>
        <v/>
      </c>
      <c r="AH74" s="20">
        <f>DATA!E74</f>
        <v/>
      </c>
      <c r="AI74" s="20">
        <f>DATA!G74</f>
        <v/>
      </c>
      <c r="AJ74" s="19">
        <f>AE74*(1+AH74)</f>
        <v/>
      </c>
      <c r="AK74" s="19">
        <f>AF74*(1+AI74)</f>
        <v/>
      </c>
      <c r="AL74" s="19">
        <f>AJ74+AK74</f>
        <v/>
      </c>
      <c r="AM74" s="19">
        <f>IF(AND(CONFIG!$B$11="Annual",MONTH(AC74)=7),AL74*CONFIG!$B$6/12,AM73)</f>
        <v/>
      </c>
      <c r="AN74" s="19">
        <f>IF(AL74=0,0,AJ74-AM74*AJ74/AL74)</f>
        <v/>
      </c>
      <c r="AO74" s="19">
        <f>IF(AL74=0,0,AK74-AM74*AK74/AL74)</f>
        <v/>
      </c>
    </row>
    <row r="75">
      <c r="A75" s="18">
        <f>DATA!A75</f>
        <v/>
      </c>
      <c r="B75">
        <f>DATA!B75</f>
        <v/>
      </c>
      <c r="C75" s="19">
        <f>L74</f>
        <v/>
      </c>
      <c r="D75" s="19">
        <f>M74</f>
        <v/>
      </c>
      <c r="E75" s="19">
        <f>C75+D75</f>
        <v/>
      </c>
      <c r="F75" s="20">
        <f>DATA!C75</f>
        <v/>
      </c>
      <c r="G75" s="20">
        <f>DATA!G75</f>
        <v/>
      </c>
      <c r="H75" s="19">
        <f>C75*(1+F75)</f>
        <v/>
      </c>
      <c r="I75" s="19">
        <f>D75*(1+G75)</f>
        <v/>
      </c>
      <c r="J75" s="19">
        <f>H75+I75</f>
        <v/>
      </c>
      <c r="K75" s="19">
        <f>IF(AND(CONFIG!$B$11="Annual",MONTH(A75)=7),J75*CONFIG!$B$6/12,K74)</f>
        <v/>
      </c>
      <c r="L75" s="19">
        <f>IF(J75=0,0,H75-K75*H75/J75)</f>
        <v/>
      </c>
      <c r="M75" s="19">
        <f>IF(J75=0,0,I75-K75*I75/J75)</f>
        <v/>
      </c>
      <c r="O75" s="18">
        <f>DATA!A75</f>
        <v/>
      </c>
      <c r="P75">
        <f>DATA!B75</f>
        <v/>
      </c>
      <c r="Q75" s="19">
        <f>Z74</f>
        <v/>
      </c>
      <c r="R75" s="19">
        <f>AA74</f>
        <v/>
      </c>
      <c r="S75" s="19">
        <f>Q75+R75</f>
        <v/>
      </c>
      <c r="T75" s="20">
        <f>DATA!D75</f>
        <v/>
      </c>
      <c r="U75" s="20">
        <f>DATA!G75</f>
        <v/>
      </c>
      <c r="V75" s="19">
        <f>Q75*(1+T75)</f>
        <v/>
      </c>
      <c r="W75" s="19">
        <f>R75*(1+U75)</f>
        <v/>
      </c>
      <c r="X75" s="19">
        <f>V75+W75</f>
        <v/>
      </c>
      <c r="Y75" s="19">
        <f>IF(AND(CONFIG!$B$11="Annual",MONTH(O75)=7),X75*CONFIG!$B$6/12,Y74)</f>
        <v/>
      </c>
      <c r="Z75" s="19">
        <f>IF(X75=0,0,V75-Y75*V75/X75)</f>
        <v/>
      </c>
      <c r="AA75" s="19">
        <f>IF(X75=0,0,W75-Y75*W75/X75)</f>
        <v/>
      </c>
      <c r="AC75" s="18">
        <f>DATA!A75</f>
        <v/>
      </c>
      <c r="AD75">
        <f>DATA!B75</f>
        <v/>
      </c>
      <c r="AE75" s="19">
        <f>AN74</f>
        <v/>
      </c>
      <c r="AF75" s="19">
        <f>AO74</f>
        <v/>
      </c>
      <c r="AG75" s="19">
        <f>AE75+AF75</f>
        <v/>
      </c>
      <c r="AH75" s="20">
        <f>DATA!E75</f>
        <v/>
      </c>
      <c r="AI75" s="20">
        <f>DATA!G75</f>
        <v/>
      </c>
      <c r="AJ75" s="19">
        <f>AE75*(1+AH75)</f>
        <v/>
      </c>
      <c r="AK75" s="19">
        <f>AF75*(1+AI75)</f>
        <v/>
      </c>
      <c r="AL75" s="19">
        <f>AJ75+AK75</f>
        <v/>
      </c>
      <c r="AM75" s="19">
        <f>IF(AND(CONFIG!$B$11="Annual",MONTH(AC75)=7),AL75*CONFIG!$B$6/12,AM74)</f>
        <v/>
      </c>
      <c r="AN75" s="19">
        <f>IF(AL75=0,0,AJ75-AM75*AJ75/AL75)</f>
        <v/>
      </c>
      <c r="AO75" s="19">
        <f>IF(AL75=0,0,AK75-AM75*AK75/AL75)</f>
        <v/>
      </c>
    </row>
    <row r="76">
      <c r="A76" s="18">
        <f>DATA!A76</f>
        <v/>
      </c>
      <c r="B76">
        <f>DATA!B76</f>
        <v/>
      </c>
      <c r="C76" s="19">
        <f>L75</f>
        <v/>
      </c>
      <c r="D76" s="19">
        <f>M75</f>
        <v/>
      </c>
      <c r="E76" s="19">
        <f>C76+D76</f>
        <v/>
      </c>
      <c r="F76" s="20">
        <f>DATA!C76</f>
        <v/>
      </c>
      <c r="G76" s="20">
        <f>DATA!G76</f>
        <v/>
      </c>
      <c r="H76" s="19">
        <f>C76*(1+F76)</f>
        <v/>
      </c>
      <c r="I76" s="19">
        <f>D76*(1+G76)</f>
        <v/>
      </c>
      <c r="J76" s="19">
        <f>H76+I76</f>
        <v/>
      </c>
      <c r="K76" s="19">
        <f>IF(AND(CONFIG!$B$11="Annual",MONTH(A76)=7),J76*CONFIG!$B$6/12,K75)</f>
        <v/>
      </c>
      <c r="L76" s="19">
        <f>IF(J76=0,0,H76-K76*H76/J76)</f>
        <v/>
      </c>
      <c r="M76" s="19">
        <f>IF(J76=0,0,I76-K76*I76/J76)</f>
        <v/>
      </c>
      <c r="O76" s="18">
        <f>DATA!A76</f>
        <v/>
      </c>
      <c r="P76">
        <f>DATA!B76</f>
        <v/>
      </c>
      <c r="Q76" s="19">
        <f>Z75</f>
        <v/>
      </c>
      <c r="R76" s="19">
        <f>AA75</f>
        <v/>
      </c>
      <c r="S76" s="19">
        <f>Q76+R76</f>
        <v/>
      </c>
      <c r="T76" s="20">
        <f>DATA!D76</f>
        <v/>
      </c>
      <c r="U76" s="20">
        <f>DATA!G76</f>
        <v/>
      </c>
      <c r="V76" s="19">
        <f>Q76*(1+T76)</f>
        <v/>
      </c>
      <c r="W76" s="19">
        <f>R76*(1+U76)</f>
        <v/>
      </c>
      <c r="X76" s="19">
        <f>V76+W76</f>
        <v/>
      </c>
      <c r="Y76" s="19">
        <f>IF(AND(CONFIG!$B$11="Annual",MONTH(O76)=7),X76*CONFIG!$B$6/12,Y75)</f>
        <v/>
      </c>
      <c r="Z76" s="19">
        <f>IF(X76=0,0,V76-Y76*V76/X76)</f>
        <v/>
      </c>
      <c r="AA76" s="19">
        <f>IF(X76=0,0,W76-Y76*W76/X76)</f>
        <v/>
      </c>
      <c r="AC76" s="18">
        <f>DATA!A76</f>
        <v/>
      </c>
      <c r="AD76">
        <f>DATA!B76</f>
        <v/>
      </c>
      <c r="AE76" s="19">
        <f>AN75</f>
        <v/>
      </c>
      <c r="AF76" s="19">
        <f>AO75</f>
        <v/>
      </c>
      <c r="AG76" s="19">
        <f>AE76+AF76</f>
        <v/>
      </c>
      <c r="AH76" s="20">
        <f>DATA!E76</f>
        <v/>
      </c>
      <c r="AI76" s="20">
        <f>DATA!G76</f>
        <v/>
      </c>
      <c r="AJ76" s="19">
        <f>AE76*(1+AH76)</f>
        <v/>
      </c>
      <c r="AK76" s="19">
        <f>AF76*(1+AI76)</f>
        <v/>
      </c>
      <c r="AL76" s="19">
        <f>AJ76+AK76</f>
        <v/>
      </c>
      <c r="AM76" s="19">
        <f>IF(AND(CONFIG!$B$11="Annual",MONTH(AC76)=7),AL76*CONFIG!$B$6/12,AM75)</f>
        <v/>
      </c>
      <c r="AN76" s="19">
        <f>IF(AL76=0,0,AJ76-AM76*AJ76/AL76)</f>
        <v/>
      </c>
      <c r="AO76" s="19">
        <f>IF(AL76=0,0,AK76-AM76*AK76/AL76)</f>
        <v/>
      </c>
    </row>
    <row r="77">
      <c r="A77" s="18">
        <f>DATA!A77</f>
        <v/>
      </c>
      <c r="B77">
        <f>DATA!B77</f>
        <v/>
      </c>
      <c r="C77" s="19">
        <f>L76</f>
        <v/>
      </c>
      <c r="D77" s="19">
        <f>M76</f>
        <v/>
      </c>
      <c r="E77" s="19">
        <f>C77+D77</f>
        <v/>
      </c>
      <c r="F77" s="20">
        <f>DATA!C77</f>
        <v/>
      </c>
      <c r="G77" s="20">
        <f>DATA!G77</f>
        <v/>
      </c>
      <c r="H77" s="19">
        <f>C77*(1+F77)</f>
        <v/>
      </c>
      <c r="I77" s="19">
        <f>D77*(1+G77)</f>
        <v/>
      </c>
      <c r="J77" s="19">
        <f>H77+I77</f>
        <v/>
      </c>
      <c r="K77" s="19">
        <f>IF(AND(CONFIG!$B$11="Annual",MONTH(A77)=7),J77*CONFIG!$B$6/12,K76)</f>
        <v/>
      </c>
      <c r="L77" s="19">
        <f>IF(J77=0,0,H77-K77*H77/J77)</f>
        <v/>
      </c>
      <c r="M77" s="19">
        <f>IF(J77=0,0,I77-K77*I77/J77)</f>
        <v/>
      </c>
      <c r="O77" s="18">
        <f>DATA!A77</f>
        <v/>
      </c>
      <c r="P77">
        <f>DATA!B77</f>
        <v/>
      </c>
      <c r="Q77" s="19">
        <f>Z76</f>
        <v/>
      </c>
      <c r="R77" s="19">
        <f>AA76</f>
        <v/>
      </c>
      <c r="S77" s="19">
        <f>Q77+R77</f>
        <v/>
      </c>
      <c r="T77" s="20">
        <f>DATA!D77</f>
        <v/>
      </c>
      <c r="U77" s="20">
        <f>DATA!G77</f>
        <v/>
      </c>
      <c r="V77" s="19">
        <f>Q77*(1+T77)</f>
        <v/>
      </c>
      <c r="W77" s="19">
        <f>R77*(1+U77)</f>
        <v/>
      </c>
      <c r="X77" s="19">
        <f>V77+W77</f>
        <v/>
      </c>
      <c r="Y77" s="19">
        <f>IF(AND(CONFIG!$B$11="Annual",MONTH(O77)=7),X77*CONFIG!$B$6/12,Y76)</f>
        <v/>
      </c>
      <c r="Z77" s="19">
        <f>IF(X77=0,0,V77-Y77*V77/X77)</f>
        <v/>
      </c>
      <c r="AA77" s="19">
        <f>IF(X77=0,0,W77-Y77*W77/X77)</f>
        <v/>
      </c>
      <c r="AC77" s="18">
        <f>DATA!A77</f>
        <v/>
      </c>
      <c r="AD77">
        <f>DATA!B77</f>
        <v/>
      </c>
      <c r="AE77" s="19">
        <f>AN76</f>
        <v/>
      </c>
      <c r="AF77" s="19">
        <f>AO76</f>
        <v/>
      </c>
      <c r="AG77" s="19">
        <f>AE77+AF77</f>
        <v/>
      </c>
      <c r="AH77" s="20">
        <f>DATA!E77</f>
        <v/>
      </c>
      <c r="AI77" s="20">
        <f>DATA!G77</f>
        <v/>
      </c>
      <c r="AJ77" s="19">
        <f>AE77*(1+AH77)</f>
        <v/>
      </c>
      <c r="AK77" s="19">
        <f>AF77*(1+AI77)</f>
        <v/>
      </c>
      <c r="AL77" s="19">
        <f>AJ77+AK77</f>
        <v/>
      </c>
      <c r="AM77" s="19">
        <f>IF(AND(CONFIG!$B$11="Annual",MONTH(AC77)=7),AL77*CONFIG!$B$6/12,AM76)</f>
        <v/>
      </c>
      <c r="AN77" s="19">
        <f>IF(AL77=0,0,AJ77-AM77*AJ77/AL77)</f>
        <v/>
      </c>
      <c r="AO77" s="19">
        <f>IF(AL77=0,0,AK77-AM77*AK77/AL77)</f>
        <v/>
      </c>
    </row>
    <row r="78">
      <c r="A78" s="18">
        <f>DATA!A78</f>
        <v/>
      </c>
      <c r="B78">
        <f>DATA!B78</f>
        <v/>
      </c>
      <c r="C78" s="19">
        <f>L77</f>
        <v/>
      </c>
      <c r="D78" s="19">
        <f>M77</f>
        <v/>
      </c>
      <c r="E78" s="19">
        <f>C78+D78</f>
        <v/>
      </c>
      <c r="F78" s="20">
        <f>DATA!C78</f>
        <v/>
      </c>
      <c r="G78" s="20">
        <f>DATA!G78</f>
        <v/>
      </c>
      <c r="H78" s="19">
        <f>C78*(1+F78)</f>
        <v/>
      </c>
      <c r="I78" s="19">
        <f>D78*(1+G78)</f>
        <v/>
      </c>
      <c r="J78" s="19">
        <f>H78+I78</f>
        <v/>
      </c>
      <c r="K78" s="19">
        <f>IF(AND(CONFIG!$B$11="Annual",MONTH(A78)=7),J78*CONFIG!$B$6/12,K77)</f>
        <v/>
      </c>
      <c r="L78" s="19">
        <f>IF(J78=0,0,H78-K78*H78/J78)</f>
        <v/>
      </c>
      <c r="M78" s="19">
        <f>IF(J78=0,0,I78-K78*I78/J78)</f>
        <v/>
      </c>
      <c r="O78" s="18">
        <f>DATA!A78</f>
        <v/>
      </c>
      <c r="P78">
        <f>DATA!B78</f>
        <v/>
      </c>
      <c r="Q78" s="19">
        <f>Z77</f>
        <v/>
      </c>
      <c r="R78" s="19">
        <f>AA77</f>
        <v/>
      </c>
      <c r="S78" s="19">
        <f>Q78+R78</f>
        <v/>
      </c>
      <c r="T78" s="20">
        <f>DATA!D78</f>
        <v/>
      </c>
      <c r="U78" s="20">
        <f>DATA!G78</f>
        <v/>
      </c>
      <c r="V78" s="19">
        <f>Q78*(1+T78)</f>
        <v/>
      </c>
      <c r="W78" s="19">
        <f>R78*(1+U78)</f>
        <v/>
      </c>
      <c r="X78" s="19">
        <f>V78+W78</f>
        <v/>
      </c>
      <c r="Y78" s="19">
        <f>IF(AND(CONFIG!$B$11="Annual",MONTH(O78)=7),X78*CONFIG!$B$6/12,Y77)</f>
        <v/>
      </c>
      <c r="Z78" s="19">
        <f>IF(X78=0,0,V78-Y78*V78/X78)</f>
        <v/>
      </c>
      <c r="AA78" s="19">
        <f>IF(X78=0,0,W78-Y78*W78/X78)</f>
        <v/>
      </c>
      <c r="AC78" s="18">
        <f>DATA!A78</f>
        <v/>
      </c>
      <c r="AD78">
        <f>DATA!B78</f>
        <v/>
      </c>
      <c r="AE78" s="19">
        <f>AN77</f>
        <v/>
      </c>
      <c r="AF78" s="19">
        <f>AO77</f>
        <v/>
      </c>
      <c r="AG78" s="19">
        <f>AE78+AF78</f>
        <v/>
      </c>
      <c r="AH78" s="20">
        <f>DATA!E78</f>
        <v/>
      </c>
      <c r="AI78" s="20">
        <f>DATA!G78</f>
        <v/>
      </c>
      <c r="AJ78" s="19">
        <f>AE78*(1+AH78)</f>
        <v/>
      </c>
      <c r="AK78" s="19">
        <f>AF78*(1+AI78)</f>
        <v/>
      </c>
      <c r="AL78" s="19">
        <f>AJ78+AK78</f>
        <v/>
      </c>
      <c r="AM78" s="19">
        <f>IF(AND(CONFIG!$B$11="Annual",MONTH(AC78)=7),AL78*CONFIG!$B$6/12,AM77)</f>
        <v/>
      </c>
      <c r="AN78" s="19">
        <f>IF(AL78=0,0,AJ78-AM78*AJ78/AL78)</f>
        <v/>
      </c>
      <c r="AO78" s="19">
        <f>IF(AL78=0,0,AK78-AM78*AK78/AL78)</f>
        <v/>
      </c>
    </row>
    <row r="79">
      <c r="A79" s="18">
        <f>DATA!A79</f>
        <v/>
      </c>
      <c r="B79">
        <f>DATA!B79</f>
        <v/>
      </c>
      <c r="C79" s="19">
        <f>L78</f>
        <v/>
      </c>
      <c r="D79" s="19">
        <f>M78</f>
        <v/>
      </c>
      <c r="E79" s="19">
        <f>C79+D79</f>
        <v/>
      </c>
      <c r="F79" s="20">
        <f>DATA!C79</f>
        <v/>
      </c>
      <c r="G79" s="20">
        <f>DATA!G79</f>
        <v/>
      </c>
      <c r="H79" s="19">
        <f>C79*(1+F79)</f>
        <v/>
      </c>
      <c r="I79" s="19">
        <f>D79*(1+G79)</f>
        <v/>
      </c>
      <c r="J79" s="19">
        <f>H79+I79</f>
        <v/>
      </c>
      <c r="K79" s="19">
        <f>IF(AND(CONFIG!$B$11="Annual",MONTH(A79)=7),J79*CONFIG!$B$6/12,K78)</f>
        <v/>
      </c>
      <c r="L79" s="19">
        <f>IF(J79=0,0,H79-K79*H79/J79)</f>
        <v/>
      </c>
      <c r="M79" s="19">
        <f>IF(J79=0,0,I79-K79*I79/J79)</f>
        <v/>
      </c>
      <c r="O79" s="18">
        <f>DATA!A79</f>
        <v/>
      </c>
      <c r="P79">
        <f>DATA!B79</f>
        <v/>
      </c>
      <c r="Q79" s="19">
        <f>Z78</f>
        <v/>
      </c>
      <c r="R79" s="19">
        <f>AA78</f>
        <v/>
      </c>
      <c r="S79" s="19">
        <f>Q79+R79</f>
        <v/>
      </c>
      <c r="T79" s="20">
        <f>DATA!D79</f>
        <v/>
      </c>
      <c r="U79" s="20">
        <f>DATA!G79</f>
        <v/>
      </c>
      <c r="V79" s="19">
        <f>Q79*(1+T79)</f>
        <v/>
      </c>
      <c r="W79" s="19">
        <f>R79*(1+U79)</f>
        <v/>
      </c>
      <c r="X79" s="19">
        <f>V79+W79</f>
        <v/>
      </c>
      <c r="Y79" s="19">
        <f>IF(AND(CONFIG!$B$11="Annual",MONTH(O79)=7),X79*CONFIG!$B$6/12,Y78)</f>
        <v/>
      </c>
      <c r="Z79" s="19">
        <f>IF(X79=0,0,V79-Y79*V79/X79)</f>
        <v/>
      </c>
      <c r="AA79" s="19">
        <f>IF(X79=0,0,W79-Y79*W79/X79)</f>
        <v/>
      </c>
      <c r="AC79" s="18">
        <f>DATA!A79</f>
        <v/>
      </c>
      <c r="AD79">
        <f>DATA!B79</f>
        <v/>
      </c>
      <c r="AE79" s="19">
        <f>AN78</f>
        <v/>
      </c>
      <c r="AF79" s="19">
        <f>AO78</f>
        <v/>
      </c>
      <c r="AG79" s="19">
        <f>AE79+AF79</f>
        <v/>
      </c>
      <c r="AH79" s="20">
        <f>DATA!E79</f>
        <v/>
      </c>
      <c r="AI79" s="20">
        <f>DATA!G79</f>
        <v/>
      </c>
      <c r="AJ79" s="19">
        <f>AE79*(1+AH79)</f>
        <v/>
      </c>
      <c r="AK79" s="19">
        <f>AF79*(1+AI79)</f>
        <v/>
      </c>
      <c r="AL79" s="19">
        <f>AJ79+AK79</f>
        <v/>
      </c>
      <c r="AM79" s="19">
        <f>IF(AND(CONFIG!$B$11="Annual",MONTH(AC79)=7),AL79*CONFIG!$B$6/12,AM78)</f>
        <v/>
      </c>
      <c r="AN79" s="19">
        <f>IF(AL79=0,0,AJ79-AM79*AJ79/AL79)</f>
        <v/>
      </c>
      <c r="AO79" s="19">
        <f>IF(AL79=0,0,AK79-AM79*AK79/AL79)</f>
        <v/>
      </c>
    </row>
    <row r="80">
      <c r="A80" s="18">
        <f>DATA!A80</f>
        <v/>
      </c>
      <c r="B80">
        <f>DATA!B80</f>
        <v/>
      </c>
      <c r="C80" s="19">
        <f>L79</f>
        <v/>
      </c>
      <c r="D80" s="19">
        <f>M79</f>
        <v/>
      </c>
      <c r="E80" s="19">
        <f>C80+D80</f>
        <v/>
      </c>
      <c r="F80" s="20">
        <f>DATA!C80</f>
        <v/>
      </c>
      <c r="G80" s="20">
        <f>DATA!G80</f>
        <v/>
      </c>
      <c r="H80" s="19">
        <f>C80*(1+F80)</f>
        <v/>
      </c>
      <c r="I80" s="19">
        <f>D80*(1+G80)</f>
        <v/>
      </c>
      <c r="J80" s="19">
        <f>H80+I80</f>
        <v/>
      </c>
      <c r="K80" s="19">
        <f>IF(AND(CONFIG!$B$11="Annual",MONTH(A80)=7),J80*CONFIG!$B$6/12,K79)</f>
        <v/>
      </c>
      <c r="L80" s="19">
        <f>IF(J80=0,0,H80-K80*H80/J80)</f>
        <v/>
      </c>
      <c r="M80" s="19">
        <f>IF(J80=0,0,I80-K80*I80/J80)</f>
        <v/>
      </c>
      <c r="O80" s="18">
        <f>DATA!A80</f>
        <v/>
      </c>
      <c r="P80">
        <f>DATA!B80</f>
        <v/>
      </c>
      <c r="Q80" s="19">
        <f>Z79</f>
        <v/>
      </c>
      <c r="R80" s="19">
        <f>AA79</f>
        <v/>
      </c>
      <c r="S80" s="19">
        <f>Q80+R80</f>
        <v/>
      </c>
      <c r="T80" s="20">
        <f>DATA!D80</f>
        <v/>
      </c>
      <c r="U80" s="20">
        <f>DATA!G80</f>
        <v/>
      </c>
      <c r="V80" s="19">
        <f>Q80*(1+T80)</f>
        <v/>
      </c>
      <c r="W80" s="19">
        <f>R80*(1+U80)</f>
        <v/>
      </c>
      <c r="X80" s="19">
        <f>V80+W80</f>
        <v/>
      </c>
      <c r="Y80" s="19">
        <f>IF(AND(CONFIG!$B$11="Annual",MONTH(O80)=7),X80*CONFIG!$B$6/12,Y79)</f>
        <v/>
      </c>
      <c r="Z80" s="19">
        <f>IF(X80=0,0,V80-Y80*V80/X80)</f>
        <v/>
      </c>
      <c r="AA80" s="19">
        <f>IF(X80=0,0,W80-Y80*W80/X80)</f>
        <v/>
      </c>
      <c r="AC80" s="18">
        <f>DATA!A80</f>
        <v/>
      </c>
      <c r="AD80">
        <f>DATA!B80</f>
        <v/>
      </c>
      <c r="AE80" s="19">
        <f>AN79</f>
        <v/>
      </c>
      <c r="AF80" s="19">
        <f>AO79</f>
        <v/>
      </c>
      <c r="AG80" s="19">
        <f>AE80+AF80</f>
        <v/>
      </c>
      <c r="AH80" s="20">
        <f>DATA!E80</f>
        <v/>
      </c>
      <c r="AI80" s="20">
        <f>DATA!G80</f>
        <v/>
      </c>
      <c r="AJ80" s="19">
        <f>AE80*(1+AH80)</f>
        <v/>
      </c>
      <c r="AK80" s="19">
        <f>AF80*(1+AI80)</f>
        <v/>
      </c>
      <c r="AL80" s="19">
        <f>AJ80+AK80</f>
        <v/>
      </c>
      <c r="AM80" s="19">
        <f>IF(AND(CONFIG!$B$11="Annual",MONTH(AC80)=7),AL80*CONFIG!$B$6/12,AM79)</f>
        <v/>
      </c>
      <c r="AN80" s="19">
        <f>IF(AL80=0,0,AJ80-AM80*AJ80/AL80)</f>
        <v/>
      </c>
      <c r="AO80" s="19">
        <f>IF(AL80=0,0,AK80-AM80*AK80/AL80)</f>
        <v/>
      </c>
    </row>
    <row r="81">
      <c r="A81" s="18">
        <f>DATA!A81</f>
        <v/>
      </c>
      <c r="B81">
        <f>DATA!B81</f>
        <v/>
      </c>
      <c r="C81" s="19">
        <f>L80</f>
        <v/>
      </c>
      <c r="D81" s="19">
        <f>M80</f>
        <v/>
      </c>
      <c r="E81" s="19">
        <f>C81+D81</f>
        <v/>
      </c>
      <c r="F81" s="20">
        <f>DATA!C81</f>
        <v/>
      </c>
      <c r="G81" s="20">
        <f>DATA!G81</f>
        <v/>
      </c>
      <c r="H81" s="19">
        <f>C81*(1+F81)</f>
        <v/>
      </c>
      <c r="I81" s="19">
        <f>D81*(1+G81)</f>
        <v/>
      </c>
      <c r="J81" s="19">
        <f>H81+I81</f>
        <v/>
      </c>
      <c r="K81" s="19">
        <f>IF(AND(CONFIG!$B$11="Annual",MONTH(A81)=7),J81*CONFIG!$B$6/12,K80)</f>
        <v/>
      </c>
      <c r="L81" s="19">
        <f>IF(J81=0,0,H81-K81*H81/J81)</f>
        <v/>
      </c>
      <c r="M81" s="19">
        <f>IF(J81=0,0,I81-K81*I81/J81)</f>
        <v/>
      </c>
      <c r="O81" s="18">
        <f>DATA!A81</f>
        <v/>
      </c>
      <c r="P81">
        <f>DATA!B81</f>
        <v/>
      </c>
      <c r="Q81" s="19">
        <f>Z80</f>
        <v/>
      </c>
      <c r="R81" s="19">
        <f>AA80</f>
        <v/>
      </c>
      <c r="S81" s="19">
        <f>Q81+R81</f>
        <v/>
      </c>
      <c r="T81" s="20">
        <f>DATA!D81</f>
        <v/>
      </c>
      <c r="U81" s="20">
        <f>DATA!G81</f>
        <v/>
      </c>
      <c r="V81" s="19">
        <f>Q81*(1+T81)</f>
        <v/>
      </c>
      <c r="W81" s="19">
        <f>R81*(1+U81)</f>
        <v/>
      </c>
      <c r="X81" s="19">
        <f>V81+W81</f>
        <v/>
      </c>
      <c r="Y81" s="19">
        <f>IF(AND(CONFIG!$B$11="Annual",MONTH(O81)=7),X81*CONFIG!$B$6/12,Y80)</f>
        <v/>
      </c>
      <c r="Z81" s="19">
        <f>IF(X81=0,0,V81-Y81*V81/X81)</f>
        <v/>
      </c>
      <c r="AA81" s="19">
        <f>IF(X81=0,0,W81-Y81*W81/X81)</f>
        <v/>
      </c>
      <c r="AC81" s="18">
        <f>DATA!A81</f>
        <v/>
      </c>
      <c r="AD81">
        <f>DATA!B81</f>
        <v/>
      </c>
      <c r="AE81" s="19">
        <f>AN80</f>
        <v/>
      </c>
      <c r="AF81" s="19">
        <f>AO80</f>
        <v/>
      </c>
      <c r="AG81" s="19">
        <f>AE81+AF81</f>
        <v/>
      </c>
      <c r="AH81" s="20">
        <f>DATA!E81</f>
        <v/>
      </c>
      <c r="AI81" s="20">
        <f>DATA!G81</f>
        <v/>
      </c>
      <c r="AJ81" s="19">
        <f>AE81*(1+AH81)</f>
        <v/>
      </c>
      <c r="AK81" s="19">
        <f>AF81*(1+AI81)</f>
        <v/>
      </c>
      <c r="AL81" s="19">
        <f>AJ81+AK81</f>
        <v/>
      </c>
      <c r="AM81" s="19">
        <f>IF(AND(CONFIG!$B$11="Annual",MONTH(AC81)=7),AL81*CONFIG!$B$6/12,AM80)</f>
        <v/>
      </c>
      <c r="AN81" s="19">
        <f>IF(AL81=0,0,AJ81-AM81*AJ81/AL81)</f>
        <v/>
      </c>
      <c r="AO81" s="19">
        <f>IF(AL81=0,0,AK81-AM81*AK81/AL81)</f>
        <v/>
      </c>
    </row>
    <row r="82">
      <c r="A82" s="18">
        <f>DATA!A82</f>
        <v/>
      </c>
      <c r="B82">
        <f>DATA!B82</f>
        <v/>
      </c>
      <c r="C82" s="19">
        <f>L81</f>
        <v/>
      </c>
      <c r="D82" s="19">
        <f>M81</f>
        <v/>
      </c>
      <c r="E82" s="19">
        <f>C82+D82</f>
        <v/>
      </c>
      <c r="F82" s="20">
        <f>DATA!C82</f>
        <v/>
      </c>
      <c r="G82" s="20">
        <f>DATA!G82</f>
        <v/>
      </c>
      <c r="H82" s="19">
        <f>C82*(1+F82)</f>
        <v/>
      </c>
      <c r="I82" s="19">
        <f>D82*(1+G82)</f>
        <v/>
      </c>
      <c r="J82" s="19">
        <f>H82+I82</f>
        <v/>
      </c>
      <c r="K82" s="19">
        <f>IF(AND(CONFIG!$B$11="Annual",MONTH(A82)=7),J82*CONFIG!$B$6/12,K81)</f>
        <v/>
      </c>
      <c r="L82" s="19">
        <f>IF(J82=0,0,H82-K82*H82/J82)</f>
        <v/>
      </c>
      <c r="M82" s="19">
        <f>IF(J82=0,0,I82-K82*I82/J82)</f>
        <v/>
      </c>
      <c r="O82" s="18">
        <f>DATA!A82</f>
        <v/>
      </c>
      <c r="P82">
        <f>DATA!B82</f>
        <v/>
      </c>
      <c r="Q82" s="19">
        <f>Z81</f>
        <v/>
      </c>
      <c r="R82" s="19">
        <f>AA81</f>
        <v/>
      </c>
      <c r="S82" s="19">
        <f>Q82+R82</f>
        <v/>
      </c>
      <c r="T82" s="20">
        <f>DATA!D82</f>
        <v/>
      </c>
      <c r="U82" s="20">
        <f>DATA!G82</f>
        <v/>
      </c>
      <c r="V82" s="19">
        <f>Q82*(1+T82)</f>
        <v/>
      </c>
      <c r="W82" s="19">
        <f>R82*(1+U82)</f>
        <v/>
      </c>
      <c r="X82" s="19">
        <f>V82+W82</f>
        <v/>
      </c>
      <c r="Y82" s="19">
        <f>IF(AND(CONFIG!$B$11="Annual",MONTH(O82)=7),X82*CONFIG!$B$6/12,Y81)</f>
        <v/>
      </c>
      <c r="Z82" s="19">
        <f>IF(X82=0,0,V82-Y82*V82/X82)</f>
        <v/>
      </c>
      <c r="AA82" s="19">
        <f>IF(X82=0,0,W82-Y82*W82/X82)</f>
        <v/>
      </c>
      <c r="AC82" s="18">
        <f>DATA!A82</f>
        <v/>
      </c>
      <c r="AD82">
        <f>DATA!B82</f>
        <v/>
      </c>
      <c r="AE82" s="19">
        <f>AN81</f>
        <v/>
      </c>
      <c r="AF82" s="19">
        <f>AO81</f>
        <v/>
      </c>
      <c r="AG82" s="19">
        <f>AE82+AF82</f>
        <v/>
      </c>
      <c r="AH82" s="20">
        <f>DATA!E82</f>
        <v/>
      </c>
      <c r="AI82" s="20">
        <f>DATA!G82</f>
        <v/>
      </c>
      <c r="AJ82" s="19">
        <f>AE82*(1+AH82)</f>
        <v/>
      </c>
      <c r="AK82" s="19">
        <f>AF82*(1+AI82)</f>
        <v/>
      </c>
      <c r="AL82" s="19">
        <f>AJ82+AK82</f>
        <v/>
      </c>
      <c r="AM82" s="19">
        <f>IF(AND(CONFIG!$B$11="Annual",MONTH(AC82)=7),AL82*CONFIG!$B$6/12,AM81)</f>
        <v/>
      </c>
      <c r="AN82" s="19">
        <f>IF(AL82=0,0,AJ82-AM82*AJ82/AL82)</f>
        <v/>
      </c>
      <c r="AO82" s="19">
        <f>IF(AL82=0,0,AK82-AM82*AK82/AL82)</f>
        <v/>
      </c>
    </row>
    <row r="83">
      <c r="A83" s="18">
        <f>DATA!A83</f>
        <v/>
      </c>
      <c r="B83">
        <f>DATA!B83</f>
        <v/>
      </c>
      <c r="C83" s="19">
        <f>L82</f>
        <v/>
      </c>
      <c r="D83" s="19">
        <f>M82</f>
        <v/>
      </c>
      <c r="E83" s="19">
        <f>C83+D83</f>
        <v/>
      </c>
      <c r="F83" s="20">
        <f>DATA!C83</f>
        <v/>
      </c>
      <c r="G83" s="20">
        <f>DATA!G83</f>
        <v/>
      </c>
      <c r="H83" s="19">
        <f>C83*(1+F83)</f>
        <v/>
      </c>
      <c r="I83" s="19">
        <f>D83*(1+G83)</f>
        <v/>
      </c>
      <c r="J83" s="19">
        <f>H83+I83</f>
        <v/>
      </c>
      <c r="K83" s="19">
        <f>IF(AND(CONFIG!$B$11="Annual",MONTH(A83)=7),J83*CONFIG!$B$6/12,K82)</f>
        <v/>
      </c>
      <c r="L83" s="19">
        <f>IF(J83=0,0,H83-K83*H83/J83)</f>
        <v/>
      </c>
      <c r="M83" s="19">
        <f>IF(J83=0,0,I83-K83*I83/J83)</f>
        <v/>
      </c>
      <c r="O83" s="18">
        <f>DATA!A83</f>
        <v/>
      </c>
      <c r="P83">
        <f>DATA!B83</f>
        <v/>
      </c>
      <c r="Q83" s="19">
        <f>Z82</f>
        <v/>
      </c>
      <c r="R83" s="19">
        <f>AA82</f>
        <v/>
      </c>
      <c r="S83" s="19">
        <f>Q83+R83</f>
        <v/>
      </c>
      <c r="T83" s="20">
        <f>DATA!D83</f>
        <v/>
      </c>
      <c r="U83" s="20">
        <f>DATA!G83</f>
        <v/>
      </c>
      <c r="V83" s="19">
        <f>Q83*(1+T83)</f>
        <v/>
      </c>
      <c r="W83" s="19">
        <f>R83*(1+U83)</f>
        <v/>
      </c>
      <c r="X83" s="19">
        <f>V83+W83</f>
        <v/>
      </c>
      <c r="Y83" s="19">
        <f>IF(AND(CONFIG!$B$11="Annual",MONTH(O83)=7),X83*CONFIG!$B$6/12,Y82)</f>
        <v/>
      </c>
      <c r="Z83" s="19">
        <f>IF(X83=0,0,V83-Y83*V83/X83)</f>
        <v/>
      </c>
      <c r="AA83" s="19">
        <f>IF(X83=0,0,W83-Y83*W83/X83)</f>
        <v/>
      </c>
      <c r="AC83" s="18">
        <f>DATA!A83</f>
        <v/>
      </c>
      <c r="AD83">
        <f>DATA!B83</f>
        <v/>
      </c>
      <c r="AE83" s="19">
        <f>AN82</f>
        <v/>
      </c>
      <c r="AF83" s="19">
        <f>AO82</f>
        <v/>
      </c>
      <c r="AG83" s="19">
        <f>AE83+AF83</f>
        <v/>
      </c>
      <c r="AH83" s="20">
        <f>DATA!E83</f>
        <v/>
      </c>
      <c r="AI83" s="20">
        <f>DATA!G83</f>
        <v/>
      </c>
      <c r="AJ83" s="19">
        <f>AE83*(1+AH83)</f>
        <v/>
      </c>
      <c r="AK83" s="19">
        <f>AF83*(1+AI83)</f>
        <v/>
      </c>
      <c r="AL83" s="19">
        <f>AJ83+AK83</f>
        <v/>
      </c>
      <c r="AM83" s="19">
        <f>IF(AND(CONFIG!$B$11="Annual",MONTH(AC83)=7),AL83*CONFIG!$B$6/12,AM82)</f>
        <v/>
      </c>
      <c r="AN83" s="19">
        <f>IF(AL83=0,0,AJ83-AM83*AJ83/AL83)</f>
        <v/>
      </c>
      <c r="AO83" s="19">
        <f>IF(AL83=0,0,AK83-AM83*AK83/AL83)</f>
        <v/>
      </c>
    </row>
    <row r="84">
      <c r="A84" s="18">
        <f>DATA!A84</f>
        <v/>
      </c>
      <c r="B84">
        <f>DATA!B84</f>
        <v/>
      </c>
      <c r="C84" s="19">
        <f>L83</f>
        <v/>
      </c>
      <c r="D84" s="19">
        <f>M83</f>
        <v/>
      </c>
      <c r="E84" s="19">
        <f>C84+D84</f>
        <v/>
      </c>
      <c r="F84" s="20">
        <f>DATA!C84</f>
        <v/>
      </c>
      <c r="G84" s="20">
        <f>DATA!G84</f>
        <v/>
      </c>
      <c r="H84" s="19">
        <f>C84*(1+F84)</f>
        <v/>
      </c>
      <c r="I84" s="19">
        <f>D84*(1+G84)</f>
        <v/>
      </c>
      <c r="J84" s="19">
        <f>H84+I84</f>
        <v/>
      </c>
      <c r="K84" s="19">
        <f>IF(AND(CONFIG!$B$11="Annual",MONTH(A84)=7),J84*CONFIG!$B$6/12,K83)</f>
        <v/>
      </c>
      <c r="L84" s="19">
        <f>IF(J84=0,0,H84-K84*H84/J84)</f>
        <v/>
      </c>
      <c r="M84" s="19">
        <f>IF(J84=0,0,I84-K84*I84/J84)</f>
        <v/>
      </c>
      <c r="O84" s="18">
        <f>DATA!A84</f>
        <v/>
      </c>
      <c r="P84">
        <f>DATA!B84</f>
        <v/>
      </c>
      <c r="Q84" s="19">
        <f>Z83</f>
        <v/>
      </c>
      <c r="R84" s="19">
        <f>AA83</f>
        <v/>
      </c>
      <c r="S84" s="19">
        <f>Q84+R84</f>
        <v/>
      </c>
      <c r="T84" s="20">
        <f>DATA!D84</f>
        <v/>
      </c>
      <c r="U84" s="20">
        <f>DATA!G84</f>
        <v/>
      </c>
      <c r="V84" s="19">
        <f>Q84*(1+T84)</f>
        <v/>
      </c>
      <c r="W84" s="19">
        <f>R84*(1+U84)</f>
        <v/>
      </c>
      <c r="X84" s="19">
        <f>V84+W84</f>
        <v/>
      </c>
      <c r="Y84" s="19">
        <f>IF(AND(CONFIG!$B$11="Annual",MONTH(O84)=7),X84*CONFIG!$B$6/12,Y83)</f>
        <v/>
      </c>
      <c r="Z84" s="19">
        <f>IF(X84=0,0,V84-Y84*V84/X84)</f>
        <v/>
      </c>
      <c r="AA84" s="19">
        <f>IF(X84=0,0,W84-Y84*W84/X84)</f>
        <v/>
      </c>
      <c r="AC84" s="18">
        <f>DATA!A84</f>
        <v/>
      </c>
      <c r="AD84">
        <f>DATA!B84</f>
        <v/>
      </c>
      <c r="AE84" s="19">
        <f>AN83</f>
        <v/>
      </c>
      <c r="AF84" s="19">
        <f>AO83</f>
        <v/>
      </c>
      <c r="AG84" s="19">
        <f>AE84+AF84</f>
        <v/>
      </c>
      <c r="AH84" s="20">
        <f>DATA!E84</f>
        <v/>
      </c>
      <c r="AI84" s="20">
        <f>DATA!G84</f>
        <v/>
      </c>
      <c r="AJ84" s="19">
        <f>AE84*(1+AH84)</f>
        <v/>
      </c>
      <c r="AK84" s="19">
        <f>AF84*(1+AI84)</f>
        <v/>
      </c>
      <c r="AL84" s="19">
        <f>AJ84+AK84</f>
        <v/>
      </c>
      <c r="AM84" s="19">
        <f>IF(AND(CONFIG!$B$11="Annual",MONTH(AC84)=7),AL84*CONFIG!$B$6/12,AM83)</f>
        <v/>
      </c>
      <c r="AN84" s="19">
        <f>IF(AL84=0,0,AJ84-AM84*AJ84/AL84)</f>
        <v/>
      </c>
      <c r="AO84" s="19">
        <f>IF(AL84=0,0,AK84-AM84*AK84/AL84)</f>
        <v/>
      </c>
    </row>
    <row r="85">
      <c r="A85" s="18">
        <f>DATA!A85</f>
        <v/>
      </c>
      <c r="B85">
        <f>DATA!B85</f>
        <v/>
      </c>
      <c r="C85" s="19">
        <f>L84</f>
        <v/>
      </c>
      <c r="D85" s="19">
        <f>M84</f>
        <v/>
      </c>
      <c r="E85" s="19">
        <f>C85+D85</f>
        <v/>
      </c>
      <c r="F85" s="20">
        <f>DATA!C85</f>
        <v/>
      </c>
      <c r="G85" s="20">
        <f>DATA!G85</f>
        <v/>
      </c>
      <c r="H85" s="19">
        <f>C85*(1+F85)</f>
        <v/>
      </c>
      <c r="I85" s="19">
        <f>D85*(1+G85)</f>
        <v/>
      </c>
      <c r="J85" s="19">
        <f>H85+I85</f>
        <v/>
      </c>
      <c r="K85" s="19">
        <f>IF(AND(CONFIG!$B$11="Annual",MONTH(A85)=7),J85*CONFIG!$B$6/12,K84)</f>
        <v/>
      </c>
      <c r="L85" s="19">
        <f>IF(J85=0,0,H85-K85*H85/J85)</f>
        <v/>
      </c>
      <c r="M85" s="19">
        <f>IF(J85=0,0,I85-K85*I85/J85)</f>
        <v/>
      </c>
      <c r="O85" s="18">
        <f>DATA!A85</f>
        <v/>
      </c>
      <c r="P85">
        <f>DATA!B85</f>
        <v/>
      </c>
      <c r="Q85" s="19">
        <f>Z84</f>
        <v/>
      </c>
      <c r="R85" s="19">
        <f>AA84</f>
        <v/>
      </c>
      <c r="S85" s="19">
        <f>Q85+R85</f>
        <v/>
      </c>
      <c r="T85" s="20">
        <f>DATA!D85</f>
        <v/>
      </c>
      <c r="U85" s="20">
        <f>DATA!G85</f>
        <v/>
      </c>
      <c r="V85" s="19">
        <f>Q85*(1+T85)</f>
        <v/>
      </c>
      <c r="W85" s="19">
        <f>R85*(1+U85)</f>
        <v/>
      </c>
      <c r="X85" s="19">
        <f>V85+W85</f>
        <v/>
      </c>
      <c r="Y85" s="19">
        <f>IF(AND(CONFIG!$B$11="Annual",MONTH(O85)=7),X85*CONFIG!$B$6/12,Y84)</f>
        <v/>
      </c>
      <c r="Z85" s="19">
        <f>IF(X85=0,0,V85-Y85*V85/X85)</f>
        <v/>
      </c>
      <c r="AA85" s="19">
        <f>IF(X85=0,0,W85-Y85*W85/X85)</f>
        <v/>
      </c>
      <c r="AC85" s="18">
        <f>DATA!A85</f>
        <v/>
      </c>
      <c r="AD85">
        <f>DATA!B85</f>
        <v/>
      </c>
      <c r="AE85" s="19">
        <f>AN84</f>
        <v/>
      </c>
      <c r="AF85" s="19">
        <f>AO84</f>
        <v/>
      </c>
      <c r="AG85" s="19">
        <f>AE85+AF85</f>
        <v/>
      </c>
      <c r="AH85" s="20">
        <f>DATA!E85</f>
        <v/>
      </c>
      <c r="AI85" s="20">
        <f>DATA!G85</f>
        <v/>
      </c>
      <c r="AJ85" s="19">
        <f>AE85*(1+AH85)</f>
        <v/>
      </c>
      <c r="AK85" s="19">
        <f>AF85*(1+AI85)</f>
        <v/>
      </c>
      <c r="AL85" s="19">
        <f>AJ85+AK85</f>
        <v/>
      </c>
      <c r="AM85" s="19">
        <f>IF(AND(CONFIG!$B$11="Annual",MONTH(AC85)=7),AL85*CONFIG!$B$6/12,AM84)</f>
        <v/>
      </c>
      <c r="AN85" s="19">
        <f>IF(AL85=0,0,AJ85-AM85*AJ85/AL85)</f>
        <v/>
      </c>
      <c r="AO85" s="19">
        <f>IF(AL85=0,0,AK85-AM85*AK85/AL85)</f>
        <v/>
      </c>
    </row>
    <row r="86">
      <c r="A86" s="18">
        <f>DATA!A86</f>
        <v/>
      </c>
      <c r="B86">
        <f>DATA!B86</f>
        <v/>
      </c>
      <c r="C86" s="19">
        <f>L85</f>
        <v/>
      </c>
      <c r="D86" s="19">
        <f>M85</f>
        <v/>
      </c>
      <c r="E86" s="19">
        <f>C86+D86</f>
        <v/>
      </c>
      <c r="F86" s="20">
        <f>DATA!C86</f>
        <v/>
      </c>
      <c r="G86" s="20">
        <f>DATA!G86</f>
        <v/>
      </c>
      <c r="H86" s="19">
        <f>C86*(1+F86)</f>
        <v/>
      </c>
      <c r="I86" s="19">
        <f>D86*(1+G86)</f>
        <v/>
      </c>
      <c r="J86" s="19">
        <f>H86+I86</f>
        <v/>
      </c>
      <c r="K86" s="19">
        <f>IF(AND(CONFIG!$B$11="Annual",MONTH(A86)=7),J86*CONFIG!$B$6/12,K85)</f>
        <v/>
      </c>
      <c r="L86" s="19">
        <f>IF(J86=0,0,H86-K86*H86/J86)</f>
        <v/>
      </c>
      <c r="M86" s="19">
        <f>IF(J86=0,0,I86-K86*I86/J86)</f>
        <v/>
      </c>
      <c r="O86" s="18">
        <f>DATA!A86</f>
        <v/>
      </c>
      <c r="P86">
        <f>DATA!B86</f>
        <v/>
      </c>
      <c r="Q86" s="19">
        <f>Z85</f>
        <v/>
      </c>
      <c r="R86" s="19">
        <f>AA85</f>
        <v/>
      </c>
      <c r="S86" s="19">
        <f>Q86+R86</f>
        <v/>
      </c>
      <c r="T86" s="20">
        <f>DATA!D86</f>
        <v/>
      </c>
      <c r="U86" s="20">
        <f>DATA!G86</f>
        <v/>
      </c>
      <c r="V86" s="19">
        <f>Q86*(1+T86)</f>
        <v/>
      </c>
      <c r="W86" s="19">
        <f>R86*(1+U86)</f>
        <v/>
      </c>
      <c r="X86" s="19">
        <f>V86+W86</f>
        <v/>
      </c>
      <c r="Y86" s="19">
        <f>IF(AND(CONFIG!$B$11="Annual",MONTH(O86)=7),X86*CONFIG!$B$6/12,Y85)</f>
        <v/>
      </c>
      <c r="Z86" s="19">
        <f>IF(X86=0,0,V86-Y86*V86/X86)</f>
        <v/>
      </c>
      <c r="AA86" s="19">
        <f>IF(X86=0,0,W86-Y86*W86/X86)</f>
        <v/>
      </c>
      <c r="AC86" s="18">
        <f>DATA!A86</f>
        <v/>
      </c>
      <c r="AD86">
        <f>DATA!B86</f>
        <v/>
      </c>
      <c r="AE86" s="19">
        <f>AN85</f>
        <v/>
      </c>
      <c r="AF86" s="19">
        <f>AO85</f>
        <v/>
      </c>
      <c r="AG86" s="19">
        <f>AE86+AF86</f>
        <v/>
      </c>
      <c r="AH86" s="20">
        <f>DATA!E86</f>
        <v/>
      </c>
      <c r="AI86" s="20">
        <f>DATA!G86</f>
        <v/>
      </c>
      <c r="AJ86" s="19">
        <f>AE86*(1+AH86)</f>
        <v/>
      </c>
      <c r="AK86" s="19">
        <f>AF86*(1+AI86)</f>
        <v/>
      </c>
      <c r="AL86" s="19">
        <f>AJ86+AK86</f>
        <v/>
      </c>
      <c r="AM86" s="19">
        <f>IF(AND(CONFIG!$B$11="Annual",MONTH(AC86)=7),AL86*CONFIG!$B$6/12,AM85)</f>
        <v/>
      </c>
      <c r="AN86" s="19">
        <f>IF(AL86=0,0,AJ86-AM86*AJ86/AL86)</f>
        <v/>
      </c>
      <c r="AO86" s="19">
        <f>IF(AL86=0,0,AK86-AM86*AK86/AL86)</f>
        <v/>
      </c>
    </row>
    <row r="87">
      <c r="A87" s="18">
        <f>DATA!A87</f>
        <v/>
      </c>
      <c r="B87">
        <f>DATA!B87</f>
        <v/>
      </c>
      <c r="C87" s="19">
        <f>L86</f>
        <v/>
      </c>
      <c r="D87" s="19">
        <f>M86</f>
        <v/>
      </c>
      <c r="E87" s="19">
        <f>C87+D87</f>
        <v/>
      </c>
      <c r="F87" s="20">
        <f>DATA!C87</f>
        <v/>
      </c>
      <c r="G87" s="20">
        <f>DATA!G87</f>
        <v/>
      </c>
      <c r="H87" s="19">
        <f>C87*(1+F87)</f>
        <v/>
      </c>
      <c r="I87" s="19">
        <f>D87*(1+G87)</f>
        <v/>
      </c>
      <c r="J87" s="19">
        <f>H87+I87</f>
        <v/>
      </c>
      <c r="K87" s="19">
        <f>IF(AND(CONFIG!$B$11="Annual",MONTH(A87)=7),J87*CONFIG!$B$6/12,K86)</f>
        <v/>
      </c>
      <c r="L87" s="19">
        <f>IF(J87=0,0,H87-K87*H87/J87)</f>
        <v/>
      </c>
      <c r="M87" s="19">
        <f>IF(J87=0,0,I87-K87*I87/J87)</f>
        <v/>
      </c>
      <c r="O87" s="18">
        <f>DATA!A87</f>
        <v/>
      </c>
      <c r="P87">
        <f>DATA!B87</f>
        <v/>
      </c>
      <c r="Q87" s="19">
        <f>Z86</f>
        <v/>
      </c>
      <c r="R87" s="19">
        <f>AA86</f>
        <v/>
      </c>
      <c r="S87" s="19">
        <f>Q87+R87</f>
        <v/>
      </c>
      <c r="T87" s="20">
        <f>DATA!D87</f>
        <v/>
      </c>
      <c r="U87" s="20">
        <f>DATA!G87</f>
        <v/>
      </c>
      <c r="V87" s="19">
        <f>Q87*(1+T87)</f>
        <v/>
      </c>
      <c r="W87" s="19">
        <f>R87*(1+U87)</f>
        <v/>
      </c>
      <c r="X87" s="19">
        <f>V87+W87</f>
        <v/>
      </c>
      <c r="Y87" s="19">
        <f>IF(AND(CONFIG!$B$11="Annual",MONTH(O87)=7),X87*CONFIG!$B$6/12,Y86)</f>
        <v/>
      </c>
      <c r="Z87" s="19">
        <f>IF(X87=0,0,V87-Y87*V87/X87)</f>
        <v/>
      </c>
      <c r="AA87" s="19">
        <f>IF(X87=0,0,W87-Y87*W87/X87)</f>
        <v/>
      </c>
      <c r="AC87" s="18">
        <f>DATA!A87</f>
        <v/>
      </c>
      <c r="AD87">
        <f>DATA!B87</f>
        <v/>
      </c>
      <c r="AE87" s="19">
        <f>AN86</f>
        <v/>
      </c>
      <c r="AF87" s="19">
        <f>AO86</f>
        <v/>
      </c>
      <c r="AG87" s="19">
        <f>AE87+AF87</f>
        <v/>
      </c>
      <c r="AH87" s="20">
        <f>DATA!E87</f>
        <v/>
      </c>
      <c r="AI87" s="20">
        <f>DATA!G87</f>
        <v/>
      </c>
      <c r="AJ87" s="19">
        <f>AE87*(1+AH87)</f>
        <v/>
      </c>
      <c r="AK87" s="19">
        <f>AF87*(1+AI87)</f>
        <v/>
      </c>
      <c r="AL87" s="19">
        <f>AJ87+AK87</f>
        <v/>
      </c>
      <c r="AM87" s="19">
        <f>IF(AND(CONFIG!$B$11="Annual",MONTH(AC87)=7),AL87*CONFIG!$B$6/12,AM86)</f>
        <v/>
      </c>
      <c r="AN87" s="19">
        <f>IF(AL87=0,0,AJ87-AM87*AJ87/AL87)</f>
        <v/>
      </c>
      <c r="AO87" s="19">
        <f>IF(AL87=0,0,AK87-AM87*AK87/AL87)</f>
        <v/>
      </c>
    </row>
    <row r="88">
      <c r="A88" s="18">
        <f>DATA!A88</f>
        <v/>
      </c>
      <c r="B88">
        <f>DATA!B88</f>
        <v/>
      </c>
      <c r="C88" s="19">
        <f>L87</f>
        <v/>
      </c>
      <c r="D88" s="19">
        <f>M87</f>
        <v/>
      </c>
      <c r="E88" s="19">
        <f>C88+D88</f>
        <v/>
      </c>
      <c r="F88" s="20">
        <f>DATA!C88</f>
        <v/>
      </c>
      <c r="G88" s="20">
        <f>DATA!G88</f>
        <v/>
      </c>
      <c r="H88" s="19">
        <f>C88*(1+F88)</f>
        <v/>
      </c>
      <c r="I88" s="19">
        <f>D88*(1+G88)</f>
        <v/>
      </c>
      <c r="J88" s="19">
        <f>H88+I88</f>
        <v/>
      </c>
      <c r="K88" s="19">
        <f>IF(AND(CONFIG!$B$11="Annual",MONTH(A88)=7),J88*CONFIG!$B$6/12,K87)</f>
        <v/>
      </c>
      <c r="L88" s="19">
        <f>IF(J88=0,0,H88-K88*H88/J88)</f>
        <v/>
      </c>
      <c r="M88" s="19">
        <f>IF(J88=0,0,I88-K88*I88/J88)</f>
        <v/>
      </c>
      <c r="O88" s="18">
        <f>DATA!A88</f>
        <v/>
      </c>
      <c r="P88">
        <f>DATA!B88</f>
        <v/>
      </c>
      <c r="Q88" s="19">
        <f>Z87</f>
        <v/>
      </c>
      <c r="R88" s="19">
        <f>AA87</f>
        <v/>
      </c>
      <c r="S88" s="19">
        <f>Q88+R88</f>
        <v/>
      </c>
      <c r="T88" s="20">
        <f>DATA!D88</f>
        <v/>
      </c>
      <c r="U88" s="20">
        <f>DATA!G88</f>
        <v/>
      </c>
      <c r="V88" s="19">
        <f>Q88*(1+T88)</f>
        <v/>
      </c>
      <c r="W88" s="19">
        <f>R88*(1+U88)</f>
        <v/>
      </c>
      <c r="X88" s="19">
        <f>V88+W88</f>
        <v/>
      </c>
      <c r="Y88" s="19">
        <f>IF(AND(CONFIG!$B$11="Annual",MONTH(O88)=7),X88*CONFIG!$B$6/12,Y87)</f>
        <v/>
      </c>
      <c r="Z88" s="19">
        <f>IF(X88=0,0,V88-Y88*V88/X88)</f>
        <v/>
      </c>
      <c r="AA88" s="19">
        <f>IF(X88=0,0,W88-Y88*W88/X88)</f>
        <v/>
      </c>
      <c r="AC88" s="18">
        <f>DATA!A88</f>
        <v/>
      </c>
      <c r="AD88">
        <f>DATA!B88</f>
        <v/>
      </c>
      <c r="AE88" s="19">
        <f>AN87</f>
        <v/>
      </c>
      <c r="AF88" s="19">
        <f>AO87</f>
        <v/>
      </c>
      <c r="AG88" s="19">
        <f>AE88+AF88</f>
        <v/>
      </c>
      <c r="AH88" s="20">
        <f>DATA!E88</f>
        <v/>
      </c>
      <c r="AI88" s="20">
        <f>DATA!G88</f>
        <v/>
      </c>
      <c r="AJ88" s="19">
        <f>AE88*(1+AH88)</f>
        <v/>
      </c>
      <c r="AK88" s="19">
        <f>AF88*(1+AI88)</f>
        <v/>
      </c>
      <c r="AL88" s="19">
        <f>AJ88+AK88</f>
        <v/>
      </c>
      <c r="AM88" s="19">
        <f>IF(AND(CONFIG!$B$11="Annual",MONTH(AC88)=7),AL88*CONFIG!$B$6/12,AM87)</f>
        <v/>
      </c>
      <c r="AN88" s="19">
        <f>IF(AL88=0,0,AJ88-AM88*AJ88/AL88)</f>
        <v/>
      </c>
      <c r="AO88" s="19">
        <f>IF(AL88=0,0,AK88-AM88*AK88/AL88)</f>
        <v/>
      </c>
    </row>
    <row r="89">
      <c r="A89" s="18">
        <f>DATA!A89</f>
        <v/>
      </c>
      <c r="B89">
        <f>DATA!B89</f>
        <v/>
      </c>
      <c r="C89" s="19">
        <f>L88</f>
        <v/>
      </c>
      <c r="D89" s="19">
        <f>M88</f>
        <v/>
      </c>
      <c r="E89" s="19">
        <f>C89+D89</f>
        <v/>
      </c>
      <c r="F89" s="20">
        <f>DATA!C89</f>
        <v/>
      </c>
      <c r="G89" s="20">
        <f>DATA!G89</f>
        <v/>
      </c>
      <c r="H89" s="19">
        <f>C89*(1+F89)</f>
        <v/>
      </c>
      <c r="I89" s="19">
        <f>D89*(1+G89)</f>
        <v/>
      </c>
      <c r="J89" s="19">
        <f>H89+I89</f>
        <v/>
      </c>
      <c r="K89" s="19">
        <f>IF(AND(CONFIG!$B$11="Annual",MONTH(A89)=7),J89*CONFIG!$B$6/12,K88)</f>
        <v/>
      </c>
      <c r="L89" s="19">
        <f>IF(J89=0,0,H89-K89*H89/J89)</f>
        <v/>
      </c>
      <c r="M89" s="19">
        <f>IF(J89=0,0,I89-K89*I89/J89)</f>
        <v/>
      </c>
      <c r="O89" s="18">
        <f>DATA!A89</f>
        <v/>
      </c>
      <c r="P89">
        <f>DATA!B89</f>
        <v/>
      </c>
      <c r="Q89" s="19">
        <f>Z88</f>
        <v/>
      </c>
      <c r="R89" s="19">
        <f>AA88</f>
        <v/>
      </c>
      <c r="S89" s="19">
        <f>Q89+R89</f>
        <v/>
      </c>
      <c r="T89" s="20">
        <f>DATA!D89</f>
        <v/>
      </c>
      <c r="U89" s="20">
        <f>DATA!G89</f>
        <v/>
      </c>
      <c r="V89" s="19">
        <f>Q89*(1+T89)</f>
        <v/>
      </c>
      <c r="W89" s="19">
        <f>R89*(1+U89)</f>
        <v/>
      </c>
      <c r="X89" s="19">
        <f>V89+W89</f>
        <v/>
      </c>
      <c r="Y89" s="19">
        <f>IF(AND(CONFIG!$B$11="Annual",MONTH(O89)=7),X89*CONFIG!$B$6/12,Y88)</f>
        <v/>
      </c>
      <c r="Z89" s="19">
        <f>IF(X89=0,0,V89-Y89*V89/X89)</f>
        <v/>
      </c>
      <c r="AA89" s="19">
        <f>IF(X89=0,0,W89-Y89*W89/X89)</f>
        <v/>
      </c>
      <c r="AC89" s="18">
        <f>DATA!A89</f>
        <v/>
      </c>
      <c r="AD89">
        <f>DATA!B89</f>
        <v/>
      </c>
      <c r="AE89" s="19">
        <f>AN88</f>
        <v/>
      </c>
      <c r="AF89" s="19">
        <f>AO88</f>
        <v/>
      </c>
      <c r="AG89" s="19">
        <f>AE89+AF89</f>
        <v/>
      </c>
      <c r="AH89" s="20">
        <f>DATA!E89</f>
        <v/>
      </c>
      <c r="AI89" s="20">
        <f>DATA!G89</f>
        <v/>
      </c>
      <c r="AJ89" s="19">
        <f>AE89*(1+AH89)</f>
        <v/>
      </c>
      <c r="AK89" s="19">
        <f>AF89*(1+AI89)</f>
        <v/>
      </c>
      <c r="AL89" s="19">
        <f>AJ89+AK89</f>
        <v/>
      </c>
      <c r="AM89" s="19">
        <f>IF(AND(CONFIG!$B$11="Annual",MONTH(AC89)=7),AL89*CONFIG!$B$6/12,AM88)</f>
        <v/>
      </c>
      <c r="AN89" s="19">
        <f>IF(AL89=0,0,AJ89-AM89*AJ89/AL89)</f>
        <v/>
      </c>
      <c r="AO89" s="19">
        <f>IF(AL89=0,0,AK89-AM89*AK89/AL89)</f>
        <v/>
      </c>
    </row>
    <row r="90">
      <c r="A90" s="18">
        <f>DATA!A90</f>
        <v/>
      </c>
      <c r="B90">
        <f>DATA!B90</f>
        <v/>
      </c>
      <c r="C90" s="19">
        <f>L89</f>
        <v/>
      </c>
      <c r="D90" s="19">
        <f>M89</f>
        <v/>
      </c>
      <c r="E90" s="19">
        <f>C90+D90</f>
        <v/>
      </c>
      <c r="F90" s="20">
        <f>DATA!C90</f>
        <v/>
      </c>
      <c r="G90" s="20">
        <f>DATA!G90</f>
        <v/>
      </c>
      <c r="H90" s="19">
        <f>C90*(1+F90)</f>
        <v/>
      </c>
      <c r="I90" s="19">
        <f>D90*(1+G90)</f>
        <v/>
      </c>
      <c r="J90" s="19">
        <f>H90+I90</f>
        <v/>
      </c>
      <c r="K90" s="19">
        <f>IF(AND(CONFIG!$B$11="Annual",MONTH(A90)=7),J90*CONFIG!$B$6/12,K89)</f>
        <v/>
      </c>
      <c r="L90" s="19">
        <f>IF(J90=0,0,H90-K90*H90/J90)</f>
        <v/>
      </c>
      <c r="M90" s="19">
        <f>IF(J90=0,0,I90-K90*I90/J90)</f>
        <v/>
      </c>
      <c r="O90" s="18">
        <f>DATA!A90</f>
        <v/>
      </c>
      <c r="P90">
        <f>DATA!B90</f>
        <v/>
      </c>
      <c r="Q90" s="19">
        <f>Z89</f>
        <v/>
      </c>
      <c r="R90" s="19">
        <f>AA89</f>
        <v/>
      </c>
      <c r="S90" s="19">
        <f>Q90+R90</f>
        <v/>
      </c>
      <c r="T90" s="20">
        <f>DATA!D90</f>
        <v/>
      </c>
      <c r="U90" s="20">
        <f>DATA!G90</f>
        <v/>
      </c>
      <c r="V90" s="19">
        <f>Q90*(1+T90)</f>
        <v/>
      </c>
      <c r="W90" s="19">
        <f>R90*(1+U90)</f>
        <v/>
      </c>
      <c r="X90" s="19">
        <f>V90+W90</f>
        <v/>
      </c>
      <c r="Y90" s="19">
        <f>IF(AND(CONFIG!$B$11="Annual",MONTH(O90)=7),X90*CONFIG!$B$6/12,Y89)</f>
        <v/>
      </c>
      <c r="Z90" s="19">
        <f>IF(X90=0,0,V90-Y90*V90/X90)</f>
        <v/>
      </c>
      <c r="AA90" s="19">
        <f>IF(X90=0,0,W90-Y90*W90/X90)</f>
        <v/>
      </c>
      <c r="AC90" s="18">
        <f>DATA!A90</f>
        <v/>
      </c>
      <c r="AD90">
        <f>DATA!B90</f>
        <v/>
      </c>
      <c r="AE90" s="19">
        <f>AN89</f>
        <v/>
      </c>
      <c r="AF90" s="19">
        <f>AO89</f>
        <v/>
      </c>
      <c r="AG90" s="19">
        <f>AE90+AF90</f>
        <v/>
      </c>
      <c r="AH90" s="20">
        <f>DATA!E90</f>
        <v/>
      </c>
      <c r="AI90" s="20">
        <f>DATA!G90</f>
        <v/>
      </c>
      <c r="AJ90" s="19">
        <f>AE90*(1+AH90)</f>
        <v/>
      </c>
      <c r="AK90" s="19">
        <f>AF90*(1+AI90)</f>
        <v/>
      </c>
      <c r="AL90" s="19">
        <f>AJ90+AK90</f>
        <v/>
      </c>
      <c r="AM90" s="19">
        <f>IF(AND(CONFIG!$B$11="Annual",MONTH(AC90)=7),AL90*CONFIG!$B$6/12,AM89)</f>
        <v/>
      </c>
      <c r="AN90" s="19">
        <f>IF(AL90=0,0,AJ90-AM90*AJ90/AL90)</f>
        <v/>
      </c>
      <c r="AO90" s="19">
        <f>IF(AL90=0,0,AK90-AM90*AK90/AL90)</f>
        <v/>
      </c>
    </row>
    <row r="91">
      <c r="A91" s="18">
        <f>DATA!A91</f>
        <v/>
      </c>
      <c r="B91">
        <f>DATA!B91</f>
        <v/>
      </c>
      <c r="C91" s="19">
        <f>L90</f>
        <v/>
      </c>
      <c r="D91" s="19">
        <f>M90</f>
        <v/>
      </c>
      <c r="E91" s="19">
        <f>C91+D91</f>
        <v/>
      </c>
      <c r="F91" s="20">
        <f>DATA!C91</f>
        <v/>
      </c>
      <c r="G91" s="20">
        <f>DATA!G91</f>
        <v/>
      </c>
      <c r="H91" s="19">
        <f>C91*(1+F91)</f>
        <v/>
      </c>
      <c r="I91" s="19">
        <f>D91*(1+G91)</f>
        <v/>
      </c>
      <c r="J91" s="19">
        <f>H91+I91</f>
        <v/>
      </c>
      <c r="K91" s="19">
        <f>IF(AND(CONFIG!$B$11="Annual",MONTH(A91)=7),J91*CONFIG!$B$6/12,K90)</f>
        <v/>
      </c>
      <c r="L91" s="19">
        <f>IF(J91=0,0,H91-K91*H91/J91)</f>
        <v/>
      </c>
      <c r="M91" s="19">
        <f>IF(J91=0,0,I91-K91*I91/J91)</f>
        <v/>
      </c>
      <c r="O91" s="18">
        <f>DATA!A91</f>
        <v/>
      </c>
      <c r="P91">
        <f>DATA!B91</f>
        <v/>
      </c>
      <c r="Q91" s="19">
        <f>Z90</f>
        <v/>
      </c>
      <c r="R91" s="19">
        <f>AA90</f>
        <v/>
      </c>
      <c r="S91" s="19">
        <f>Q91+R91</f>
        <v/>
      </c>
      <c r="T91" s="20">
        <f>DATA!D91</f>
        <v/>
      </c>
      <c r="U91" s="20">
        <f>DATA!G91</f>
        <v/>
      </c>
      <c r="V91" s="19">
        <f>Q91*(1+T91)</f>
        <v/>
      </c>
      <c r="W91" s="19">
        <f>R91*(1+U91)</f>
        <v/>
      </c>
      <c r="X91" s="19">
        <f>V91+W91</f>
        <v/>
      </c>
      <c r="Y91" s="19">
        <f>IF(AND(CONFIG!$B$11="Annual",MONTH(O91)=7),X91*CONFIG!$B$6/12,Y90)</f>
        <v/>
      </c>
      <c r="Z91" s="19">
        <f>IF(X91=0,0,V91-Y91*V91/X91)</f>
        <v/>
      </c>
      <c r="AA91" s="19">
        <f>IF(X91=0,0,W91-Y91*W91/X91)</f>
        <v/>
      </c>
      <c r="AC91" s="18">
        <f>DATA!A91</f>
        <v/>
      </c>
      <c r="AD91">
        <f>DATA!B91</f>
        <v/>
      </c>
      <c r="AE91" s="19">
        <f>AN90</f>
        <v/>
      </c>
      <c r="AF91" s="19">
        <f>AO90</f>
        <v/>
      </c>
      <c r="AG91" s="19">
        <f>AE91+AF91</f>
        <v/>
      </c>
      <c r="AH91" s="20">
        <f>DATA!E91</f>
        <v/>
      </c>
      <c r="AI91" s="20">
        <f>DATA!G91</f>
        <v/>
      </c>
      <c r="AJ91" s="19">
        <f>AE91*(1+AH91)</f>
        <v/>
      </c>
      <c r="AK91" s="19">
        <f>AF91*(1+AI91)</f>
        <v/>
      </c>
      <c r="AL91" s="19">
        <f>AJ91+AK91</f>
        <v/>
      </c>
      <c r="AM91" s="19">
        <f>IF(AND(CONFIG!$B$11="Annual",MONTH(AC91)=7),AL91*CONFIG!$B$6/12,AM90)</f>
        <v/>
      </c>
      <c r="AN91" s="19">
        <f>IF(AL91=0,0,AJ91-AM91*AJ91/AL91)</f>
        <v/>
      </c>
      <c r="AO91" s="19">
        <f>IF(AL91=0,0,AK91-AM91*AK91/AL91)</f>
        <v/>
      </c>
    </row>
    <row r="92">
      <c r="A92" s="18">
        <f>DATA!A92</f>
        <v/>
      </c>
      <c r="B92">
        <f>DATA!B92</f>
        <v/>
      </c>
      <c r="C92" s="19">
        <f>L91</f>
        <v/>
      </c>
      <c r="D92" s="19">
        <f>M91</f>
        <v/>
      </c>
      <c r="E92" s="19">
        <f>C92+D92</f>
        <v/>
      </c>
      <c r="F92" s="20">
        <f>DATA!C92</f>
        <v/>
      </c>
      <c r="G92" s="20">
        <f>DATA!G92</f>
        <v/>
      </c>
      <c r="H92" s="19">
        <f>C92*(1+F92)</f>
        <v/>
      </c>
      <c r="I92" s="19">
        <f>D92*(1+G92)</f>
        <v/>
      </c>
      <c r="J92" s="19">
        <f>H92+I92</f>
        <v/>
      </c>
      <c r="K92" s="19">
        <f>IF(AND(CONFIG!$B$11="Annual",MONTH(A92)=7),J92*CONFIG!$B$6/12,K91)</f>
        <v/>
      </c>
      <c r="L92" s="19">
        <f>IF(J92=0,0,H92-K92*H92/J92)</f>
        <v/>
      </c>
      <c r="M92" s="19">
        <f>IF(J92=0,0,I92-K92*I92/J92)</f>
        <v/>
      </c>
      <c r="O92" s="18">
        <f>DATA!A92</f>
        <v/>
      </c>
      <c r="P92">
        <f>DATA!B92</f>
        <v/>
      </c>
      <c r="Q92" s="19">
        <f>Z91</f>
        <v/>
      </c>
      <c r="R92" s="19">
        <f>AA91</f>
        <v/>
      </c>
      <c r="S92" s="19">
        <f>Q92+R92</f>
        <v/>
      </c>
      <c r="T92" s="20">
        <f>DATA!D92</f>
        <v/>
      </c>
      <c r="U92" s="20">
        <f>DATA!G92</f>
        <v/>
      </c>
      <c r="V92" s="19">
        <f>Q92*(1+T92)</f>
        <v/>
      </c>
      <c r="W92" s="19">
        <f>R92*(1+U92)</f>
        <v/>
      </c>
      <c r="X92" s="19">
        <f>V92+W92</f>
        <v/>
      </c>
      <c r="Y92" s="19">
        <f>IF(AND(CONFIG!$B$11="Annual",MONTH(O92)=7),X92*CONFIG!$B$6/12,Y91)</f>
        <v/>
      </c>
      <c r="Z92" s="19">
        <f>IF(X92=0,0,V92-Y92*V92/X92)</f>
        <v/>
      </c>
      <c r="AA92" s="19">
        <f>IF(X92=0,0,W92-Y92*W92/X92)</f>
        <v/>
      </c>
      <c r="AC92" s="18">
        <f>DATA!A92</f>
        <v/>
      </c>
      <c r="AD92">
        <f>DATA!B92</f>
        <v/>
      </c>
      <c r="AE92" s="19">
        <f>AN91</f>
        <v/>
      </c>
      <c r="AF92" s="19">
        <f>AO91</f>
        <v/>
      </c>
      <c r="AG92" s="19">
        <f>AE92+AF92</f>
        <v/>
      </c>
      <c r="AH92" s="20">
        <f>DATA!E92</f>
        <v/>
      </c>
      <c r="AI92" s="20">
        <f>DATA!G92</f>
        <v/>
      </c>
      <c r="AJ92" s="19">
        <f>AE92*(1+AH92)</f>
        <v/>
      </c>
      <c r="AK92" s="19">
        <f>AF92*(1+AI92)</f>
        <v/>
      </c>
      <c r="AL92" s="19">
        <f>AJ92+AK92</f>
        <v/>
      </c>
      <c r="AM92" s="19">
        <f>IF(AND(CONFIG!$B$11="Annual",MONTH(AC92)=7),AL92*CONFIG!$B$6/12,AM91)</f>
        <v/>
      </c>
      <c r="AN92" s="19">
        <f>IF(AL92=0,0,AJ92-AM92*AJ92/AL92)</f>
        <v/>
      </c>
      <c r="AO92" s="19">
        <f>IF(AL92=0,0,AK92-AM92*AK92/AL92)</f>
        <v/>
      </c>
    </row>
    <row r="93">
      <c r="A93" s="18">
        <f>DATA!A93</f>
        <v/>
      </c>
      <c r="B93">
        <f>DATA!B93</f>
        <v/>
      </c>
      <c r="C93" s="19">
        <f>L92</f>
        <v/>
      </c>
      <c r="D93" s="19">
        <f>M92</f>
        <v/>
      </c>
      <c r="E93" s="19">
        <f>C93+D93</f>
        <v/>
      </c>
      <c r="F93" s="20">
        <f>DATA!C93</f>
        <v/>
      </c>
      <c r="G93" s="20">
        <f>DATA!G93</f>
        <v/>
      </c>
      <c r="H93" s="19">
        <f>C93*(1+F93)</f>
        <v/>
      </c>
      <c r="I93" s="19">
        <f>D93*(1+G93)</f>
        <v/>
      </c>
      <c r="J93" s="19">
        <f>H93+I93</f>
        <v/>
      </c>
      <c r="K93" s="19">
        <f>IF(AND(CONFIG!$B$11="Annual",MONTH(A93)=7),J93*CONFIG!$B$6/12,K92)</f>
        <v/>
      </c>
      <c r="L93" s="19">
        <f>IF(J93=0,0,H93-K93*H93/J93)</f>
        <v/>
      </c>
      <c r="M93" s="19">
        <f>IF(J93=0,0,I93-K93*I93/J93)</f>
        <v/>
      </c>
      <c r="O93" s="18">
        <f>DATA!A93</f>
        <v/>
      </c>
      <c r="P93">
        <f>DATA!B93</f>
        <v/>
      </c>
      <c r="Q93" s="19">
        <f>Z92</f>
        <v/>
      </c>
      <c r="R93" s="19">
        <f>AA92</f>
        <v/>
      </c>
      <c r="S93" s="19">
        <f>Q93+R93</f>
        <v/>
      </c>
      <c r="T93" s="20">
        <f>DATA!D93</f>
        <v/>
      </c>
      <c r="U93" s="20">
        <f>DATA!G93</f>
        <v/>
      </c>
      <c r="V93" s="19">
        <f>Q93*(1+T93)</f>
        <v/>
      </c>
      <c r="W93" s="19">
        <f>R93*(1+U93)</f>
        <v/>
      </c>
      <c r="X93" s="19">
        <f>V93+W93</f>
        <v/>
      </c>
      <c r="Y93" s="19">
        <f>IF(AND(CONFIG!$B$11="Annual",MONTH(O93)=7),X93*CONFIG!$B$6/12,Y92)</f>
        <v/>
      </c>
      <c r="Z93" s="19">
        <f>IF(X93=0,0,V93-Y93*V93/X93)</f>
        <v/>
      </c>
      <c r="AA93" s="19">
        <f>IF(X93=0,0,W93-Y93*W93/X93)</f>
        <v/>
      </c>
      <c r="AC93" s="18">
        <f>DATA!A93</f>
        <v/>
      </c>
      <c r="AD93">
        <f>DATA!B93</f>
        <v/>
      </c>
      <c r="AE93" s="19">
        <f>AN92</f>
        <v/>
      </c>
      <c r="AF93" s="19">
        <f>AO92</f>
        <v/>
      </c>
      <c r="AG93" s="19">
        <f>AE93+AF93</f>
        <v/>
      </c>
      <c r="AH93" s="20">
        <f>DATA!E93</f>
        <v/>
      </c>
      <c r="AI93" s="20">
        <f>DATA!G93</f>
        <v/>
      </c>
      <c r="AJ93" s="19">
        <f>AE93*(1+AH93)</f>
        <v/>
      </c>
      <c r="AK93" s="19">
        <f>AF93*(1+AI93)</f>
        <v/>
      </c>
      <c r="AL93" s="19">
        <f>AJ93+AK93</f>
        <v/>
      </c>
      <c r="AM93" s="19">
        <f>IF(AND(CONFIG!$B$11="Annual",MONTH(AC93)=7),AL93*CONFIG!$B$6/12,AM92)</f>
        <v/>
      </c>
      <c r="AN93" s="19">
        <f>IF(AL93=0,0,AJ93-AM93*AJ93/AL93)</f>
        <v/>
      </c>
      <c r="AO93" s="19">
        <f>IF(AL93=0,0,AK93-AM93*AK93/AL93)</f>
        <v/>
      </c>
    </row>
    <row r="94">
      <c r="A94" s="18">
        <f>DATA!A94</f>
        <v/>
      </c>
      <c r="B94">
        <f>DATA!B94</f>
        <v/>
      </c>
      <c r="C94" s="19">
        <f>L93</f>
        <v/>
      </c>
      <c r="D94" s="19">
        <f>M93</f>
        <v/>
      </c>
      <c r="E94" s="19">
        <f>C94+D94</f>
        <v/>
      </c>
      <c r="F94" s="20">
        <f>DATA!C94</f>
        <v/>
      </c>
      <c r="G94" s="20">
        <f>DATA!G94</f>
        <v/>
      </c>
      <c r="H94" s="19">
        <f>C94*(1+F94)</f>
        <v/>
      </c>
      <c r="I94" s="19">
        <f>D94*(1+G94)</f>
        <v/>
      </c>
      <c r="J94" s="19">
        <f>H94+I94</f>
        <v/>
      </c>
      <c r="K94" s="19">
        <f>IF(AND(CONFIG!$B$11="Annual",MONTH(A94)=7),J94*CONFIG!$B$6/12,K93)</f>
        <v/>
      </c>
      <c r="L94" s="19">
        <f>IF(J94=0,0,H94-K94*H94/J94)</f>
        <v/>
      </c>
      <c r="M94" s="19">
        <f>IF(J94=0,0,I94-K94*I94/J94)</f>
        <v/>
      </c>
      <c r="O94" s="18">
        <f>DATA!A94</f>
        <v/>
      </c>
      <c r="P94">
        <f>DATA!B94</f>
        <v/>
      </c>
      <c r="Q94" s="19">
        <f>Z93</f>
        <v/>
      </c>
      <c r="R94" s="19">
        <f>AA93</f>
        <v/>
      </c>
      <c r="S94" s="19">
        <f>Q94+R94</f>
        <v/>
      </c>
      <c r="T94" s="20">
        <f>DATA!D94</f>
        <v/>
      </c>
      <c r="U94" s="20">
        <f>DATA!G94</f>
        <v/>
      </c>
      <c r="V94" s="19">
        <f>Q94*(1+T94)</f>
        <v/>
      </c>
      <c r="W94" s="19">
        <f>R94*(1+U94)</f>
        <v/>
      </c>
      <c r="X94" s="19">
        <f>V94+W94</f>
        <v/>
      </c>
      <c r="Y94" s="19">
        <f>IF(AND(CONFIG!$B$11="Annual",MONTH(O94)=7),X94*CONFIG!$B$6/12,Y93)</f>
        <v/>
      </c>
      <c r="Z94" s="19">
        <f>IF(X94=0,0,V94-Y94*V94/X94)</f>
        <v/>
      </c>
      <c r="AA94" s="19">
        <f>IF(X94=0,0,W94-Y94*W94/X94)</f>
        <v/>
      </c>
      <c r="AC94" s="18">
        <f>DATA!A94</f>
        <v/>
      </c>
      <c r="AD94">
        <f>DATA!B94</f>
        <v/>
      </c>
      <c r="AE94" s="19">
        <f>AN93</f>
        <v/>
      </c>
      <c r="AF94" s="19">
        <f>AO93</f>
        <v/>
      </c>
      <c r="AG94" s="19">
        <f>AE94+AF94</f>
        <v/>
      </c>
      <c r="AH94" s="20">
        <f>DATA!E94</f>
        <v/>
      </c>
      <c r="AI94" s="20">
        <f>DATA!G94</f>
        <v/>
      </c>
      <c r="AJ94" s="19">
        <f>AE94*(1+AH94)</f>
        <v/>
      </c>
      <c r="AK94" s="19">
        <f>AF94*(1+AI94)</f>
        <v/>
      </c>
      <c r="AL94" s="19">
        <f>AJ94+AK94</f>
        <v/>
      </c>
      <c r="AM94" s="19">
        <f>IF(AND(CONFIG!$B$11="Annual",MONTH(AC94)=7),AL94*CONFIG!$B$6/12,AM93)</f>
        <v/>
      </c>
      <c r="AN94" s="19">
        <f>IF(AL94=0,0,AJ94-AM94*AJ94/AL94)</f>
        <v/>
      </c>
      <c r="AO94" s="19">
        <f>IF(AL94=0,0,AK94-AM94*AK94/AL94)</f>
        <v/>
      </c>
    </row>
    <row r="95">
      <c r="A95" s="18">
        <f>DATA!A95</f>
        <v/>
      </c>
      <c r="B95">
        <f>DATA!B95</f>
        <v/>
      </c>
      <c r="C95" s="19">
        <f>L94</f>
        <v/>
      </c>
      <c r="D95" s="19">
        <f>M94</f>
        <v/>
      </c>
      <c r="E95" s="19">
        <f>C95+D95</f>
        <v/>
      </c>
      <c r="F95" s="20">
        <f>DATA!C95</f>
        <v/>
      </c>
      <c r="G95" s="20">
        <f>DATA!G95</f>
        <v/>
      </c>
      <c r="H95" s="19">
        <f>C95*(1+F95)</f>
        <v/>
      </c>
      <c r="I95" s="19">
        <f>D95*(1+G95)</f>
        <v/>
      </c>
      <c r="J95" s="19">
        <f>H95+I95</f>
        <v/>
      </c>
      <c r="K95" s="19">
        <f>IF(AND(CONFIG!$B$11="Annual",MONTH(A95)=7),J95*CONFIG!$B$6/12,K94)</f>
        <v/>
      </c>
      <c r="L95" s="19">
        <f>IF(J95=0,0,H95-K95*H95/J95)</f>
        <v/>
      </c>
      <c r="M95" s="19">
        <f>IF(J95=0,0,I95-K95*I95/J95)</f>
        <v/>
      </c>
      <c r="O95" s="18">
        <f>DATA!A95</f>
        <v/>
      </c>
      <c r="P95">
        <f>DATA!B95</f>
        <v/>
      </c>
      <c r="Q95" s="19">
        <f>Z94</f>
        <v/>
      </c>
      <c r="R95" s="19">
        <f>AA94</f>
        <v/>
      </c>
      <c r="S95" s="19">
        <f>Q95+R95</f>
        <v/>
      </c>
      <c r="T95" s="20">
        <f>DATA!D95</f>
        <v/>
      </c>
      <c r="U95" s="20">
        <f>DATA!G95</f>
        <v/>
      </c>
      <c r="V95" s="19">
        <f>Q95*(1+T95)</f>
        <v/>
      </c>
      <c r="W95" s="19">
        <f>R95*(1+U95)</f>
        <v/>
      </c>
      <c r="X95" s="19">
        <f>V95+W95</f>
        <v/>
      </c>
      <c r="Y95" s="19">
        <f>IF(AND(CONFIG!$B$11="Annual",MONTH(O95)=7),X95*CONFIG!$B$6/12,Y94)</f>
        <v/>
      </c>
      <c r="Z95" s="19">
        <f>IF(X95=0,0,V95-Y95*V95/X95)</f>
        <v/>
      </c>
      <c r="AA95" s="19">
        <f>IF(X95=0,0,W95-Y95*W95/X95)</f>
        <v/>
      </c>
      <c r="AC95" s="18">
        <f>DATA!A95</f>
        <v/>
      </c>
      <c r="AD95">
        <f>DATA!B95</f>
        <v/>
      </c>
      <c r="AE95" s="19">
        <f>AN94</f>
        <v/>
      </c>
      <c r="AF95" s="19">
        <f>AO94</f>
        <v/>
      </c>
      <c r="AG95" s="19">
        <f>AE95+AF95</f>
        <v/>
      </c>
      <c r="AH95" s="20">
        <f>DATA!E95</f>
        <v/>
      </c>
      <c r="AI95" s="20">
        <f>DATA!G95</f>
        <v/>
      </c>
      <c r="AJ95" s="19">
        <f>AE95*(1+AH95)</f>
        <v/>
      </c>
      <c r="AK95" s="19">
        <f>AF95*(1+AI95)</f>
        <v/>
      </c>
      <c r="AL95" s="19">
        <f>AJ95+AK95</f>
        <v/>
      </c>
      <c r="AM95" s="19">
        <f>IF(AND(CONFIG!$B$11="Annual",MONTH(AC95)=7),AL95*CONFIG!$B$6/12,AM94)</f>
        <v/>
      </c>
      <c r="AN95" s="19">
        <f>IF(AL95=0,0,AJ95-AM95*AJ95/AL95)</f>
        <v/>
      </c>
      <c r="AO95" s="19">
        <f>IF(AL95=0,0,AK95-AM95*AK95/AL95)</f>
        <v/>
      </c>
    </row>
    <row r="96">
      <c r="A96" s="18">
        <f>DATA!A96</f>
        <v/>
      </c>
      <c r="B96">
        <f>DATA!B96</f>
        <v/>
      </c>
      <c r="C96" s="19">
        <f>L95</f>
        <v/>
      </c>
      <c r="D96" s="19">
        <f>M95</f>
        <v/>
      </c>
      <c r="E96" s="19">
        <f>C96+D96</f>
        <v/>
      </c>
      <c r="F96" s="20">
        <f>DATA!C96</f>
        <v/>
      </c>
      <c r="G96" s="20">
        <f>DATA!G96</f>
        <v/>
      </c>
      <c r="H96" s="19">
        <f>C96*(1+F96)</f>
        <v/>
      </c>
      <c r="I96" s="19">
        <f>D96*(1+G96)</f>
        <v/>
      </c>
      <c r="J96" s="19">
        <f>H96+I96</f>
        <v/>
      </c>
      <c r="K96" s="19">
        <f>IF(AND(CONFIG!$B$11="Annual",MONTH(A96)=7),J96*CONFIG!$B$6/12,K95)</f>
        <v/>
      </c>
      <c r="L96" s="19">
        <f>IF(J96=0,0,H96-K96*H96/J96)</f>
        <v/>
      </c>
      <c r="M96" s="19">
        <f>IF(J96=0,0,I96-K96*I96/J96)</f>
        <v/>
      </c>
      <c r="O96" s="18">
        <f>DATA!A96</f>
        <v/>
      </c>
      <c r="P96">
        <f>DATA!B96</f>
        <v/>
      </c>
      <c r="Q96" s="19">
        <f>Z95</f>
        <v/>
      </c>
      <c r="R96" s="19">
        <f>AA95</f>
        <v/>
      </c>
      <c r="S96" s="19">
        <f>Q96+R96</f>
        <v/>
      </c>
      <c r="T96" s="20">
        <f>DATA!D96</f>
        <v/>
      </c>
      <c r="U96" s="20">
        <f>DATA!G96</f>
        <v/>
      </c>
      <c r="V96" s="19">
        <f>Q96*(1+T96)</f>
        <v/>
      </c>
      <c r="W96" s="19">
        <f>R96*(1+U96)</f>
        <v/>
      </c>
      <c r="X96" s="19">
        <f>V96+W96</f>
        <v/>
      </c>
      <c r="Y96" s="19">
        <f>IF(AND(CONFIG!$B$11="Annual",MONTH(O96)=7),X96*CONFIG!$B$6/12,Y95)</f>
        <v/>
      </c>
      <c r="Z96" s="19">
        <f>IF(X96=0,0,V96-Y96*V96/X96)</f>
        <v/>
      </c>
      <c r="AA96" s="19">
        <f>IF(X96=0,0,W96-Y96*W96/X96)</f>
        <v/>
      </c>
      <c r="AC96" s="18">
        <f>DATA!A96</f>
        <v/>
      </c>
      <c r="AD96">
        <f>DATA!B96</f>
        <v/>
      </c>
      <c r="AE96" s="19">
        <f>AN95</f>
        <v/>
      </c>
      <c r="AF96" s="19">
        <f>AO95</f>
        <v/>
      </c>
      <c r="AG96" s="19">
        <f>AE96+AF96</f>
        <v/>
      </c>
      <c r="AH96" s="20">
        <f>DATA!E96</f>
        <v/>
      </c>
      <c r="AI96" s="20">
        <f>DATA!G96</f>
        <v/>
      </c>
      <c r="AJ96" s="19">
        <f>AE96*(1+AH96)</f>
        <v/>
      </c>
      <c r="AK96" s="19">
        <f>AF96*(1+AI96)</f>
        <v/>
      </c>
      <c r="AL96" s="19">
        <f>AJ96+AK96</f>
        <v/>
      </c>
      <c r="AM96" s="19">
        <f>IF(AND(CONFIG!$B$11="Annual",MONTH(AC96)=7),AL96*CONFIG!$B$6/12,AM95)</f>
        <v/>
      </c>
      <c r="AN96" s="19">
        <f>IF(AL96=0,0,AJ96-AM96*AJ96/AL96)</f>
        <v/>
      </c>
      <c r="AO96" s="19">
        <f>IF(AL96=0,0,AK96-AM96*AK96/AL96)</f>
        <v/>
      </c>
    </row>
    <row r="97">
      <c r="A97" s="18">
        <f>DATA!A97</f>
        <v/>
      </c>
      <c r="B97">
        <f>DATA!B97</f>
        <v/>
      </c>
      <c r="C97" s="19">
        <f>L96</f>
        <v/>
      </c>
      <c r="D97" s="19">
        <f>M96</f>
        <v/>
      </c>
      <c r="E97" s="19">
        <f>C97+D97</f>
        <v/>
      </c>
      <c r="F97" s="20">
        <f>DATA!C97</f>
        <v/>
      </c>
      <c r="G97" s="20">
        <f>DATA!G97</f>
        <v/>
      </c>
      <c r="H97" s="19">
        <f>C97*(1+F97)</f>
        <v/>
      </c>
      <c r="I97" s="19">
        <f>D97*(1+G97)</f>
        <v/>
      </c>
      <c r="J97" s="19">
        <f>H97+I97</f>
        <v/>
      </c>
      <c r="K97" s="19">
        <f>IF(AND(CONFIG!$B$11="Annual",MONTH(A97)=7),J97*CONFIG!$B$6/12,K96)</f>
        <v/>
      </c>
      <c r="L97" s="19">
        <f>IF(J97=0,0,H97-K97*H97/J97)</f>
        <v/>
      </c>
      <c r="M97" s="19">
        <f>IF(J97=0,0,I97-K97*I97/J97)</f>
        <v/>
      </c>
      <c r="O97" s="18">
        <f>DATA!A97</f>
        <v/>
      </c>
      <c r="P97">
        <f>DATA!B97</f>
        <v/>
      </c>
      <c r="Q97" s="19">
        <f>Z96</f>
        <v/>
      </c>
      <c r="R97" s="19">
        <f>AA96</f>
        <v/>
      </c>
      <c r="S97" s="19">
        <f>Q97+R97</f>
        <v/>
      </c>
      <c r="T97" s="20">
        <f>DATA!D97</f>
        <v/>
      </c>
      <c r="U97" s="20">
        <f>DATA!G97</f>
        <v/>
      </c>
      <c r="V97" s="19">
        <f>Q97*(1+T97)</f>
        <v/>
      </c>
      <c r="W97" s="19">
        <f>R97*(1+U97)</f>
        <v/>
      </c>
      <c r="X97" s="19">
        <f>V97+W97</f>
        <v/>
      </c>
      <c r="Y97" s="19">
        <f>IF(AND(CONFIG!$B$11="Annual",MONTH(O97)=7),X97*CONFIG!$B$6/12,Y96)</f>
        <v/>
      </c>
      <c r="Z97" s="19">
        <f>IF(X97=0,0,V97-Y97*V97/X97)</f>
        <v/>
      </c>
      <c r="AA97" s="19">
        <f>IF(X97=0,0,W97-Y97*W97/X97)</f>
        <v/>
      </c>
      <c r="AC97" s="18">
        <f>DATA!A97</f>
        <v/>
      </c>
      <c r="AD97">
        <f>DATA!B97</f>
        <v/>
      </c>
      <c r="AE97" s="19">
        <f>AN96</f>
        <v/>
      </c>
      <c r="AF97" s="19">
        <f>AO96</f>
        <v/>
      </c>
      <c r="AG97" s="19">
        <f>AE97+AF97</f>
        <v/>
      </c>
      <c r="AH97" s="20">
        <f>DATA!E97</f>
        <v/>
      </c>
      <c r="AI97" s="20">
        <f>DATA!G97</f>
        <v/>
      </c>
      <c r="AJ97" s="19">
        <f>AE97*(1+AH97)</f>
        <v/>
      </c>
      <c r="AK97" s="19">
        <f>AF97*(1+AI97)</f>
        <v/>
      </c>
      <c r="AL97" s="19">
        <f>AJ97+AK97</f>
        <v/>
      </c>
      <c r="AM97" s="19">
        <f>IF(AND(CONFIG!$B$11="Annual",MONTH(AC97)=7),AL97*CONFIG!$B$6/12,AM96)</f>
        <v/>
      </c>
      <c r="AN97" s="19">
        <f>IF(AL97=0,0,AJ97-AM97*AJ97/AL97)</f>
        <v/>
      </c>
      <c r="AO97" s="19">
        <f>IF(AL97=0,0,AK97-AM97*AK97/AL97)</f>
        <v/>
      </c>
    </row>
    <row r="98">
      <c r="A98" s="18">
        <f>DATA!A98</f>
        <v/>
      </c>
      <c r="B98">
        <f>DATA!B98</f>
        <v/>
      </c>
      <c r="C98" s="19">
        <f>L97</f>
        <v/>
      </c>
      <c r="D98" s="19">
        <f>M97</f>
        <v/>
      </c>
      <c r="E98" s="19">
        <f>C98+D98</f>
        <v/>
      </c>
      <c r="F98" s="20">
        <f>DATA!C98</f>
        <v/>
      </c>
      <c r="G98" s="20">
        <f>DATA!G98</f>
        <v/>
      </c>
      <c r="H98" s="19">
        <f>C98*(1+F98)</f>
        <v/>
      </c>
      <c r="I98" s="19">
        <f>D98*(1+G98)</f>
        <v/>
      </c>
      <c r="J98" s="19">
        <f>H98+I98</f>
        <v/>
      </c>
      <c r="K98" s="19">
        <f>IF(AND(CONFIG!$B$11="Annual",MONTH(A98)=7),J98*CONFIG!$B$6/12,K97)</f>
        <v/>
      </c>
      <c r="L98" s="19">
        <f>IF(J98=0,0,H98-K98*H98/J98)</f>
        <v/>
      </c>
      <c r="M98" s="19">
        <f>IF(J98=0,0,I98-K98*I98/J98)</f>
        <v/>
      </c>
      <c r="O98" s="18">
        <f>DATA!A98</f>
        <v/>
      </c>
      <c r="P98">
        <f>DATA!B98</f>
        <v/>
      </c>
      <c r="Q98" s="19">
        <f>Z97</f>
        <v/>
      </c>
      <c r="R98" s="19">
        <f>AA97</f>
        <v/>
      </c>
      <c r="S98" s="19">
        <f>Q98+R98</f>
        <v/>
      </c>
      <c r="T98" s="20">
        <f>DATA!D98</f>
        <v/>
      </c>
      <c r="U98" s="20">
        <f>DATA!G98</f>
        <v/>
      </c>
      <c r="V98" s="19">
        <f>Q98*(1+T98)</f>
        <v/>
      </c>
      <c r="W98" s="19">
        <f>R98*(1+U98)</f>
        <v/>
      </c>
      <c r="X98" s="19">
        <f>V98+W98</f>
        <v/>
      </c>
      <c r="Y98" s="19">
        <f>IF(AND(CONFIG!$B$11="Annual",MONTH(O98)=7),X98*CONFIG!$B$6/12,Y97)</f>
        <v/>
      </c>
      <c r="Z98" s="19">
        <f>IF(X98=0,0,V98-Y98*V98/X98)</f>
        <v/>
      </c>
      <c r="AA98" s="19">
        <f>IF(X98=0,0,W98-Y98*W98/X98)</f>
        <v/>
      </c>
      <c r="AC98" s="18">
        <f>DATA!A98</f>
        <v/>
      </c>
      <c r="AD98">
        <f>DATA!B98</f>
        <v/>
      </c>
      <c r="AE98" s="19">
        <f>AN97</f>
        <v/>
      </c>
      <c r="AF98" s="19">
        <f>AO97</f>
        <v/>
      </c>
      <c r="AG98" s="19">
        <f>AE98+AF98</f>
        <v/>
      </c>
      <c r="AH98" s="20">
        <f>DATA!E98</f>
        <v/>
      </c>
      <c r="AI98" s="20">
        <f>DATA!G98</f>
        <v/>
      </c>
      <c r="AJ98" s="19">
        <f>AE98*(1+AH98)</f>
        <v/>
      </c>
      <c r="AK98" s="19">
        <f>AF98*(1+AI98)</f>
        <v/>
      </c>
      <c r="AL98" s="19">
        <f>AJ98+AK98</f>
        <v/>
      </c>
      <c r="AM98" s="19">
        <f>IF(AND(CONFIG!$B$11="Annual",MONTH(AC98)=7),AL98*CONFIG!$B$6/12,AM97)</f>
        <v/>
      </c>
      <c r="AN98" s="19">
        <f>IF(AL98=0,0,AJ98-AM98*AJ98/AL98)</f>
        <v/>
      </c>
      <c r="AO98" s="19">
        <f>IF(AL98=0,0,AK98-AM98*AK98/AL98)</f>
        <v/>
      </c>
    </row>
    <row r="99">
      <c r="A99" s="18">
        <f>DATA!A99</f>
        <v/>
      </c>
      <c r="B99">
        <f>DATA!B99</f>
        <v/>
      </c>
      <c r="C99" s="19">
        <f>L98</f>
        <v/>
      </c>
      <c r="D99" s="19">
        <f>M98</f>
        <v/>
      </c>
      <c r="E99" s="19">
        <f>C99+D99</f>
        <v/>
      </c>
      <c r="F99" s="20">
        <f>DATA!C99</f>
        <v/>
      </c>
      <c r="G99" s="20">
        <f>DATA!G99</f>
        <v/>
      </c>
      <c r="H99" s="19">
        <f>C99*(1+F99)</f>
        <v/>
      </c>
      <c r="I99" s="19">
        <f>D99*(1+G99)</f>
        <v/>
      </c>
      <c r="J99" s="19">
        <f>H99+I99</f>
        <v/>
      </c>
      <c r="K99" s="19">
        <f>IF(AND(CONFIG!$B$11="Annual",MONTH(A99)=7),J99*CONFIG!$B$6/12,K98)</f>
        <v/>
      </c>
      <c r="L99" s="19">
        <f>IF(J99=0,0,H99-K99*H99/J99)</f>
        <v/>
      </c>
      <c r="M99" s="19">
        <f>IF(J99=0,0,I99-K99*I99/J99)</f>
        <v/>
      </c>
      <c r="O99" s="18">
        <f>DATA!A99</f>
        <v/>
      </c>
      <c r="P99">
        <f>DATA!B99</f>
        <v/>
      </c>
      <c r="Q99" s="19">
        <f>Z98</f>
        <v/>
      </c>
      <c r="R99" s="19">
        <f>AA98</f>
        <v/>
      </c>
      <c r="S99" s="19">
        <f>Q99+R99</f>
        <v/>
      </c>
      <c r="T99" s="20">
        <f>DATA!D99</f>
        <v/>
      </c>
      <c r="U99" s="20">
        <f>DATA!G99</f>
        <v/>
      </c>
      <c r="V99" s="19">
        <f>Q99*(1+T99)</f>
        <v/>
      </c>
      <c r="W99" s="19">
        <f>R99*(1+U99)</f>
        <v/>
      </c>
      <c r="X99" s="19">
        <f>V99+W99</f>
        <v/>
      </c>
      <c r="Y99" s="19">
        <f>IF(AND(CONFIG!$B$11="Annual",MONTH(O99)=7),X99*CONFIG!$B$6/12,Y98)</f>
        <v/>
      </c>
      <c r="Z99" s="19">
        <f>IF(X99=0,0,V99-Y99*V99/X99)</f>
        <v/>
      </c>
      <c r="AA99" s="19">
        <f>IF(X99=0,0,W99-Y99*W99/X99)</f>
        <v/>
      </c>
      <c r="AC99" s="18">
        <f>DATA!A99</f>
        <v/>
      </c>
      <c r="AD99">
        <f>DATA!B99</f>
        <v/>
      </c>
      <c r="AE99" s="19">
        <f>AN98</f>
        <v/>
      </c>
      <c r="AF99" s="19">
        <f>AO98</f>
        <v/>
      </c>
      <c r="AG99" s="19">
        <f>AE99+AF99</f>
        <v/>
      </c>
      <c r="AH99" s="20">
        <f>DATA!E99</f>
        <v/>
      </c>
      <c r="AI99" s="20">
        <f>DATA!G99</f>
        <v/>
      </c>
      <c r="AJ99" s="19">
        <f>AE99*(1+AH99)</f>
        <v/>
      </c>
      <c r="AK99" s="19">
        <f>AF99*(1+AI99)</f>
        <v/>
      </c>
      <c r="AL99" s="19">
        <f>AJ99+AK99</f>
        <v/>
      </c>
      <c r="AM99" s="19">
        <f>IF(AND(CONFIG!$B$11="Annual",MONTH(AC99)=7),AL99*CONFIG!$B$6/12,AM98)</f>
        <v/>
      </c>
      <c r="AN99" s="19">
        <f>IF(AL99=0,0,AJ99-AM99*AJ99/AL99)</f>
        <v/>
      </c>
      <c r="AO99" s="19">
        <f>IF(AL99=0,0,AK99-AM99*AK99/AL99)</f>
        <v/>
      </c>
    </row>
    <row r="100">
      <c r="A100" s="18">
        <f>DATA!A100</f>
        <v/>
      </c>
      <c r="B100">
        <f>DATA!B100</f>
        <v/>
      </c>
      <c r="C100" s="19">
        <f>L99</f>
        <v/>
      </c>
      <c r="D100" s="19">
        <f>M99</f>
        <v/>
      </c>
      <c r="E100" s="19">
        <f>C100+D100</f>
        <v/>
      </c>
      <c r="F100" s="20">
        <f>DATA!C100</f>
        <v/>
      </c>
      <c r="G100" s="20">
        <f>DATA!G100</f>
        <v/>
      </c>
      <c r="H100" s="19">
        <f>C100*(1+F100)</f>
        <v/>
      </c>
      <c r="I100" s="19">
        <f>D100*(1+G100)</f>
        <v/>
      </c>
      <c r="J100" s="19">
        <f>H100+I100</f>
        <v/>
      </c>
      <c r="K100" s="19">
        <f>IF(AND(CONFIG!$B$11="Annual",MONTH(A100)=7),J100*CONFIG!$B$6/12,K99)</f>
        <v/>
      </c>
      <c r="L100" s="19">
        <f>IF(J100=0,0,H100-K100*H100/J100)</f>
        <v/>
      </c>
      <c r="M100" s="19">
        <f>IF(J100=0,0,I100-K100*I100/J100)</f>
        <v/>
      </c>
      <c r="O100" s="18">
        <f>DATA!A100</f>
        <v/>
      </c>
      <c r="P100">
        <f>DATA!B100</f>
        <v/>
      </c>
      <c r="Q100" s="19">
        <f>Z99</f>
        <v/>
      </c>
      <c r="R100" s="19">
        <f>AA99</f>
        <v/>
      </c>
      <c r="S100" s="19">
        <f>Q100+R100</f>
        <v/>
      </c>
      <c r="T100" s="20">
        <f>DATA!D100</f>
        <v/>
      </c>
      <c r="U100" s="20">
        <f>DATA!G100</f>
        <v/>
      </c>
      <c r="V100" s="19">
        <f>Q100*(1+T100)</f>
        <v/>
      </c>
      <c r="W100" s="19">
        <f>R100*(1+U100)</f>
        <v/>
      </c>
      <c r="X100" s="19">
        <f>V100+W100</f>
        <v/>
      </c>
      <c r="Y100" s="19">
        <f>IF(AND(CONFIG!$B$11="Annual",MONTH(O100)=7),X100*CONFIG!$B$6/12,Y99)</f>
        <v/>
      </c>
      <c r="Z100" s="19">
        <f>IF(X100=0,0,V100-Y100*V100/X100)</f>
        <v/>
      </c>
      <c r="AA100" s="19">
        <f>IF(X100=0,0,W100-Y100*W100/X100)</f>
        <v/>
      </c>
      <c r="AC100" s="18">
        <f>DATA!A100</f>
        <v/>
      </c>
      <c r="AD100">
        <f>DATA!B100</f>
        <v/>
      </c>
      <c r="AE100" s="19">
        <f>AN99</f>
        <v/>
      </c>
      <c r="AF100" s="19">
        <f>AO99</f>
        <v/>
      </c>
      <c r="AG100" s="19">
        <f>AE100+AF100</f>
        <v/>
      </c>
      <c r="AH100" s="20">
        <f>DATA!E100</f>
        <v/>
      </c>
      <c r="AI100" s="20">
        <f>DATA!G100</f>
        <v/>
      </c>
      <c r="AJ100" s="19">
        <f>AE100*(1+AH100)</f>
        <v/>
      </c>
      <c r="AK100" s="19">
        <f>AF100*(1+AI100)</f>
        <v/>
      </c>
      <c r="AL100" s="19">
        <f>AJ100+AK100</f>
        <v/>
      </c>
      <c r="AM100" s="19">
        <f>IF(AND(CONFIG!$B$11="Annual",MONTH(AC100)=7),AL100*CONFIG!$B$6/12,AM99)</f>
        <v/>
      </c>
      <c r="AN100" s="19">
        <f>IF(AL100=0,0,AJ100-AM100*AJ100/AL100)</f>
        <v/>
      </c>
      <c r="AO100" s="19">
        <f>IF(AL100=0,0,AK100-AM100*AK100/AL100)</f>
        <v/>
      </c>
    </row>
    <row r="101">
      <c r="A101" s="18">
        <f>DATA!A101</f>
        <v/>
      </c>
      <c r="B101">
        <f>DATA!B101</f>
        <v/>
      </c>
      <c r="C101" s="19">
        <f>L100</f>
        <v/>
      </c>
      <c r="D101" s="19">
        <f>M100</f>
        <v/>
      </c>
      <c r="E101" s="19">
        <f>C101+D101</f>
        <v/>
      </c>
      <c r="F101" s="20">
        <f>DATA!C101</f>
        <v/>
      </c>
      <c r="G101" s="20">
        <f>DATA!G101</f>
        <v/>
      </c>
      <c r="H101" s="19">
        <f>C101*(1+F101)</f>
        <v/>
      </c>
      <c r="I101" s="19">
        <f>D101*(1+G101)</f>
        <v/>
      </c>
      <c r="J101" s="19">
        <f>H101+I101</f>
        <v/>
      </c>
      <c r="K101" s="19">
        <f>IF(AND(CONFIG!$B$11="Annual",MONTH(A101)=7),J101*CONFIG!$B$6/12,K100)</f>
        <v/>
      </c>
      <c r="L101" s="19">
        <f>IF(J101=0,0,H101-K101*H101/J101)</f>
        <v/>
      </c>
      <c r="M101" s="19">
        <f>IF(J101=0,0,I101-K101*I101/J101)</f>
        <v/>
      </c>
      <c r="O101" s="18">
        <f>DATA!A101</f>
        <v/>
      </c>
      <c r="P101">
        <f>DATA!B101</f>
        <v/>
      </c>
      <c r="Q101" s="19">
        <f>Z100</f>
        <v/>
      </c>
      <c r="R101" s="19">
        <f>AA100</f>
        <v/>
      </c>
      <c r="S101" s="19">
        <f>Q101+R101</f>
        <v/>
      </c>
      <c r="T101" s="20">
        <f>DATA!D101</f>
        <v/>
      </c>
      <c r="U101" s="20">
        <f>DATA!G101</f>
        <v/>
      </c>
      <c r="V101" s="19">
        <f>Q101*(1+T101)</f>
        <v/>
      </c>
      <c r="W101" s="19">
        <f>R101*(1+U101)</f>
        <v/>
      </c>
      <c r="X101" s="19">
        <f>V101+W101</f>
        <v/>
      </c>
      <c r="Y101" s="19">
        <f>IF(AND(CONFIG!$B$11="Annual",MONTH(O101)=7),X101*CONFIG!$B$6/12,Y100)</f>
        <v/>
      </c>
      <c r="Z101" s="19">
        <f>IF(X101=0,0,V101-Y101*V101/X101)</f>
        <v/>
      </c>
      <c r="AA101" s="19">
        <f>IF(X101=0,0,W101-Y101*W101/X101)</f>
        <v/>
      </c>
      <c r="AC101" s="18">
        <f>DATA!A101</f>
        <v/>
      </c>
      <c r="AD101">
        <f>DATA!B101</f>
        <v/>
      </c>
      <c r="AE101" s="19">
        <f>AN100</f>
        <v/>
      </c>
      <c r="AF101" s="19">
        <f>AO100</f>
        <v/>
      </c>
      <c r="AG101" s="19">
        <f>AE101+AF101</f>
        <v/>
      </c>
      <c r="AH101" s="20">
        <f>DATA!E101</f>
        <v/>
      </c>
      <c r="AI101" s="20">
        <f>DATA!G101</f>
        <v/>
      </c>
      <c r="AJ101" s="19">
        <f>AE101*(1+AH101)</f>
        <v/>
      </c>
      <c r="AK101" s="19">
        <f>AF101*(1+AI101)</f>
        <v/>
      </c>
      <c r="AL101" s="19">
        <f>AJ101+AK101</f>
        <v/>
      </c>
      <c r="AM101" s="19">
        <f>IF(AND(CONFIG!$B$11="Annual",MONTH(AC101)=7),AL101*CONFIG!$B$6/12,AM100)</f>
        <v/>
      </c>
      <c r="AN101" s="19">
        <f>IF(AL101=0,0,AJ101-AM101*AJ101/AL101)</f>
        <v/>
      </c>
      <c r="AO101" s="19">
        <f>IF(AL101=0,0,AK101-AM101*AK101/AL101)</f>
        <v/>
      </c>
    </row>
    <row r="102">
      <c r="A102" s="18">
        <f>DATA!A102</f>
        <v/>
      </c>
      <c r="B102">
        <f>DATA!B102</f>
        <v/>
      </c>
      <c r="C102" s="19">
        <f>L101</f>
        <v/>
      </c>
      <c r="D102" s="19">
        <f>M101</f>
        <v/>
      </c>
      <c r="E102" s="19">
        <f>C102+D102</f>
        <v/>
      </c>
      <c r="F102" s="20">
        <f>DATA!C102</f>
        <v/>
      </c>
      <c r="G102" s="20">
        <f>DATA!G102</f>
        <v/>
      </c>
      <c r="H102" s="19">
        <f>C102*(1+F102)</f>
        <v/>
      </c>
      <c r="I102" s="19">
        <f>D102*(1+G102)</f>
        <v/>
      </c>
      <c r="J102" s="19">
        <f>H102+I102</f>
        <v/>
      </c>
      <c r="K102" s="19">
        <f>IF(AND(CONFIG!$B$11="Annual",MONTH(A102)=7),J102*CONFIG!$B$6/12,K101)</f>
        <v/>
      </c>
      <c r="L102" s="19">
        <f>IF(J102=0,0,H102-K102*H102/J102)</f>
        <v/>
      </c>
      <c r="M102" s="19">
        <f>IF(J102=0,0,I102-K102*I102/J102)</f>
        <v/>
      </c>
      <c r="O102" s="18">
        <f>DATA!A102</f>
        <v/>
      </c>
      <c r="P102">
        <f>DATA!B102</f>
        <v/>
      </c>
      <c r="Q102" s="19">
        <f>Z101</f>
        <v/>
      </c>
      <c r="R102" s="19">
        <f>AA101</f>
        <v/>
      </c>
      <c r="S102" s="19">
        <f>Q102+R102</f>
        <v/>
      </c>
      <c r="T102" s="20">
        <f>DATA!D102</f>
        <v/>
      </c>
      <c r="U102" s="20">
        <f>DATA!G102</f>
        <v/>
      </c>
      <c r="V102" s="19">
        <f>Q102*(1+T102)</f>
        <v/>
      </c>
      <c r="W102" s="19">
        <f>R102*(1+U102)</f>
        <v/>
      </c>
      <c r="X102" s="19">
        <f>V102+W102</f>
        <v/>
      </c>
      <c r="Y102" s="19">
        <f>IF(AND(CONFIG!$B$11="Annual",MONTH(O102)=7),X102*CONFIG!$B$6/12,Y101)</f>
        <v/>
      </c>
      <c r="Z102" s="19">
        <f>IF(X102=0,0,V102-Y102*V102/X102)</f>
        <v/>
      </c>
      <c r="AA102" s="19">
        <f>IF(X102=0,0,W102-Y102*W102/X102)</f>
        <v/>
      </c>
      <c r="AC102" s="18">
        <f>DATA!A102</f>
        <v/>
      </c>
      <c r="AD102">
        <f>DATA!B102</f>
        <v/>
      </c>
      <c r="AE102" s="19">
        <f>AN101</f>
        <v/>
      </c>
      <c r="AF102" s="19">
        <f>AO101</f>
        <v/>
      </c>
      <c r="AG102" s="19">
        <f>AE102+AF102</f>
        <v/>
      </c>
      <c r="AH102" s="20">
        <f>DATA!E102</f>
        <v/>
      </c>
      <c r="AI102" s="20">
        <f>DATA!G102</f>
        <v/>
      </c>
      <c r="AJ102" s="19">
        <f>AE102*(1+AH102)</f>
        <v/>
      </c>
      <c r="AK102" s="19">
        <f>AF102*(1+AI102)</f>
        <v/>
      </c>
      <c r="AL102" s="19">
        <f>AJ102+AK102</f>
        <v/>
      </c>
      <c r="AM102" s="19">
        <f>IF(AND(CONFIG!$B$11="Annual",MONTH(AC102)=7),AL102*CONFIG!$B$6/12,AM101)</f>
        <v/>
      </c>
      <c r="AN102" s="19">
        <f>IF(AL102=0,0,AJ102-AM102*AJ102/AL102)</f>
        <v/>
      </c>
      <c r="AO102" s="19">
        <f>IF(AL102=0,0,AK102-AM102*AK102/AL102)</f>
        <v/>
      </c>
    </row>
    <row r="103">
      <c r="A103" s="18">
        <f>DATA!A103</f>
        <v/>
      </c>
      <c r="B103">
        <f>DATA!B103</f>
        <v/>
      </c>
      <c r="C103" s="19">
        <f>L102</f>
        <v/>
      </c>
      <c r="D103" s="19">
        <f>M102</f>
        <v/>
      </c>
      <c r="E103" s="19">
        <f>C103+D103</f>
        <v/>
      </c>
      <c r="F103" s="20">
        <f>DATA!C103</f>
        <v/>
      </c>
      <c r="G103" s="20">
        <f>DATA!G103</f>
        <v/>
      </c>
      <c r="H103" s="19">
        <f>C103*(1+F103)</f>
        <v/>
      </c>
      <c r="I103" s="19">
        <f>D103*(1+G103)</f>
        <v/>
      </c>
      <c r="J103" s="19">
        <f>H103+I103</f>
        <v/>
      </c>
      <c r="K103" s="19">
        <f>IF(AND(CONFIG!$B$11="Annual",MONTH(A103)=7),J103*CONFIG!$B$6/12,K102)</f>
        <v/>
      </c>
      <c r="L103" s="19">
        <f>IF(J103=0,0,H103-K103*H103/J103)</f>
        <v/>
      </c>
      <c r="M103" s="19">
        <f>IF(J103=0,0,I103-K103*I103/J103)</f>
        <v/>
      </c>
      <c r="O103" s="18">
        <f>DATA!A103</f>
        <v/>
      </c>
      <c r="P103">
        <f>DATA!B103</f>
        <v/>
      </c>
      <c r="Q103" s="19">
        <f>Z102</f>
        <v/>
      </c>
      <c r="R103" s="19">
        <f>AA102</f>
        <v/>
      </c>
      <c r="S103" s="19">
        <f>Q103+R103</f>
        <v/>
      </c>
      <c r="T103" s="20">
        <f>DATA!D103</f>
        <v/>
      </c>
      <c r="U103" s="20">
        <f>DATA!G103</f>
        <v/>
      </c>
      <c r="V103" s="19">
        <f>Q103*(1+T103)</f>
        <v/>
      </c>
      <c r="W103" s="19">
        <f>R103*(1+U103)</f>
        <v/>
      </c>
      <c r="X103" s="19">
        <f>V103+W103</f>
        <v/>
      </c>
      <c r="Y103" s="19">
        <f>IF(AND(CONFIG!$B$11="Annual",MONTH(O103)=7),X103*CONFIG!$B$6/12,Y102)</f>
        <v/>
      </c>
      <c r="Z103" s="19">
        <f>IF(X103=0,0,V103-Y103*V103/X103)</f>
        <v/>
      </c>
      <c r="AA103" s="19">
        <f>IF(X103=0,0,W103-Y103*W103/X103)</f>
        <v/>
      </c>
      <c r="AC103" s="18">
        <f>DATA!A103</f>
        <v/>
      </c>
      <c r="AD103">
        <f>DATA!B103</f>
        <v/>
      </c>
      <c r="AE103" s="19">
        <f>AN102</f>
        <v/>
      </c>
      <c r="AF103" s="19">
        <f>AO102</f>
        <v/>
      </c>
      <c r="AG103" s="19">
        <f>AE103+AF103</f>
        <v/>
      </c>
      <c r="AH103" s="20">
        <f>DATA!E103</f>
        <v/>
      </c>
      <c r="AI103" s="20">
        <f>DATA!G103</f>
        <v/>
      </c>
      <c r="AJ103" s="19">
        <f>AE103*(1+AH103)</f>
        <v/>
      </c>
      <c r="AK103" s="19">
        <f>AF103*(1+AI103)</f>
        <v/>
      </c>
      <c r="AL103" s="19">
        <f>AJ103+AK103</f>
        <v/>
      </c>
      <c r="AM103" s="19">
        <f>IF(AND(CONFIG!$B$11="Annual",MONTH(AC103)=7),AL103*CONFIG!$B$6/12,AM102)</f>
        <v/>
      </c>
      <c r="AN103" s="19">
        <f>IF(AL103=0,0,AJ103-AM103*AJ103/AL103)</f>
        <v/>
      </c>
      <c r="AO103" s="19">
        <f>IF(AL103=0,0,AK103-AM103*AK103/AL103)</f>
        <v/>
      </c>
    </row>
    <row r="104">
      <c r="A104" s="18">
        <f>DATA!A104</f>
        <v/>
      </c>
      <c r="B104">
        <f>DATA!B104</f>
        <v/>
      </c>
      <c r="C104" s="19">
        <f>L103</f>
        <v/>
      </c>
      <c r="D104" s="19">
        <f>M103</f>
        <v/>
      </c>
      <c r="E104" s="19">
        <f>C104+D104</f>
        <v/>
      </c>
      <c r="F104" s="20">
        <f>DATA!C104</f>
        <v/>
      </c>
      <c r="G104" s="20">
        <f>DATA!G104</f>
        <v/>
      </c>
      <c r="H104" s="19">
        <f>C104*(1+F104)</f>
        <v/>
      </c>
      <c r="I104" s="19">
        <f>D104*(1+G104)</f>
        <v/>
      </c>
      <c r="J104" s="19">
        <f>H104+I104</f>
        <v/>
      </c>
      <c r="K104" s="19">
        <f>IF(AND(CONFIG!$B$11="Annual",MONTH(A104)=7),J104*CONFIG!$B$6/12,K103)</f>
        <v/>
      </c>
      <c r="L104" s="19">
        <f>IF(J104=0,0,H104-K104*H104/J104)</f>
        <v/>
      </c>
      <c r="M104" s="19">
        <f>IF(J104=0,0,I104-K104*I104/J104)</f>
        <v/>
      </c>
      <c r="O104" s="18">
        <f>DATA!A104</f>
        <v/>
      </c>
      <c r="P104">
        <f>DATA!B104</f>
        <v/>
      </c>
      <c r="Q104" s="19">
        <f>Z103</f>
        <v/>
      </c>
      <c r="R104" s="19">
        <f>AA103</f>
        <v/>
      </c>
      <c r="S104" s="19">
        <f>Q104+R104</f>
        <v/>
      </c>
      <c r="T104" s="20">
        <f>DATA!D104</f>
        <v/>
      </c>
      <c r="U104" s="20">
        <f>DATA!G104</f>
        <v/>
      </c>
      <c r="V104" s="19">
        <f>Q104*(1+T104)</f>
        <v/>
      </c>
      <c r="W104" s="19">
        <f>R104*(1+U104)</f>
        <v/>
      </c>
      <c r="X104" s="19">
        <f>V104+W104</f>
        <v/>
      </c>
      <c r="Y104" s="19">
        <f>IF(AND(CONFIG!$B$11="Annual",MONTH(O104)=7),X104*CONFIG!$B$6/12,Y103)</f>
        <v/>
      </c>
      <c r="Z104" s="19">
        <f>IF(X104=0,0,V104-Y104*V104/X104)</f>
        <v/>
      </c>
      <c r="AA104" s="19">
        <f>IF(X104=0,0,W104-Y104*W104/X104)</f>
        <v/>
      </c>
      <c r="AC104" s="18">
        <f>DATA!A104</f>
        <v/>
      </c>
      <c r="AD104">
        <f>DATA!B104</f>
        <v/>
      </c>
      <c r="AE104" s="19">
        <f>AN103</f>
        <v/>
      </c>
      <c r="AF104" s="19">
        <f>AO103</f>
        <v/>
      </c>
      <c r="AG104" s="19">
        <f>AE104+AF104</f>
        <v/>
      </c>
      <c r="AH104" s="20">
        <f>DATA!E104</f>
        <v/>
      </c>
      <c r="AI104" s="20">
        <f>DATA!G104</f>
        <v/>
      </c>
      <c r="AJ104" s="19">
        <f>AE104*(1+AH104)</f>
        <v/>
      </c>
      <c r="AK104" s="19">
        <f>AF104*(1+AI104)</f>
        <v/>
      </c>
      <c r="AL104" s="19">
        <f>AJ104+AK104</f>
        <v/>
      </c>
      <c r="AM104" s="19">
        <f>IF(AND(CONFIG!$B$11="Annual",MONTH(AC104)=7),AL104*CONFIG!$B$6/12,AM103)</f>
        <v/>
      </c>
      <c r="AN104" s="19">
        <f>IF(AL104=0,0,AJ104-AM104*AJ104/AL104)</f>
        <v/>
      </c>
      <c r="AO104" s="19">
        <f>IF(AL104=0,0,AK104-AM104*AK104/AL104)</f>
        <v/>
      </c>
    </row>
    <row r="105">
      <c r="A105" s="18">
        <f>DATA!A105</f>
        <v/>
      </c>
      <c r="B105">
        <f>DATA!B105</f>
        <v/>
      </c>
      <c r="C105" s="19">
        <f>L104</f>
        <v/>
      </c>
      <c r="D105" s="19">
        <f>M104</f>
        <v/>
      </c>
      <c r="E105" s="19">
        <f>C105+D105</f>
        <v/>
      </c>
      <c r="F105" s="20">
        <f>DATA!C105</f>
        <v/>
      </c>
      <c r="G105" s="20">
        <f>DATA!G105</f>
        <v/>
      </c>
      <c r="H105" s="19">
        <f>C105*(1+F105)</f>
        <v/>
      </c>
      <c r="I105" s="19">
        <f>D105*(1+G105)</f>
        <v/>
      </c>
      <c r="J105" s="19">
        <f>H105+I105</f>
        <v/>
      </c>
      <c r="K105" s="19">
        <f>IF(AND(CONFIG!$B$11="Annual",MONTH(A105)=7),J105*CONFIG!$B$6/12,K104)</f>
        <v/>
      </c>
      <c r="L105" s="19">
        <f>IF(J105=0,0,H105-K105*H105/J105)</f>
        <v/>
      </c>
      <c r="M105" s="19">
        <f>IF(J105=0,0,I105-K105*I105/J105)</f>
        <v/>
      </c>
      <c r="O105" s="18">
        <f>DATA!A105</f>
        <v/>
      </c>
      <c r="P105">
        <f>DATA!B105</f>
        <v/>
      </c>
      <c r="Q105" s="19">
        <f>Z104</f>
        <v/>
      </c>
      <c r="R105" s="19">
        <f>AA104</f>
        <v/>
      </c>
      <c r="S105" s="19">
        <f>Q105+R105</f>
        <v/>
      </c>
      <c r="T105" s="20">
        <f>DATA!D105</f>
        <v/>
      </c>
      <c r="U105" s="20">
        <f>DATA!G105</f>
        <v/>
      </c>
      <c r="V105" s="19">
        <f>Q105*(1+T105)</f>
        <v/>
      </c>
      <c r="W105" s="19">
        <f>R105*(1+U105)</f>
        <v/>
      </c>
      <c r="X105" s="19">
        <f>V105+W105</f>
        <v/>
      </c>
      <c r="Y105" s="19">
        <f>IF(AND(CONFIG!$B$11="Annual",MONTH(O105)=7),X105*CONFIG!$B$6/12,Y104)</f>
        <v/>
      </c>
      <c r="Z105" s="19">
        <f>IF(X105=0,0,V105-Y105*V105/X105)</f>
        <v/>
      </c>
      <c r="AA105" s="19">
        <f>IF(X105=0,0,W105-Y105*W105/X105)</f>
        <v/>
      </c>
      <c r="AC105" s="18">
        <f>DATA!A105</f>
        <v/>
      </c>
      <c r="AD105">
        <f>DATA!B105</f>
        <v/>
      </c>
      <c r="AE105" s="19">
        <f>AN104</f>
        <v/>
      </c>
      <c r="AF105" s="19">
        <f>AO104</f>
        <v/>
      </c>
      <c r="AG105" s="19">
        <f>AE105+AF105</f>
        <v/>
      </c>
      <c r="AH105" s="20">
        <f>DATA!E105</f>
        <v/>
      </c>
      <c r="AI105" s="20">
        <f>DATA!G105</f>
        <v/>
      </c>
      <c r="AJ105" s="19">
        <f>AE105*(1+AH105)</f>
        <v/>
      </c>
      <c r="AK105" s="19">
        <f>AF105*(1+AI105)</f>
        <v/>
      </c>
      <c r="AL105" s="19">
        <f>AJ105+AK105</f>
        <v/>
      </c>
      <c r="AM105" s="19">
        <f>IF(AND(CONFIG!$B$11="Annual",MONTH(AC105)=7),AL105*CONFIG!$B$6/12,AM104)</f>
        <v/>
      </c>
      <c r="AN105" s="19">
        <f>IF(AL105=0,0,AJ105-AM105*AJ105/AL105)</f>
        <v/>
      </c>
      <c r="AO105" s="19">
        <f>IF(AL105=0,0,AK105-AM105*AK105/AL105)</f>
        <v/>
      </c>
    </row>
    <row r="106">
      <c r="A106" s="18">
        <f>DATA!A106</f>
        <v/>
      </c>
      <c r="B106">
        <f>DATA!B106</f>
        <v/>
      </c>
      <c r="C106" s="19">
        <f>L105</f>
        <v/>
      </c>
      <c r="D106" s="19">
        <f>M105</f>
        <v/>
      </c>
      <c r="E106" s="19">
        <f>C106+D106</f>
        <v/>
      </c>
      <c r="F106" s="20">
        <f>DATA!C106</f>
        <v/>
      </c>
      <c r="G106" s="20">
        <f>DATA!G106</f>
        <v/>
      </c>
      <c r="H106" s="19">
        <f>C106*(1+F106)</f>
        <v/>
      </c>
      <c r="I106" s="19">
        <f>D106*(1+G106)</f>
        <v/>
      </c>
      <c r="J106" s="19">
        <f>H106+I106</f>
        <v/>
      </c>
      <c r="K106" s="19">
        <f>IF(AND(CONFIG!$B$11="Annual",MONTH(A106)=7),J106*CONFIG!$B$6/12,K105)</f>
        <v/>
      </c>
      <c r="L106" s="19">
        <f>IF(J106=0,0,H106-K106*H106/J106)</f>
        <v/>
      </c>
      <c r="M106" s="19">
        <f>IF(J106=0,0,I106-K106*I106/J106)</f>
        <v/>
      </c>
      <c r="O106" s="18">
        <f>DATA!A106</f>
        <v/>
      </c>
      <c r="P106">
        <f>DATA!B106</f>
        <v/>
      </c>
      <c r="Q106" s="19">
        <f>Z105</f>
        <v/>
      </c>
      <c r="R106" s="19">
        <f>AA105</f>
        <v/>
      </c>
      <c r="S106" s="19">
        <f>Q106+R106</f>
        <v/>
      </c>
      <c r="T106" s="20">
        <f>DATA!D106</f>
        <v/>
      </c>
      <c r="U106" s="20">
        <f>DATA!G106</f>
        <v/>
      </c>
      <c r="V106" s="19">
        <f>Q106*(1+T106)</f>
        <v/>
      </c>
      <c r="W106" s="19">
        <f>R106*(1+U106)</f>
        <v/>
      </c>
      <c r="X106" s="19">
        <f>V106+W106</f>
        <v/>
      </c>
      <c r="Y106" s="19">
        <f>IF(AND(CONFIG!$B$11="Annual",MONTH(O106)=7),X106*CONFIG!$B$6/12,Y105)</f>
        <v/>
      </c>
      <c r="Z106" s="19">
        <f>IF(X106=0,0,V106-Y106*V106/X106)</f>
        <v/>
      </c>
      <c r="AA106" s="19">
        <f>IF(X106=0,0,W106-Y106*W106/X106)</f>
        <v/>
      </c>
      <c r="AC106" s="18">
        <f>DATA!A106</f>
        <v/>
      </c>
      <c r="AD106">
        <f>DATA!B106</f>
        <v/>
      </c>
      <c r="AE106" s="19">
        <f>AN105</f>
        <v/>
      </c>
      <c r="AF106" s="19">
        <f>AO105</f>
        <v/>
      </c>
      <c r="AG106" s="19">
        <f>AE106+AF106</f>
        <v/>
      </c>
      <c r="AH106" s="20">
        <f>DATA!E106</f>
        <v/>
      </c>
      <c r="AI106" s="20">
        <f>DATA!G106</f>
        <v/>
      </c>
      <c r="AJ106" s="19">
        <f>AE106*(1+AH106)</f>
        <v/>
      </c>
      <c r="AK106" s="19">
        <f>AF106*(1+AI106)</f>
        <v/>
      </c>
      <c r="AL106" s="19">
        <f>AJ106+AK106</f>
        <v/>
      </c>
      <c r="AM106" s="19">
        <f>IF(AND(CONFIG!$B$11="Annual",MONTH(AC106)=7),AL106*CONFIG!$B$6/12,AM105)</f>
        <v/>
      </c>
      <c r="AN106" s="19">
        <f>IF(AL106=0,0,AJ106-AM106*AJ106/AL106)</f>
        <v/>
      </c>
      <c r="AO106" s="19">
        <f>IF(AL106=0,0,AK106-AM106*AK106/AL106)</f>
        <v/>
      </c>
    </row>
    <row r="107">
      <c r="A107" s="18">
        <f>DATA!A107</f>
        <v/>
      </c>
      <c r="B107">
        <f>DATA!B107</f>
        <v/>
      </c>
      <c r="C107" s="19">
        <f>L106</f>
        <v/>
      </c>
      <c r="D107" s="19">
        <f>M106</f>
        <v/>
      </c>
      <c r="E107" s="19">
        <f>C107+D107</f>
        <v/>
      </c>
      <c r="F107" s="20">
        <f>DATA!C107</f>
        <v/>
      </c>
      <c r="G107" s="20">
        <f>DATA!G107</f>
        <v/>
      </c>
      <c r="H107" s="19">
        <f>C107*(1+F107)</f>
        <v/>
      </c>
      <c r="I107" s="19">
        <f>D107*(1+G107)</f>
        <v/>
      </c>
      <c r="J107" s="19">
        <f>H107+I107</f>
        <v/>
      </c>
      <c r="K107" s="19">
        <f>IF(AND(CONFIG!$B$11="Annual",MONTH(A107)=7),J107*CONFIG!$B$6/12,K106)</f>
        <v/>
      </c>
      <c r="L107" s="19">
        <f>IF(J107=0,0,H107-K107*H107/J107)</f>
        <v/>
      </c>
      <c r="M107" s="19">
        <f>IF(J107=0,0,I107-K107*I107/J107)</f>
        <v/>
      </c>
      <c r="O107" s="18">
        <f>DATA!A107</f>
        <v/>
      </c>
      <c r="P107">
        <f>DATA!B107</f>
        <v/>
      </c>
      <c r="Q107" s="19">
        <f>Z106</f>
        <v/>
      </c>
      <c r="R107" s="19">
        <f>AA106</f>
        <v/>
      </c>
      <c r="S107" s="19">
        <f>Q107+R107</f>
        <v/>
      </c>
      <c r="T107" s="20">
        <f>DATA!D107</f>
        <v/>
      </c>
      <c r="U107" s="20">
        <f>DATA!G107</f>
        <v/>
      </c>
      <c r="V107" s="19">
        <f>Q107*(1+T107)</f>
        <v/>
      </c>
      <c r="W107" s="19">
        <f>R107*(1+U107)</f>
        <v/>
      </c>
      <c r="X107" s="19">
        <f>V107+W107</f>
        <v/>
      </c>
      <c r="Y107" s="19">
        <f>IF(AND(CONFIG!$B$11="Annual",MONTH(O107)=7),X107*CONFIG!$B$6/12,Y106)</f>
        <v/>
      </c>
      <c r="Z107" s="19">
        <f>IF(X107=0,0,V107-Y107*V107/X107)</f>
        <v/>
      </c>
      <c r="AA107" s="19">
        <f>IF(X107=0,0,W107-Y107*W107/X107)</f>
        <v/>
      </c>
      <c r="AC107" s="18">
        <f>DATA!A107</f>
        <v/>
      </c>
      <c r="AD107">
        <f>DATA!B107</f>
        <v/>
      </c>
      <c r="AE107" s="19">
        <f>AN106</f>
        <v/>
      </c>
      <c r="AF107" s="19">
        <f>AO106</f>
        <v/>
      </c>
      <c r="AG107" s="19">
        <f>AE107+AF107</f>
        <v/>
      </c>
      <c r="AH107" s="20">
        <f>DATA!E107</f>
        <v/>
      </c>
      <c r="AI107" s="20">
        <f>DATA!G107</f>
        <v/>
      </c>
      <c r="AJ107" s="19">
        <f>AE107*(1+AH107)</f>
        <v/>
      </c>
      <c r="AK107" s="19">
        <f>AF107*(1+AI107)</f>
        <v/>
      </c>
      <c r="AL107" s="19">
        <f>AJ107+AK107</f>
        <v/>
      </c>
      <c r="AM107" s="19">
        <f>IF(AND(CONFIG!$B$11="Annual",MONTH(AC107)=7),AL107*CONFIG!$B$6/12,AM106)</f>
        <v/>
      </c>
      <c r="AN107" s="19">
        <f>IF(AL107=0,0,AJ107-AM107*AJ107/AL107)</f>
        <v/>
      </c>
      <c r="AO107" s="19">
        <f>IF(AL107=0,0,AK107-AM107*AK107/AL107)</f>
        <v/>
      </c>
    </row>
    <row r="108">
      <c r="A108" s="18">
        <f>DATA!A108</f>
        <v/>
      </c>
      <c r="B108">
        <f>DATA!B108</f>
        <v/>
      </c>
      <c r="C108" s="19">
        <f>L107</f>
        <v/>
      </c>
      <c r="D108" s="19">
        <f>M107</f>
        <v/>
      </c>
      <c r="E108" s="19">
        <f>C108+D108</f>
        <v/>
      </c>
      <c r="F108" s="20">
        <f>DATA!C108</f>
        <v/>
      </c>
      <c r="G108" s="20">
        <f>DATA!G108</f>
        <v/>
      </c>
      <c r="H108" s="19">
        <f>C108*(1+F108)</f>
        <v/>
      </c>
      <c r="I108" s="19">
        <f>D108*(1+G108)</f>
        <v/>
      </c>
      <c r="J108" s="19">
        <f>H108+I108</f>
        <v/>
      </c>
      <c r="K108" s="19">
        <f>IF(AND(CONFIG!$B$11="Annual",MONTH(A108)=7),J108*CONFIG!$B$6/12,K107)</f>
        <v/>
      </c>
      <c r="L108" s="19">
        <f>IF(J108=0,0,H108-K108*H108/J108)</f>
        <v/>
      </c>
      <c r="M108" s="19">
        <f>IF(J108=0,0,I108-K108*I108/J108)</f>
        <v/>
      </c>
      <c r="O108" s="18">
        <f>DATA!A108</f>
        <v/>
      </c>
      <c r="P108">
        <f>DATA!B108</f>
        <v/>
      </c>
      <c r="Q108" s="19">
        <f>Z107</f>
        <v/>
      </c>
      <c r="R108" s="19">
        <f>AA107</f>
        <v/>
      </c>
      <c r="S108" s="19">
        <f>Q108+R108</f>
        <v/>
      </c>
      <c r="T108" s="20">
        <f>DATA!D108</f>
        <v/>
      </c>
      <c r="U108" s="20">
        <f>DATA!G108</f>
        <v/>
      </c>
      <c r="V108" s="19">
        <f>Q108*(1+T108)</f>
        <v/>
      </c>
      <c r="W108" s="19">
        <f>R108*(1+U108)</f>
        <v/>
      </c>
      <c r="X108" s="19">
        <f>V108+W108</f>
        <v/>
      </c>
      <c r="Y108" s="19">
        <f>IF(AND(CONFIG!$B$11="Annual",MONTH(O108)=7),X108*CONFIG!$B$6/12,Y107)</f>
        <v/>
      </c>
      <c r="Z108" s="19">
        <f>IF(X108=0,0,V108-Y108*V108/X108)</f>
        <v/>
      </c>
      <c r="AA108" s="19">
        <f>IF(X108=0,0,W108-Y108*W108/X108)</f>
        <v/>
      </c>
      <c r="AC108" s="18">
        <f>DATA!A108</f>
        <v/>
      </c>
      <c r="AD108">
        <f>DATA!B108</f>
        <v/>
      </c>
      <c r="AE108" s="19">
        <f>AN107</f>
        <v/>
      </c>
      <c r="AF108" s="19">
        <f>AO107</f>
        <v/>
      </c>
      <c r="AG108" s="19">
        <f>AE108+AF108</f>
        <v/>
      </c>
      <c r="AH108" s="20">
        <f>DATA!E108</f>
        <v/>
      </c>
      <c r="AI108" s="20">
        <f>DATA!G108</f>
        <v/>
      </c>
      <c r="AJ108" s="19">
        <f>AE108*(1+AH108)</f>
        <v/>
      </c>
      <c r="AK108" s="19">
        <f>AF108*(1+AI108)</f>
        <v/>
      </c>
      <c r="AL108" s="19">
        <f>AJ108+AK108</f>
        <v/>
      </c>
      <c r="AM108" s="19">
        <f>IF(AND(CONFIG!$B$11="Annual",MONTH(AC108)=7),AL108*CONFIG!$B$6/12,AM107)</f>
        <v/>
      </c>
      <c r="AN108" s="19">
        <f>IF(AL108=0,0,AJ108-AM108*AJ108/AL108)</f>
        <v/>
      </c>
      <c r="AO108" s="19">
        <f>IF(AL108=0,0,AK108-AM108*AK108/AL108)</f>
        <v/>
      </c>
    </row>
    <row r="109">
      <c r="A109" s="18">
        <f>DATA!A109</f>
        <v/>
      </c>
      <c r="B109">
        <f>DATA!B109</f>
        <v/>
      </c>
      <c r="C109" s="19">
        <f>L108</f>
        <v/>
      </c>
      <c r="D109" s="19">
        <f>M108</f>
        <v/>
      </c>
      <c r="E109" s="19">
        <f>C109+D109</f>
        <v/>
      </c>
      <c r="F109" s="20">
        <f>DATA!C109</f>
        <v/>
      </c>
      <c r="G109" s="20">
        <f>DATA!G109</f>
        <v/>
      </c>
      <c r="H109" s="19">
        <f>C109*(1+F109)</f>
        <v/>
      </c>
      <c r="I109" s="19">
        <f>D109*(1+G109)</f>
        <v/>
      </c>
      <c r="J109" s="19">
        <f>H109+I109</f>
        <v/>
      </c>
      <c r="K109" s="19">
        <f>IF(AND(CONFIG!$B$11="Annual",MONTH(A109)=7),J109*CONFIG!$B$6/12,K108)</f>
        <v/>
      </c>
      <c r="L109" s="19">
        <f>IF(J109=0,0,H109-K109*H109/J109)</f>
        <v/>
      </c>
      <c r="M109" s="19">
        <f>IF(J109=0,0,I109-K109*I109/J109)</f>
        <v/>
      </c>
      <c r="O109" s="18">
        <f>DATA!A109</f>
        <v/>
      </c>
      <c r="P109">
        <f>DATA!B109</f>
        <v/>
      </c>
      <c r="Q109" s="19">
        <f>Z108</f>
        <v/>
      </c>
      <c r="R109" s="19">
        <f>AA108</f>
        <v/>
      </c>
      <c r="S109" s="19">
        <f>Q109+R109</f>
        <v/>
      </c>
      <c r="T109" s="20">
        <f>DATA!D109</f>
        <v/>
      </c>
      <c r="U109" s="20">
        <f>DATA!G109</f>
        <v/>
      </c>
      <c r="V109" s="19">
        <f>Q109*(1+T109)</f>
        <v/>
      </c>
      <c r="W109" s="19">
        <f>R109*(1+U109)</f>
        <v/>
      </c>
      <c r="X109" s="19">
        <f>V109+W109</f>
        <v/>
      </c>
      <c r="Y109" s="19">
        <f>IF(AND(CONFIG!$B$11="Annual",MONTH(O109)=7),X109*CONFIG!$B$6/12,Y108)</f>
        <v/>
      </c>
      <c r="Z109" s="19">
        <f>IF(X109=0,0,V109-Y109*V109/X109)</f>
        <v/>
      </c>
      <c r="AA109" s="19">
        <f>IF(X109=0,0,W109-Y109*W109/X109)</f>
        <v/>
      </c>
      <c r="AC109" s="18">
        <f>DATA!A109</f>
        <v/>
      </c>
      <c r="AD109">
        <f>DATA!B109</f>
        <v/>
      </c>
      <c r="AE109" s="19">
        <f>AN108</f>
        <v/>
      </c>
      <c r="AF109" s="19">
        <f>AO108</f>
        <v/>
      </c>
      <c r="AG109" s="19">
        <f>AE109+AF109</f>
        <v/>
      </c>
      <c r="AH109" s="20">
        <f>DATA!E109</f>
        <v/>
      </c>
      <c r="AI109" s="20">
        <f>DATA!G109</f>
        <v/>
      </c>
      <c r="AJ109" s="19">
        <f>AE109*(1+AH109)</f>
        <v/>
      </c>
      <c r="AK109" s="19">
        <f>AF109*(1+AI109)</f>
        <v/>
      </c>
      <c r="AL109" s="19">
        <f>AJ109+AK109</f>
        <v/>
      </c>
      <c r="AM109" s="19">
        <f>IF(AND(CONFIG!$B$11="Annual",MONTH(AC109)=7),AL109*CONFIG!$B$6/12,AM108)</f>
        <v/>
      </c>
      <c r="AN109" s="19">
        <f>IF(AL109=0,0,AJ109-AM109*AJ109/AL109)</f>
        <v/>
      </c>
      <c r="AO109" s="19">
        <f>IF(AL109=0,0,AK109-AM109*AK109/AL109)</f>
        <v/>
      </c>
    </row>
    <row r="110">
      <c r="A110" s="18">
        <f>DATA!A110</f>
        <v/>
      </c>
      <c r="B110">
        <f>DATA!B110</f>
        <v/>
      </c>
      <c r="C110" s="19">
        <f>L109</f>
        <v/>
      </c>
      <c r="D110" s="19">
        <f>M109</f>
        <v/>
      </c>
      <c r="E110" s="19">
        <f>C110+D110</f>
        <v/>
      </c>
      <c r="F110" s="20">
        <f>DATA!C110</f>
        <v/>
      </c>
      <c r="G110" s="20">
        <f>DATA!G110</f>
        <v/>
      </c>
      <c r="H110" s="19">
        <f>C110*(1+F110)</f>
        <v/>
      </c>
      <c r="I110" s="19">
        <f>D110*(1+G110)</f>
        <v/>
      </c>
      <c r="J110" s="19">
        <f>H110+I110</f>
        <v/>
      </c>
      <c r="K110" s="19">
        <f>IF(AND(CONFIG!$B$11="Annual",MONTH(A110)=7),J110*CONFIG!$B$6/12,K109)</f>
        <v/>
      </c>
      <c r="L110" s="19">
        <f>IF(J110=0,0,H110-K110*H110/J110)</f>
        <v/>
      </c>
      <c r="M110" s="19">
        <f>IF(J110=0,0,I110-K110*I110/J110)</f>
        <v/>
      </c>
      <c r="O110" s="18">
        <f>DATA!A110</f>
        <v/>
      </c>
      <c r="P110">
        <f>DATA!B110</f>
        <v/>
      </c>
      <c r="Q110" s="19">
        <f>Z109</f>
        <v/>
      </c>
      <c r="R110" s="19">
        <f>AA109</f>
        <v/>
      </c>
      <c r="S110" s="19">
        <f>Q110+R110</f>
        <v/>
      </c>
      <c r="T110" s="20">
        <f>DATA!D110</f>
        <v/>
      </c>
      <c r="U110" s="20">
        <f>DATA!G110</f>
        <v/>
      </c>
      <c r="V110" s="19">
        <f>Q110*(1+T110)</f>
        <v/>
      </c>
      <c r="W110" s="19">
        <f>R110*(1+U110)</f>
        <v/>
      </c>
      <c r="X110" s="19">
        <f>V110+W110</f>
        <v/>
      </c>
      <c r="Y110" s="19">
        <f>IF(AND(CONFIG!$B$11="Annual",MONTH(O110)=7),X110*CONFIG!$B$6/12,Y109)</f>
        <v/>
      </c>
      <c r="Z110" s="19">
        <f>IF(X110=0,0,V110-Y110*V110/X110)</f>
        <v/>
      </c>
      <c r="AA110" s="19">
        <f>IF(X110=0,0,W110-Y110*W110/X110)</f>
        <v/>
      </c>
      <c r="AC110" s="18">
        <f>DATA!A110</f>
        <v/>
      </c>
      <c r="AD110">
        <f>DATA!B110</f>
        <v/>
      </c>
      <c r="AE110" s="19">
        <f>AN109</f>
        <v/>
      </c>
      <c r="AF110" s="19">
        <f>AO109</f>
        <v/>
      </c>
      <c r="AG110" s="19">
        <f>AE110+AF110</f>
        <v/>
      </c>
      <c r="AH110" s="20">
        <f>DATA!E110</f>
        <v/>
      </c>
      <c r="AI110" s="20">
        <f>DATA!G110</f>
        <v/>
      </c>
      <c r="AJ110" s="19">
        <f>AE110*(1+AH110)</f>
        <v/>
      </c>
      <c r="AK110" s="19">
        <f>AF110*(1+AI110)</f>
        <v/>
      </c>
      <c r="AL110" s="19">
        <f>AJ110+AK110</f>
        <v/>
      </c>
      <c r="AM110" s="19">
        <f>IF(AND(CONFIG!$B$11="Annual",MONTH(AC110)=7),AL110*CONFIG!$B$6/12,AM109)</f>
        <v/>
      </c>
      <c r="AN110" s="19">
        <f>IF(AL110=0,0,AJ110-AM110*AJ110/AL110)</f>
        <v/>
      </c>
      <c r="AO110" s="19">
        <f>IF(AL110=0,0,AK110-AM110*AK110/AL110)</f>
        <v/>
      </c>
    </row>
    <row r="111">
      <c r="A111" s="18">
        <f>DATA!A111</f>
        <v/>
      </c>
      <c r="B111">
        <f>DATA!B111</f>
        <v/>
      </c>
      <c r="C111" s="19">
        <f>L110</f>
        <v/>
      </c>
      <c r="D111" s="19">
        <f>M110</f>
        <v/>
      </c>
      <c r="E111" s="19">
        <f>C111+D111</f>
        <v/>
      </c>
      <c r="F111" s="20">
        <f>DATA!C111</f>
        <v/>
      </c>
      <c r="G111" s="20">
        <f>DATA!G111</f>
        <v/>
      </c>
      <c r="H111" s="19">
        <f>C111*(1+F111)</f>
        <v/>
      </c>
      <c r="I111" s="19">
        <f>D111*(1+G111)</f>
        <v/>
      </c>
      <c r="J111" s="19">
        <f>H111+I111</f>
        <v/>
      </c>
      <c r="K111" s="19">
        <f>IF(AND(CONFIG!$B$11="Annual",MONTH(A111)=7),J111*CONFIG!$B$6/12,K110)</f>
        <v/>
      </c>
      <c r="L111" s="19">
        <f>IF(J111=0,0,H111-K111*H111/J111)</f>
        <v/>
      </c>
      <c r="M111" s="19">
        <f>IF(J111=0,0,I111-K111*I111/J111)</f>
        <v/>
      </c>
      <c r="O111" s="18">
        <f>DATA!A111</f>
        <v/>
      </c>
      <c r="P111">
        <f>DATA!B111</f>
        <v/>
      </c>
      <c r="Q111" s="19">
        <f>Z110</f>
        <v/>
      </c>
      <c r="R111" s="19">
        <f>AA110</f>
        <v/>
      </c>
      <c r="S111" s="19">
        <f>Q111+R111</f>
        <v/>
      </c>
      <c r="T111" s="20">
        <f>DATA!D111</f>
        <v/>
      </c>
      <c r="U111" s="20">
        <f>DATA!G111</f>
        <v/>
      </c>
      <c r="V111" s="19">
        <f>Q111*(1+T111)</f>
        <v/>
      </c>
      <c r="W111" s="19">
        <f>R111*(1+U111)</f>
        <v/>
      </c>
      <c r="X111" s="19">
        <f>V111+W111</f>
        <v/>
      </c>
      <c r="Y111" s="19">
        <f>IF(AND(CONFIG!$B$11="Annual",MONTH(O111)=7),X111*CONFIG!$B$6/12,Y110)</f>
        <v/>
      </c>
      <c r="Z111" s="19">
        <f>IF(X111=0,0,V111-Y111*V111/X111)</f>
        <v/>
      </c>
      <c r="AA111" s="19">
        <f>IF(X111=0,0,W111-Y111*W111/X111)</f>
        <v/>
      </c>
      <c r="AC111" s="18">
        <f>DATA!A111</f>
        <v/>
      </c>
      <c r="AD111">
        <f>DATA!B111</f>
        <v/>
      </c>
      <c r="AE111" s="19">
        <f>AN110</f>
        <v/>
      </c>
      <c r="AF111" s="19">
        <f>AO110</f>
        <v/>
      </c>
      <c r="AG111" s="19">
        <f>AE111+AF111</f>
        <v/>
      </c>
      <c r="AH111" s="20">
        <f>DATA!E111</f>
        <v/>
      </c>
      <c r="AI111" s="20">
        <f>DATA!G111</f>
        <v/>
      </c>
      <c r="AJ111" s="19">
        <f>AE111*(1+AH111)</f>
        <v/>
      </c>
      <c r="AK111" s="19">
        <f>AF111*(1+AI111)</f>
        <v/>
      </c>
      <c r="AL111" s="19">
        <f>AJ111+AK111</f>
        <v/>
      </c>
      <c r="AM111" s="19">
        <f>IF(AND(CONFIG!$B$11="Annual",MONTH(AC111)=7),AL111*CONFIG!$B$6/12,AM110)</f>
        <v/>
      </c>
      <c r="AN111" s="19">
        <f>IF(AL111=0,0,AJ111-AM111*AJ111/AL111)</f>
        <v/>
      </c>
      <c r="AO111" s="19">
        <f>IF(AL111=0,0,AK111-AM111*AK111/AL111)</f>
        <v/>
      </c>
    </row>
    <row r="112">
      <c r="A112" s="18">
        <f>DATA!A112</f>
        <v/>
      </c>
      <c r="B112">
        <f>DATA!B112</f>
        <v/>
      </c>
      <c r="C112" s="19">
        <f>L111</f>
        <v/>
      </c>
      <c r="D112" s="19">
        <f>M111</f>
        <v/>
      </c>
      <c r="E112" s="19">
        <f>C112+D112</f>
        <v/>
      </c>
      <c r="F112" s="20">
        <f>DATA!C112</f>
        <v/>
      </c>
      <c r="G112" s="20">
        <f>DATA!G112</f>
        <v/>
      </c>
      <c r="H112" s="19">
        <f>C112*(1+F112)</f>
        <v/>
      </c>
      <c r="I112" s="19">
        <f>D112*(1+G112)</f>
        <v/>
      </c>
      <c r="J112" s="19">
        <f>H112+I112</f>
        <v/>
      </c>
      <c r="K112" s="19">
        <f>IF(AND(CONFIG!$B$11="Annual",MONTH(A112)=7),J112*CONFIG!$B$6/12,K111)</f>
        <v/>
      </c>
      <c r="L112" s="19">
        <f>IF(J112=0,0,H112-K112*H112/J112)</f>
        <v/>
      </c>
      <c r="M112" s="19">
        <f>IF(J112=0,0,I112-K112*I112/J112)</f>
        <v/>
      </c>
      <c r="O112" s="18">
        <f>DATA!A112</f>
        <v/>
      </c>
      <c r="P112">
        <f>DATA!B112</f>
        <v/>
      </c>
      <c r="Q112" s="19">
        <f>Z111</f>
        <v/>
      </c>
      <c r="R112" s="19">
        <f>AA111</f>
        <v/>
      </c>
      <c r="S112" s="19">
        <f>Q112+R112</f>
        <v/>
      </c>
      <c r="T112" s="20">
        <f>DATA!D112</f>
        <v/>
      </c>
      <c r="U112" s="20">
        <f>DATA!G112</f>
        <v/>
      </c>
      <c r="V112" s="19">
        <f>Q112*(1+T112)</f>
        <v/>
      </c>
      <c r="W112" s="19">
        <f>R112*(1+U112)</f>
        <v/>
      </c>
      <c r="X112" s="19">
        <f>V112+W112</f>
        <v/>
      </c>
      <c r="Y112" s="19">
        <f>IF(AND(CONFIG!$B$11="Annual",MONTH(O112)=7),X112*CONFIG!$B$6/12,Y111)</f>
        <v/>
      </c>
      <c r="Z112" s="19">
        <f>IF(X112=0,0,V112-Y112*V112/X112)</f>
        <v/>
      </c>
      <c r="AA112" s="19">
        <f>IF(X112=0,0,W112-Y112*W112/X112)</f>
        <v/>
      </c>
      <c r="AC112" s="18">
        <f>DATA!A112</f>
        <v/>
      </c>
      <c r="AD112">
        <f>DATA!B112</f>
        <v/>
      </c>
      <c r="AE112" s="19">
        <f>AN111</f>
        <v/>
      </c>
      <c r="AF112" s="19">
        <f>AO111</f>
        <v/>
      </c>
      <c r="AG112" s="19">
        <f>AE112+AF112</f>
        <v/>
      </c>
      <c r="AH112" s="20">
        <f>DATA!E112</f>
        <v/>
      </c>
      <c r="AI112" s="20">
        <f>DATA!G112</f>
        <v/>
      </c>
      <c r="AJ112" s="19">
        <f>AE112*(1+AH112)</f>
        <v/>
      </c>
      <c r="AK112" s="19">
        <f>AF112*(1+AI112)</f>
        <v/>
      </c>
      <c r="AL112" s="19">
        <f>AJ112+AK112</f>
        <v/>
      </c>
      <c r="AM112" s="19">
        <f>IF(AND(CONFIG!$B$11="Annual",MONTH(AC112)=7),AL112*CONFIG!$B$6/12,AM111)</f>
        <v/>
      </c>
      <c r="AN112" s="19">
        <f>IF(AL112=0,0,AJ112-AM112*AJ112/AL112)</f>
        <v/>
      </c>
      <c r="AO112" s="19">
        <f>IF(AL112=0,0,AK112-AM112*AK112/AL112)</f>
        <v/>
      </c>
    </row>
    <row r="113">
      <c r="A113" s="18">
        <f>DATA!A113</f>
        <v/>
      </c>
      <c r="B113">
        <f>DATA!B113</f>
        <v/>
      </c>
      <c r="C113" s="19">
        <f>L112</f>
        <v/>
      </c>
      <c r="D113" s="19">
        <f>M112</f>
        <v/>
      </c>
      <c r="E113" s="19">
        <f>C113+D113</f>
        <v/>
      </c>
      <c r="F113" s="20">
        <f>DATA!C113</f>
        <v/>
      </c>
      <c r="G113" s="20">
        <f>DATA!G113</f>
        <v/>
      </c>
      <c r="H113" s="19">
        <f>C113*(1+F113)</f>
        <v/>
      </c>
      <c r="I113" s="19">
        <f>D113*(1+G113)</f>
        <v/>
      </c>
      <c r="J113" s="19">
        <f>H113+I113</f>
        <v/>
      </c>
      <c r="K113" s="19">
        <f>IF(AND(CONFIG!$B$11="Annual",MONTH(A113)=7),J113*CONFIG!$B$6/12,K112)</f>
        <v/>
      </c>
      <c r="L113" s="19">
        <f>IF(J113=0,0,H113-K113*H113/J113)</f>
        <v/>
      </c>
      <c r="M113" s="19">
        <f>IF(J113=0,0,I113-K113*I113/J113)</f>
        <v/>
      </c>
      <c r="O113" s="18">
        <f>DATA!A113</f>
        <v/>
      </c>
      <c r="P113">
        <f>DATA!B113</f>
        <v/>
      </c>
      <c r="Q113" s="19">
        <f>Z112</f>
        <v/>
      </c>
      <c r="R113" s="19">
        <f>AA112</f>
        <v/>
      </c>
      <c r="S113" s="19">
        <f>Q113+R113</f>
        <v/>
      </c>
      <c r="T113" s="20">
        <f>DATA!D113</f>
        <v/>
      </c>
      <c r="U113" s="20">
        <f>DATA!G113</f>
        <v/>
      </c>
      <c r="V113" s="19">
        <f>Q113*(1+T113)</f>
        <v/>
      </c>
      <c r="W113" s="19">
        <f>R113*(1+U113)</f>
        <v/>
      </c>
      <c r="X113" s="19">
        <f>V113+W113</f>
        <v/>
      </c>
      <c r="Y113" s="19">
        <f>IF(AND(CONFIG!$B$11="Annual",MONTH(O113)=7),X113*CONFIG!$B$6/12,Y112)</f>
        <v/>
      </c>
      <c r="Z113" s="19">
        <f>IF(X113=0,0,V113-Y113*V113/X113)</f>
        <v/>
      </c>
      <c r="AA113" s="19">
        <f>IF(X113=0,0,W113-Y113*W113/X113)</f>
        <v/>
      </c>
      <c r="AC113" s="18">
        <f>DATA!A113</f>
        <v/>
      </c>
      <c r="AD113">
        <f>DATA!B113</f>
        <v/>
      </c>
      <c r="AE113" s="19">
        <f>AN112</f>
        <v/>
      </c>
      <c r="AF113" s="19">
        <f>AO112</f>
        <v/>
      </c>
      <c r="AG113" s="19">
        <f>AE113+AF113</f>
        <v/>
      </c>
      <c r="AH113" s="20">
        <f>DATA!E113</f>
        <v/>
      </c>
      <c r="AI113" s="20">
        <f>DATA!G113</f>
        <v/>
      </c>
      <c r="AJ113" s="19">
        <f>AE113*(1+AH113)</f>
        <v/>
      </c>
      <c r="AK113" s="19">
        <f>AF113*(1+AI113)</f>
        <v/>
      </c>
      <c r="AL113" s="19">
        <f>AJ113+AK113</f>
        <v/>
      </c>
      <c r="AM113" s="19">
        <f>IF(AND(CONFIG!$B$11="Annual",MONTH(AC113)=7),AL113*CONFIG!$B$6/12,AM112)</f>
        <v/>
      </c>
      <c r="AN113" s="19">
        <f>IF(AL113=0,0,AJ113-AM113*AJ113/AL113)</f>
        <v/>
      </c>
      <c r="AO113" s="19">
        <f>IF(AL113=0,0,AK113-AM113*AK113/AL113)</f>
        <v/>
      </c>
    </row>
    <row r="114">
      <c r="A114" s="18">
        <f>DATA!A114</f>
        <v/>
      </c>
      <c r="B114">
        <f>DATA!B114</f>
        <v/>
      </c>
      <c r="C114" s="19">
        <f>L113</f>
        <v/>
      </c>
      <c r="D114" s="19">
        <f>M113</f>
        <v/>
      </c>
      <c r="E114" s="19">
        <f>C114+D114</f>
        <v/>
      </c>
      <c r="F114" s="20">
        <f>DATA!C114</f>
        <v/>
      </c>
      <c r="G114" s="20">
        <f>DATA!G114</f>
        <v/>
      </c>
      <c r="H114" s="19">
        <f>C114*(1+F114)</f>
        <v/>
      </c>
      <c r="I114" s="19">
        <f>D114*(1+G114)</f>
        <v/>
      </c>
      <c r="J114" s="19">
        <f>H114+I114</f>
        <v/>
      </c>
      <c r="K114" s="19">
        <f>IF(AND(CONFIG!$B$11="Annual",MONTH(A114)=7),J114*CONFIG!$B$6/12,K113)</f>
        <v/>
      </c>
      <c r="L114" s="19">
        <f>IF(J114=0,0,H114-K114*H114/J114)</f>
        <v/>
      </c>
      <c r="M114" s="19">
        <f>IF(J114=0,0,I114-K114*I114/J114)</f>
        <v/>
      </c>
      <c r="O114" s="18">
        <f>DATA!A114</f>
        <v/>
      </c>
      <c r="P114">
        <f>DATA!B114</f>
        <v/>
      </c>
      <c r="Q114" s="19">
        <f>Z113</f>
        <v/>
      </c>
      <c r="R114" s="19">
        <f>AA113</f>
        <v/>
      </c>
      <c r="S114" s="19">
        <f>Q114+R114</f>
        <v/>
      </c>
      <c r="T114" s="20">
        <f>DATA!D114</f>
        <v/>
      </c>
      <c r="U114" s="20">
        <f>DATA!G114</f>
        <v/>
      </c>
      <c r="V114" s="19">
        <f>Q114*(1+T114)</f>
        <v/>
      </c>
      <c r="W114" s="19">
        <f>R114*(1+U114)</f>
        <v/>
      </c>
      <c r="X114" s="19">
        <f>V114+W114</f>
        <v/>
      </c>
      <c r="Y114" s="19">
        <f>IF(AND(CONFIG!$B$11="Annual",MONTH(O114)=7),X114*CONFIG!$B$6/12,Y113)</f>
        <v/>
      </c>
      <c r="Z114" s="19">
        <f>IF(X114=0,0,V114-Y114*V114/X114)</f>
        <v/>
      </c>
      <c r="AA114" s="19">
        <f>IF(X114=0,0,W114-Y114*W114/X114)</f>
        <v/>
      </c>
      <c r="AC114" s="18">
        <f>DATA!A114</f>
        <v/>
      </c>
      <c r="AD114">
        <f>DATA!B114</f>
        <v/>
      </c>
      <c r="AE114" s="19">
        <f>AN113</f>
        <v/>
      </c>
      <c r="AF114" s="19">
        <f>AO113</f>
        <v/>
      </c>
      <c r="AG114" s="19">
        <f>AE114+AF114</f>
        <v/>
      </c>
      <c r="AH114" s="20">
        <f>DATA!E114</f>
        <v/>
      </c>
      <c r="AI114" s="20">
        <f>DATA!G114</f>
        <v/>
      </c>
      <c r="AJ114" s="19">
        <f>AE114*(1+AH114)</f>
        <v/>
      </c>
      <c r="AK114" s="19">
        <f>AF114*(1+AI114)</f>
        <v/>
      </c>
      <c r="AL114" s="19">
        <f>AJ114+AK114</f>
        <v/>
      </c>
      <c r="AM114" s="19">
        <f>IF(AND(CONFIG!$B$11="Annual",MONTH(AC114)=7),AL114*CONFIG!$B$6/12,AM113)</f>
        <v/>
      </c>
      <c r="AN114" s="19">
        <f>IF(AL114=0,0,AJ114-AM114*AJ114/AL114)</f>
        <v/>
      </c>
      <c r="AO114" s="19">
        <f>IF(AL114=0,0,AK114-AM114*AK114/AL114)</f>
        <v/>
      </c>
    </row>
    <row r="115">
      <c r="A115" s="18">
        <f>DATA!A115</f>
        <v/>
      </c>
      <c r="B115">
        <f>DATA!B115</f>
        <v/>
      </c>
      <c r="C115" s="19">
        <f>L114</f>
        <v/>
      </c>
      <c r="D115" s="19">
        <f>M114</f>
        <v/>
      </c>
      <c r="E115" s="19">
        <f>C115+D115</f>
        <v/>
      </c>
      <c r="F115" s="20">
        <f>DATA!C115</f>
        <v/>
      </c>
      <c r="G115" s="20">
        <f>DATA!G115</f>
        <v/>
      </c>
      <c r="H115" s="19">
        <f>C115*(1+F115)</f>
        <v/>
      </c>
      <c r="I115" s="19">
        <f>D115*(1+G115)</f>
        <v/>
      </c>
      <c r="J115" s="19">
        <f>H115+I115</f>
        <v/>
      </c>
      <c r="K115" s="19">
        <f>IF(AND(CONFIG!$B$11="Annual",MONTH(A115)=7),J115*CONFIG!$B$6/12,K114)</f>
        <v/>
      </c>
      <c r="L115" s="19">
        <f>IF(J115=0,0,H115-K115*H115/J115)</f>
        <v/>
      </c>
      <c r="M115" s="19">
        <f>IF(J115=0,0,I115-K115*I115/J115)</f>
        <v/>
      </c>
      <c r="O115" s="18">
        <f>DATA!A115</f>
        <v/>
      </c>
      <c r="P115">
        <f>DATA!B115</f>
        <v/>
      </c>
      <c r="Q115" s="19">
        <f>Z114</f>
        <v/>
      </c>
      <c r="R115" s="19">
        <f>AA114</f>
        <v/>
      </c>
      <c r="S115" s="19">
        <f>Q115+R115</f>
        <v/>
      </c>
      <c r="T115" s="20">
        <f>DATA!D115</f>
        <v/>
      </c>
      <c r="U115" s="20">
        <f>DATA!G115</f>
        <v/>
      </c>
      <c r="V115" s="19">
        <f>Q115*(1+T115)</f>
        <v/>
      </c>
      <c r="W115" s="19">
        <f>R115*(1+U115)</f>
        <v/>
      </c>
      <c r="X115" s="19">
        <f>V115+W115</f>
        <v/>
      </c>
      <c r="Y115" s="19">
        <f>IF(AND(CONFIG!$B$11="Annual",MONTH(O115)=7),X115*CONFIG!$B$6/12,Y114)</f>
        <v/>
      </c>
      <c r="Z115" s="19">
        <f>IF(X115=0,0,V115-Y115*V115/X115)</f>
        <v/>
      </c>
      <c r="AA115" s="19">
        <f>IF(X115=0,0,W115-Y115*W115/X115)</f>
        <v/>
      </c>
      <c r="AC115" s="18">
        <f>DATA!A115</f>
        <v/>
      </c>
      <c r="AD115">
        <f>DATA!B115</f>
        <v/>
      </c>
      <c r="AE115" s="19">
        <f>AN114</f>
        <v/>
      </c>
      <c r="AF115" s="19">
        <f>AO114</f>
        <v/>
      </c>
      <c r="AG115" s="19">
        <f>AE115+AF115</f>
        <v/>
      </c>
      <c r="AH115" s="20">
        <f>DATA!E115</f>
        <v/>
      </c>
      <c r="AI115" s="20">
        <f>DATA!G115</f>
        <v/>
      </c>
      <c r="AJ115" s="19">
        <f>AE115*(1+AH115)</f>
        <v/>
      </c>
      <c r="AK115" s="19">
        <f>AF115*(1+AI115)</f>
        <v/>
      </c>
      <c r="AL115" s="19">
        <f>AJ115+AK115</f>
        <v/>
      </c>
      <c r="AM115" s="19">
        <f>IF(AND(CONFIG!$B$11="Annual",MONTH(AC115)=7),AL115*CONFIG!$B$6/12,AM114)</f>
        <v/>
      </c>
      <c r="AN115" s="19">
        <f>IF(AL115=0,0,AJ115-AM115*AJ115/AL115)</f>
        <v/>
      </c>
      <c r="AO115" s="19">
        <f>IF(AL115=0,0,AK115-AM115*AK115/AL115)</f>
        <v/>
      </c>
    </row>
    <row r="116">
      <c r="A116" s="18">
        <f>DATA!A116</f>
        <v/>
      </c>
      <c r="B116">
        <f>DATA!B116</f>
        <v/>
      </c>
      <c r="C116" s="19">
        <f>L115</f>
        <v/>
      </c>
      <c r="D116" s="19">
        <f>M115</f>
        <v/>
      </c>
      <c r="E116" s="19">
        <f>C116+D116</f>
        <v/>
      </c>
      <c r="F116" s="20">
        <f>DATA!C116</f>
        <v/>
      </c>
      <c r="G116" s="20">
        <f>DATA!G116</f>
        <v/>
      </c>
      <c r="H116" s="19">
        <f>C116*(1+F116)</f>
        <v/>
      </c>
      <c r="I116" s="19">
        <f>D116*(1+G116)</f>
        <v/>
      </c>
      <c r="J116" s="19">
        <f>H116+I116</f>
        <v/>
      </c>
      <c r="K116" s="19">
        <f>IF(AND(CONFIG!$B$11="Annual",MONTH(A116)=7),J116*CONFIG!$B$6/12,K115)</f>
        <v/>
      </c>
      <c r="L116" s="19">
        <f>IF(J116=0,0,H116-K116*H116/J116)</f>
        <v/>
      </c>
      <c r="M116" s="19">
        <f>IF(J116=0,0,I116-K116*I116/J116)</f>
        <v/>
      </c>
      <c r="O116" s="18">
        <f>DATA!A116</f>
        <v/>
      </c>
      <c r="P116">
        <f>DATA!B116</f>
        <v/>
      </c>
      <c r="Q116" s="19">
        <f>Z115</f>
        <v/>
      </c>
      <c r="R116" s="19">
        <f>AA115</f>
        <v/>
      </c>
      <c r="S116" s="19">
        <f>Q116+R116</f>
        <v/>
      </c>
      <c r="T116" s="20">
        <f>DATA!D116</f>
        <v/>
      </c>
      <c r="U116" s="20">
        <f>DATA!G116</f>
        <v/>
      </c>
      <c r="V116" s="19">
        <f>Q116*(1+T116)</f>
        <v/>
      </c>
      <c r="W116" s="19">
        <f>R116*(1+U116)</f>
        <v/>
      </c>
      <c r="X116" s="19">
        <f>V116+W116</f>
        <v/>
      </c>
      <c r="Y116" s="19">
        <f>IF(AND(CONFIG!$B$11="Annual",MONTH(O116)=7),X116*CONFIG!$B$6/12,Y115)</f>
        <v/>
      </c>
      <c r="Z116" s="19">
        <f>IF(X116=0,0,V116-Y116*V116/X116)</f>
        <v/>
      </c>
      <c r="AA116" s="19">
        <f>IF(X116=0,0,W116-Y116*W116/X116)</f>
        <v/>
      </c>
      <c r="AC116" s="18">
        <f>DATA!A116</f>
        <v/>
      </c>
      <c r="AD116">
        <f>DATA!B116</f>
        <v/>
      </c>
      <c r="AE116" s="19">
        <f>AN115</f>
        <v/>
      </c>
      <c r="AF116" s="19">
        <f>AO115</f>
        <v/>
      </c>
      <c r="AG116" s="19">
        <f>AE116+AF116</f>
        <v/>
      </c>
      <c r="AH116" s="20">
        <f>DATA!E116</f>
        <v/>
      </c>
      <c r="AI116" s="20">
        <f>DATA!G116</f>
        <v/>
      </c>
      <c r="AJ116" s="19">
        <f>AE116*(1+AH116)</f>
        <v/>
      </c>
      <c r="AK116" s="19">
        <f>AF116*(1+AI116)</f>
        <v/>
      </c>
      <c r="AL116" s="19">
        <f>AJ116+AK116</f>
        <v/>
      </c>
      <c r="AM116" s="19">
        <f>IF(AND(CONFIG!$B$11="Annual",MONTH(AC116)=7),AL116*CONFIG!$B$6/12,AM115)</f>
        <v/>
      </c>
      <c r="AN116" s="19">
        <f>IF(AL116=0,0,AJ116-AM116*AJ116/AL116)</f>
        <v/>
      </c>
      <c r="AO116" s="19">
        <f>IF(AL116=0,0,AK116-AM116*AK116/AL116)</f>
        <v/>
      </c>
    </row>
    <row r="117">
      <c r="A117" s="18">
        <f>DATA!A117</f>
        <v/>
      </c>
      <c r="B117">
        <f>DATA!B117</f>
        <v/>
      </c>
      <c r="C117" s="19">
        <f>L116</f>
        <v/>
      </c>
      <c r="D117" s="19">
        <f>M116</f>
        <v/>
      </c>
      <c r="E117" s="19">
        <f>C117+D117</f>
        <v/>
      </c>
      <c r="F117" s="20">
        <f>DATA!C117</f>
        <v/>
      </c>
      <c r="G117" s="20">
        <f>DATA!G117</f>
        <v/>
      </c>
      <c r="H117" s="19">
        <f>C117*(1+F117)</f>
        <v/>
      </c>
      <c r="I117" s="19">
        <f>D117*(1+G117)</f>
        <v/>
      </c>
      <c r="J117" s="19">
        <f>H117+I117</f>
        <v/>
      </c>
      <c r="K117" s="19">
        <f>IF(AND(CONFIG!$B$11="Annual",MONTH(A117)=7),J117*CONFIG!$B$6/12,K116)</f>
        <v/>
      </c>
      <c r="L117" s="19">
        <f>IF(J117=0,0,H117-K117*H117/J117)</f>
        <v/>
      </c>
      <c r="M117" s="19">
        <f>IF(J117=0,0,I117-K117*I117/J117)</f>
        <v/>
      </c>
      <c r="O117" s="18">
        <f>DATA!A117</f>
        <v/>
      </c>
      <c r="P117">
        <f>DATA!B117</f>
        <v/>
      </c>
      <c r="Q117" s="19">
        <f>Z116</f>
        <v/>
      </c>
      <c r="R117" s="19">
        <f>AA116</f>
        <v/>
      </c>
      <c r="S117" s="19">
        <f>Q117+R117</f>
        <v/>
      </c>
      <c r="T117" s="20">
        <f>DATA!D117</f>
        <v/>
      </c>
      <c r="U117" s="20">
        <f>DATA!G117</f>
        <v/>
      </c>
      <c r="V117" s="19">
        <f>Q117*(1+T117)</f>
        <v/>
      </c>
      <c r="W117" s="19">
        <f>R117*(1+U117)</f>
        <v/>
      </c>
      <c r="X117" s="19">
        <f>V117+W117</f>
        <v/>
      </c>
      <c r="Y117" s="19">
        <f>IF(AND(CONFIG!$B$11="Annual",MONTH(O117)=7),X117*CONFIG!$B$6/12,Y116)</f>
        <v/>
      </c>
      <c r="Z117" s="19">
        <f>IF(X117=0,0,V117-Y117*V117/X117)</f>
        <v/>
      </c>
      <c r="AA117" s="19">
        <f>IF(X117=0,0,W117-Y117*W117/X117)</f>
        <v/>
      </c>
      <c r="AC117" s="18">
        <f>DATA!A117</f>
        <v/>
      </c>
      <c r="AD117">
        <f>DATA!B117</f>
        <v/>
      </c>
      <c r="AE117" s="19">
        <f>AN116</f>
        <v/>
      </c>
      <c r="AF117" s="19">
        <f>AO116</f>
        <v/>
      </c>
      <c r="AG117" s="19">
        <f>AE117+AF117</f>
        <v/>
      </c>
      <c r="AH117" s="20">
        <f>DATA!E117</f>
        <v/>
      </c>
      <c r="AI117" s="20">
        <f>DATA!G117</f>
        <v/>
      </c>
      <c r="AJ117" s="19">
        <f>AE117*(1+AH117)</f>
        <v/>
      </c>
      <c r="AK117" s="19">
        <f>AF117*(1+AI117)</f>
        <v/>
      </c>
      <c r="AL117" s="19">
        <f>AJ117+AK117</f>
        <v/>
      </c>
      <c r="AM117" s="19">
        <f>IF(AND(CONFIG!$B$11="Annual",MONTH(AC117)=7),AL117*CONFIG!$B$6/12,AM116)</f>
        <v/>
      </c>
      <c r="AN117" s="19">
        <f>IF(AL117=0,0,AJ117-AM117*AJ117/AL117)</f>
        <v/>
      </c>
      <c r="AO117" s="19">
        <f>IF(AL117=0,0,AK117-AM117*AK117/AL117)</f>
        <v/>
      </c>
    </row>
    <row r="118">
      <c r="A118" s="18">
        <f>DATA!A118</f>
        <v/>
      </c>
      <c r="B118">
        <f>DATA!B118</f>
        <v/>
      </c>
      <c r="C118" s="19">
        <f>L117</f>
        <v/>
      </c>
      <c r="D118" s="19">
        <f>M117</f>
        <v/>
      </c>
      <c r="E118" s="19">
        <f>C118+D118</f>
        <v/>
      </c>
      <c r="F118" s="20">
        <f>DATA!C118</f>
        <v/>
      </c>
      <c r="G118" s="20">
        <f>DATA!G118</f>
        <v/>
      </c>
      <c r="H118" s="19">
        <f>C118*(1+F118)</f>
        <v/>
      </c>
      <c r="I118" s="19">
        <f>D118*(1+G118)</f>
        <v/>
      </c>
      <c r="J118" s="19">
        <f>H118+I118</f>
        <v/>
      </c>
      <c r="K118" s="19">
        <f>IF(AND(CONFIG!$B$11="Annual",MONTH(A118)=7),J118*CONFIG!$B$6/12,K117)</f>
        <v/>
      </c>
      <c r="L118" s="19">
        <f>IF(J118=0,0,H118-K118*H118/J118)</f>
        <v/>
      </c>
      <c r="M118" s="19">
        <f>IF(J118=0,0,I118-K118*I118/J118)</f>
        <v/>
      </c>
      <c r="O118" s="18">
        <f>DATA!A118</f>
        <v/>
      </c>
      <c r="P118">
        <f>DATA!B118</f>
        <v/>
      </c>
      <c r="Q118" s="19">
        <f>Z117</f>
        <v/>
      </c>
      <c r="R118" s="19">
        <f>AA117</f>
        <v/>
      </c>
      <c r="S118" s="19">
        <f>Q118+R118</f>
        <v/>
      </c>
      <c r="T118" s="20">
        <f>DATA!D118</f>
        <v/>
      </c>
      <c r="U118" s="20">
        <f>DATA!G118</f>
        <v/>
      </c>
      <c r="V118" s="19">
        <f>Q118*(1+T118)</f>
        <v/>
      </c>
      <c r="W118" s="19">
        <f>R118*(1+U118)</f>
        <v/>
      </c>
      <c r="X118" s="19">
        <f>V118+W118</f>
        <v/>
      </c>
      <c r="Y118" s="19">
        <f>IF(AND(CONFIG!$B$11="Annual",MONTH(O118)=7),X118*CONFIG!$B$6/12,Y117)</f>
        <v/>
      </c>
      <c r="Z118" s="19">
        <f>IF(X118=0,0,V118-Y118*V118/X118)</f>
        <v/>
      </c>
      <c r="AA118" s="19">
        <f>IF(X118=0,0,W118-Y118*W118/X118)</f>
        <v/>
      </c>
      <c r="AC118" s="18">
        <f>DATA!A118</f>
        <v/>
      </c>
      <c r="AD118">
        <f>DATA!B118</f>
        <v/>
      </c>
      <c r="AE118" s="19">
        <f>AN117</f>
        <v/>
      </c>
      <c r="AF118" s="19">
        <f>AO117</f>
        <v/>
      </c>
      <c r="AG118" s="19">
        <f>AE118+AF118</f>
        <v/>
      </c>
      <c r="AH118" s="20">
        <f>DATA!E118</f>
        <v/>
      </c>
      <c r="AI118" s="20">
        <f>DATA!G118</f>
        <v/>
      </c>
      <c r="AJ118" s="19">
        <f>AE118*(1+AH118)</f>
        <v/>
      </c>
      <c r="AK118" s="19">
        <f>AF118*(1+AI118)</f>
        <v/>
      </c>
      <c r="AL118" s="19">
        <f>AJ118+AK118</f>
        <v/>
      </c>
      <c r="AM118" s="19">
        <f>IF(AND(CONFIG!$B$11="Annual",MONTH(AC118)=7),AL118*CONFIG!$B$6/12,AM117)</f>
        <v/>
      </c>
      <c r="AN118" s="19">
        <f>IF(AL118=0,0,AJ118-AM118*AJ118/AL118)</f>
        <v/>
      </c>
      <c r="AO118" s="19">
        <f>IF(AL118=0,0,AK118-AM118*AK118/AL118)</f>
        <v/>
      </c>
    </row>
    <row r="119">
      <c r="A119" s="18">
        <f>DATA!A119</f>
        <v/>
      </c>
      <c r="B119">
        <f>DATA!B119</f>
        <v/>
      </c>
      <c r="C119" s="19">
        <f>L118</f>
        <v/>
      </c>
      <c r="D119" s="19">
        <f>M118</f>
        <v/>
      </c>
      <c r="E119" s="19">
        <f>C119+D119</f>
        <v/>
      </c>
      <c r="F119" s="20">
        <f>DATA!C119</f>
        <v/>
      </c>
      <c r="G119" s="20">
        <f>DATA!G119</f>
        <v/>
      </c>
      <c r="H119" s="19">
        <f>C119*(1+F119)</f>
        <v/>
      </c>
      <c r="I119" s="19">
        <f>D119*(1+G119)</f>
        <v/>
      </c>
      <c r="J119" s="19">
        <f>H119+I119</f>
        <v/>
      </c>
      <c r="K119" s="19">
        <f>IF(AND(CONFIG!$B$11="Annual",MONTH(A119)=7),J119*CONFIG!$B$6/12,K118)</f>
        <v/>
      </c>
      <c r="L119" s="19">
        <f>IF(J119=0,0,H119-K119*H119/J119)</f>
        <v/>
      </c>
      <c r="M119" s="19">
        <f>IF(J119=0,0,I119-K119*I119/J119)</f>
        <v/>
      </c>
      <c r="O119" s="18">
        <f>DATA!A119</f>
        <v/>
      </c>
      <c r="P119">
        <f>DATA!B119</f>
        <v/>
      </c>
      <c r="Q119" s="19">
        <f>Z118</f>
        <v/>
      </c>
      <c r="R119" s="19">
        <f>AA118</f>
        <v/>
      </c>
      <c r="S119" s="19">
        <f>Q119+R119</f>
        <v/>
      </c>
      <c r="T119" s="20">
        <f>DATA!D119</f>
        <v/>
      </c>
      <c r="U119" s="20">
        <f>DATA!G119</f>
        <v/>
      </c>
      <c r="V119" s="19">
        <f>Q119*(1+T119)</f>
        <v/>
      </c>
      <c r="W119" s="19">
        <f>R119*(1+U119)</f>
        <v/>
      </c>
      <c r="X119" s="19">
        <f>V119+W119</f>
        <v/>
      </c>
      <c r="Y119" s="19">
        <f>IF(AND(CONFIG!$B$11="Annual",MONTH(O119)=7),X119*CONFIG!$B$6/12,Y118)</f>
        <v/>
      </c>
      <c r="Z119" s="19">
        <f>IF(X119=0,0,V119-Y119*V119/X119)</f>
        <v/>
      </c>
      <c r="AA119" s="19">
        <f>IF(X119=0,0,W119-Y119*W119/X119)</f>
        <v/>
      </c>
      <c r="AC119" s="18">
        <f>DATA!A119</f>
        <v/>
      </c>
      <c r="AD119">
        <f>DATA!B119</f>
        <v/>
      </c>
      <c r="AE119" s="19">
        <f>AN118</f>
        <v/>
      </c>
      <c r="AF119" s="19">
        <f>AO118</f>
        <v/>
      </c>
      <c r="AG119" s="19">
        <f>AE119+AF119</f>
        <v/>
      </c>
      <c r="AH119" s="20">
        <f>DATA!E119</f>
        <v/>
      </c>
      <c r="AI119" s="20">
        <f>DATA!G119</f>
        <v/>
      </c>
      <c r="AJ119" s="19">
        <f>AE119*(1+AH119)</f>
        <v/>
      </c>
      <c r="AK119" s="19">
        <f>AF119*(1+AI119)</f>
        <v/>
      </c>
      <c r="AL119" s="19">
        <f>AJ119+AK119</f>
        <v/>
      </c>
      <c r="AM119" s="19">
        <f>IF(AND(CONFIG!$B$11="Annual",MONTH(AC119)=7),AL119*CONFIG!$B$6/12,AM118)</f>
        <v/>
      </c>
      <c r="AN119" s="19">
        <f>IF(AL119=0,0,AJ119-AM119*AJ119/AL119)</f>
        <v/>
      </c>
      <c r="AO119" s="19">
        <f>IF(AL119=0,0,AK119-AM119*AK119/AL119)</f>
        <v/>
      </c>
    </row>
    <row r="120">
      <c r="A120" s="18">
        <f>DATA!A120</f>
        <v/>
      </c>
      <c r="B120">
        <f>DATA!B120</f>
        <v/>
      </c>
      <c r="C120" s="19">
        <f>L119</f>
        <v/>
      </c>
      <c r="D120" s="19">
        <f>M119</f>
        <v/>
      </c>
      <c r="E120" s="19">
        <f>C120+D120</f>
        <v/>
      </c>
      <c r="F120" s="20">
        <f>DATA!C120</f>
        <v/>
      </c>
      <c r="G120" s="20">
        <f>DATA!G120</f>
        <v/>
      </c>
      <c r="H120" s="19">
        <f>C120*(1+F120)</f>
        <v/>
      </c>
      <c r="I120" s="19">
        <f>D120*(1+G120)</f>
        <v/>
      </c>
      <c r="J120" s="19">
        <f>H120+I120</f>
        <v/>
      </c>
      <c r="K120" s="19">
        <f>IF(AND(CONFIG!$B$11="Annual",MONTH(A120)=7),J120*CONFIG!$B$6/12,K119)</f>
        <v/>
      </c>
      <c r="L120" s="19">
        <f>IF(J120=0,0,H120-K120*H120/J120)</f>
        <v/>
      </c>
      <c r="M120" s="19">
        <f>IF(J120=0,0,I120-K120*I120/J120)</f>
        <v/>
      </c>
      <c r="O120" s="18">
        <f>DATA!A120</f>
        <v/>
      </c>
      <c r="P120">
        <f>DATA!B120</f>
        <v/>
      </c>
      <c r="Q120" s="19">
        <f>Z119</f>
        <v/>
      </c>
      <c r="R120" s="19">
        <f>AA119</f>
        <v/>
      </c>
      <c r="S120" s="19">
        <f>Q120+R120</f>
        <v/>
      </c>
      <c r="T120" s="20">
        <f>DATA!D120</f>
        <v/>
      </c>
      <c r="U120" s="20">
        <f>DATA!G120</f>
        <v/>
      </c>
      <c r="V120" s="19">
        <f>Q120*(1+T120)</f>
        <v/>
      </c>
      <c r="W120" s="19">
        <f>R120*(1+U120)</f>
        <v/>
      </c>
      <c r="X120" s="19">
        <f>V120+W120</f>
        <v/>
      </c>
      <c r="Y120" s="19">
        <f>IF(AND(CONFIG!$B$11="Annual",MONTH(O120)=7),X120*CONFIG!$B$6/12,Y119)</f>
        <v/>
      </c>
      <c r="Z120" s="19">
        <f>IF(X120=0,0,V120-Y120*V120/X120)</f>
        <v/>
      </c>
      <c r="AA120" s="19">
        <f>IF(X120=0,0,W120-Y120*W120/X120)</f>
        <v/>
      </c>
      <c r="AC120" s="18">
        <f>DATA!A120</f>
        <v/>
      </c>
      <c r="AD120">
        <f>DATA!B120</f>
        <v/>
      </c>
      <c r="AE120" s="19">
        <f>AN119</f>
        <v/>
      </c>
      <c r="AF120" s="19">
        <f>AO119</f>
        <v/>
      </c>
      <c r="AG120" s="19">
        <f>AE120+AF120</f>
        <v/>
      </c>
      <c r="AH120" s="20">
        <f>DATA!E120</f>
        <v/>
      </c>
      <c r="AI120" s="20">
        <f>DATA!G120</f>
        <v/>
      </c>
      <c r="AJ120" s="19">
        <f>AE120*(1+AH120)</f>
        <v/>
      </c>
      <c r="AK120" s="19">
        <f>AF120*(1+AI120)</f>
        <v/>
      </c>
      <c r="AL120" s="19">
        <f>AJ120+AK120</f>
        <v/>
      </c>
      <c r="AM120" s="19">
        <f>IF(AND(CONFIG!$B$11="Annual",MONTH(AC120)=7),AL120*CONFIG!$B$6/12,AM119)</f>
        <v/>
      </c>
      <c r="AN120" s="19">
        <f>IF(AL120=0,0,AJ120-AM120*AJ120/AL120)</f>
        <v/>
      </c>
      <c r="AO120" s="19">
        <f>IF(AL120=0,0,AK120-AM120*AK120/AL120)</f>
        <v/>
      </c>
    </row>
    <row r="121">
      <c r="A121" s="18">
        <f>DATA!A121</f>
        <v/>
      </c>
      <c r="B121">
        <f>DATA!B121</f>
        <v/>
      </c>
      <c r="C121" s="19">
        <f>L120</f>
        <v/>
      </c>
      <c r="D121" s="19">
        <f>M120</f>
        <v/>
      </c>
      <c r="E121" s="19">
        <f>C121+D121</f>
        <v/>
      </c>
      <c r="F121" s="20">
        <f>DATA!C121</f>
        <v/>
      </c>
      <c r="G121" s="20">
        <f>DATA!G121</f>
        <v/>
      </c>
      <c r="H121" s="19">
        <f>C121*(1+F121)</f>
        <v/>
      </c>
      <c r="I121" s="19">
        <f>D121*(1+G121)</f>
        <v/>
      </c>
      <c r="J121" s="19">
        <f>H121+I121</f>
        <v/>
      </c>
      <c r="K121" s="19">
        <f>IF(AND(CONFIG!$B$11="Annual",MONTH(A121)=7),J121*CONFIG!$B$6/12,K120)</f>
        <v/>
      </c>
      <c r="L121" s="19">
        <f>IF(J121=0,0,H121-K121*H121/J121)</f>
        <v/>
      </c>
      <c r="M121" s="19">
        <f>IF(J121=0,0,I121-K121*I121/J121)</f>
        <v/>
      </c>
      <c r="O121" s="18">
        <f>DATA!A121</f>
        <v/>
      </c>
      <c r="P121">
        <f>DATA!B121</f>
        <v/>
      </c>
      <c r="Q121" s="19">
        <f>Z120</f>
        <v/>
      </c>
      <c r="R121" s="19">
        <f>AA120</f>
        <v/>
      </c>
      <c r="S121" s="19">
        <f>Q121+R121</f>
        <v/>
      </c>
      <c r="T121" s="20">
        <f>DATA!D121</f>
        <v/>
      </c>
      <c r="U121" s="20">
        <f>DATA!G121</f>
        <v/>
      </c>
      <c r="V121" s="19">
        <f>Q121*(1+T121)</f>
        <v/>
      </c>
      <c r="W121" s="19">
        <f>R121*(1+U121)</f>
        <v/>
      </c>
      <c r="X121" s="19">
        <f>V121+W121</f>
        <v/>
      </c>
      <c r="Y121" s="19">
        <f>IF(AND(CONFIG!$B$11="Annual",MONTH(O121)=7),X121*CONFIG!$B$6/12,Y120)</f>
        <v/>
      </c>
      <c r="Z121" s="19">
        <f>IF(X121=0,0,V121-Y121*V121/X121)</f>
        <v/>
      </c>
      <c r="AA121" s="19">
        <f>IF(X121=0,0,W121-Y121*W121/X121)</f>
        <v/>
      </c>
      <c r="AC121" s="18">
        <f>DATA!A121</f>
        <v/>
      </c>
      <c r="AD121">
        <f>DATA!B121</f>
        <v/>
      </c>
      <c r="AE121" s="19">
        <f>AN120</f>
        <v/>
      </c>
      <c r="AF121" s="19">
        <f>AO120</f>
        <v/>
      </c>
      <c r="AG121" s="19">
        <f>AE121+AF121</f>
        <v/>
      </c>
      <c r="AH121" s="20">
        <f>DATA!E121</f>
        <v/>
      </c>
      <c r="AI121" s="20">
        <f>DATA!G121</f>
        <v/>
      </c>
      <c r="AJ121" s="19">
        <f>AE121*(1+AH121)</f>
        <v/>
      </c>
      <c r="AK121" s="19">
        <f>AF121*(1+AI121)</f>
        <v/>
      </c>
      <c r="AL121" s="19">
        <f>AJ121+AK121</f>
        <v/>
      </c>
      <c r="AM121" s="19">
        <f>IF(AND(CONFIG!$B$11="Annual",MONTH(AC121)=7),AL121*CONFIG!$B$6/12,AM120)</f>
        <v/>
      </c>
      <c r="AN121" s="19">
        <f>IF(AL121=0,0,AJ121-AM121*AJ121/AL121)</f>
        <v/>
      </c>
      <c r="AO121" s="19">
        <f>IF(AL121=0,0,AK121-AM121*AK121/AL121)</f>
        <v/>
      </c>
    </row>
    <row r="122">
      <c r="A122" s="18">
        <f>DATA!A122</f>
        <v/>
      </c>
      <c r="B122">
        <f>DATA!B122</f>
        <v/>
      </c>
      <c r="C122" s="19">
        <f>L121</f>
        <v/>
      </c>
      <c r="D122" s="19">
        <f>M121</f>
        <v/>
      </c>
      <c r="E122" s="19">
        <f>C122+D122</f>
        <v/>
      </c>
      <c r="F122" s="20">
        <f>DATA!C122</f>
        <v/>
      </c>
      <c r="G122" s="20">
        <f>DATA!G122</f>
        <v/>
      </c>
      <c r="H122" s="19">
        <f>C122*(1+F122)</f>
        <v/>
      </c>
      <c r="I122" s="19">
        <f>D122*(1+G122)</f>
        <v/>
      </c>
      <c r="J122" s="19">
        <f>H122+I122</f>
        <v/>
      </c>
      <c r="K122" s="19">
        <f>IF(AND(CONFIG!$B$11="Annual",MONTH(A122)=7),J122*CONFIG!$B$6/12,K121)</f>
        <v/>
      </c>
      <c r="L122" s="19">
        <f>IF(J122=0,0,H122-K122*H122/J122)</f>
        <v/>
      </c>
      <c r="M122" s="19">
        <f>IF(J122=0,0,I122-K122*I122/J122)</f>
        <v/>
      </c>
      <c r="O122" s="18">
        <f>DATA!A122</f>
        <v/>
      </c>
      <c r="P122">
        <f>DATA!B122</f>
        <v/>
      </c>
      <c r="Q122" s="19">
        <f>Z121</f>
        <v/>
      </c>
      <c r="R122" s="19">
        <f>AA121</f>
        <v/>
      </c>
      <c r="S122" s="19">
        <f>Q122+R122</f>
        <v/>
      </c>
      <c r="T122" s="20">
        <f>DATA!D122</f>
        <v/>
      </c>
      <c r="U122" s="20">
        <f>DATA!G122</f>
        <v/>
      </c>
      <c r="V122" s="19">
        <f>Q122*(1+T122)</f>
        <v/>
      </c>
      <c r="W122" s="19">
        <f>R122*(1+U122)</f>
        <v/>
      </c>
      <c r="X122" s="19">
        <f>V122+W122</f>
        <v/>
      </c>
      <c r="Y122" s="19">
        <f>IF(AND(CONFIG!$B$11="Annual",MONTH(O122)=7),X122*CONFIG!$B$6/12,Y121)</f>
        <v/>
      </c>
      <c r="Z122" s="19">
        <f>IF(X122=0,0,V122-Y122*V122/X122)</f>
        <v/>
      </c>
      <c r="AA122" s="19">
        <f>IF(X122=0,0,W122-Y122*W122/X122)</f>
        <v/>
      </c>
      <c r="AC122" s="18">
        <f>DATA!A122</f>
        <v/>
      </c>
      <c r="AD122">
        <f>DATA!B122</f>
        <v/>
      </c>
      <c r="AE122" s="19">
        <f>AN121</f>
        <v/>
      </c>
      <c r="AF122" s="19">
        <f>AO121</f>
        <v/>
      </c>
      <c r="AG122" s="19">
        <f>AE122+AF122</f>
        <v/>
      </c>
      <c r="AH122" s="20">
        <f>DATA!E122</f>
        <v/>
      </c>
      <c r="AI122" s="20">
        <f>DATA!G122</f>
        <v/>
      </c>
      <c r="AJ122" s="19">
        <f>AE122*(1+AH122)</f>
        <v/>
      </c>
      <c r="AK122" s="19">
        <f>AF122*(1+AI122)</f>
        <v/>
      </c>
      <c r="AL122" s="19">
        <f>AJ122+AK122</f>
        <v/>
      </c>
      <c r="AM122" s="19">
        <f>IF(AND(CONFIG!$B$11="Annual",MONTH(AC122)=7),AL122*CONFIG!$B$6/12,AM121)</f>
        <v/>
      </c>
      <c r="AN122" s="19">
        <f>IF(AL122=0,0,AJ122-AM122*AJ122/AL122)</f>
        <v/>
      </c>
      <c r="AO122" s="19">
        <f>IF(AL122=0,0,AK122-AM122*AK122/AL122)</f>
        <v/>
      </c>
    </row>
    <row r="123">
      <c r="A123" s="18">
        <f>DATA!A123</f>
        <v/>
      </c>
      <c r="B123">
        <f>DATA!B123</f>
        <v/>
      </c>
      <c r="C123" s="19">
        <f>L122</f>
        <v/>
      </c>
      <c r="D123" s="19">
        <f>M122</f>
        <v/>
      </c>
      <c r="E123" s="19">
        <f>C123+D123</f>
        <v/>
      </c>
      <c r="F123" s="20">
        <f>DATA!C123</f>
        <v/>
      </c>
      <c r="G123" s="20">
        <f>DATA!G123</f>
        <v/>
      </c>
      <c r="H123" s="19">
        <f>C123*(1+F123)</f>
        <v/>
      </c>
      <c r="I123" s="19">
        <f>D123*(1+G123)</f>
        <v/>
      </c>
      <c r="J123" s="19">
        <f>H123+I123</f>
        <v/>
      </c>
      <c r="K123" s="19">
        <f>IF(AND(CONFIG!$B$11="Annual",MONTH(A123)=7),J123*CONFIG!$B$6/12,K122)</f>
        <v/>
      </c>
      <c r="L123" s="19">
        <f>IF(J123=0,0,H123-K123*H123/J123)</f>
        <v/>
      </c>
      <c r="M123" s="19">
        <f>IF(J123=0,0,I123-K123*I123/J123)</f>
        <v/>
      </c>
      <c r="O123" s="18">
        <f>DATA!A123</f>
        <v/>
      </c>
      <c r="P123">
        <f>DATA!B123</f>
        <v/>
      </c>
      <c r="Q123" s="19">
        <f>Z122</f>
        <v/>
      </c>
      <c r="R123" s="19">
        <f>AA122</f>
        <v/>
      </c>
      <c r="S123" s="19">
        <f>Q123+R123</f>
        <v/>
      </c>
      <c r="T123" s="20">
        <f>DATA!D123</f>
        <v/>
      </c>
      <c r="U123" s="20">
        <f>DATA!G123</f>
        <v/>
      </c>
      <c r="V123" s="19">
        <f>Q123*(1+T123)</f>
        <v/>
      </c>
      <c r="W123" s="19">
        <f>R123*(1+U123)</f>
        <v/>
      </c>
      <c r="X123" s="19">
        <f>V123+W123</f>
        <v/>
      </c>
      <c r="Y123" s="19">
        <f>IF(AND(CONFIG!$B$11="Annual",MONTH(O123)=7),X123*CONFIG!$B$6/12,Y122)</f>
        <v/>
      </c>
      <c r="Z123" s="19">
        <f>IF(X123=0,0,V123-Y123*V123/X123)</f>
        <v/>
      </c>
      <c r="AA123" s="19">
        <f>IF(X123=0,0,W123-Y123*W123/X123)</f>
        <v/>
      </c>
      <c r="AC123" s="18">
        <f>DATA!A123</f>
        <v/>
      </c>
      <c r="AD123">
        <f>DATA!B123</f>
        <v/>
      </c>
      <c r="AE123" s="19">
        <f>AN122</f>
        <v/>
      </c>
      <c r="AF123" s="19">
        <f>AO122</f>
        <v/>
      </c>
      <c r="AG123" s="19">
        <f>AE123+AF123</f>
        <v/>
      </c>
      <c r="AH123" s="20">
        <f>DATA!E123</f>
        <v/>
      </c>
      <c r="AI123" s="20">
        <f>DATA!G123</f>
        <v/>
      </c>
      <c r="AJ123" s="19">
        <f>AE123*(1+AH123)</f>
        <v/>
      </c>
      <c r="AK123" s="19">
        <f>AF123*(1+AI123)</f>
        <v/>
      </c>
      <c r="AL123" s="19">
        <f>AJ123+AK123</f>
        <v/>
      </c>
      <c r="AM123" s="19">
        <f>IF(AND(CONFIG!$B$11="Annual",MONTH(AC123)=7),AL123*CONFIG!$B$6/12,AM122)</f>
        <v/>
      </c>
      <c r="AN123" s="19">
        <f>IF(AL123=0,0,AJ123-AM123*AJ123/AL123)</f>
        <v/>
      </c>
      <c r="AO123" s="19">
        <f>IF(AL123=0,0,AK123-AM123*AK123/AL123)</f>
        <v/>
      </c>
    </row>
    <row r="124">
      <c r="A124" s="18">
        <f>DATA!A124</f>
        <v/>
      </c>
      <c r="B124">
        <f>DATA!B124</f>
        <v/>
      </c>
      <c r="C124" s="19">
        <f>L123</f>
        <v/>
      </c>
      <c r="D124" s="19">
        <f>M123</f>
        <v/>
      </c>
      <c r="E124" s="19">
        <f>C124+D124</f>
        <v/>
      </c>
      <c r="F124" s="20">
        <f>DATA!C124</f>
        <v/>
      </c>
      <c r="G124" s="20">
        <f>DATA!G124</f>
        <v/>
      </c>
      <c r="H124" s="19">
        <f>C124*(1+F124)</f>
        <v/>
      </c>
      <c r="I124" s="19">
        <f>D124*(1+G124)</f>
        <v/>
      </c>
      <c r="J124" s="19">
        <f>H124+I124</f>
        <v/>
      </c>
      <c r="K124" s="19">
        <f>IF(AND(CONFIG!$B$11="Annual",MONTH(A124)=7),J124*CONFIG!$B$6/12,K123)</f>
        <v/>
      </c>
      <c r="L124" s="19">
        <f>IF(J124=0,0,H124-K124*H124/J124)</f>
        <v/>
      </c>
      <c r="M124" s="19">
        <f>IF(J124=0,0,I124-K124*I124/J124)</f>
        <v/>
      </c>
      <c r="O124" s="18">
        <f>DATA!A124</f>
        <v/>
      </c>
      <c r="P124">
        <f>DATA!B124</f>
        <v/>
      </c>
      <c r="Q124" s="19">
        <f>Z123</f>
        <v/>
      </c>
      <c r="R124" s="19">
        <f>AA123</f>
        <v/>
      </c>
      <c r="S124" s="19">
        <f>Q124+R124</f>
        <v/>
      </c>
      <c r="T124" s="20">
        <f>DATA!D124</f>
        <v/>
      </c>
      <c r="U124" s="20">
        <f>DATA!G124</f>
        <v/>
      </c>
      <c r="V124" s="19">
        <f>Q124*(1+T124)</f>
        <v/>
      </c>
      <c r="W124" s="19">
        <f>R124*(1+U124)</f>
        <v/>
      </c>
      <c r="X124" s="19">
        <f>V124+W124</f>
        <v/>
      </c>
      <c r="Y124" s="19">
        <f>IF(AND(CONFIG!$B$11="Annual",MONTH(O124)=7),X124*CONFIG!$B$6/12,Y123)</f>
        <v/>
      </c>
      <c r="Z124" s="19">
        <f>IF(X124=0,0,V124-Y124*V124/X124)</f>
        <v/>
      </c>
      <c r="AA124" s="19">
        <f>IF(X124=0,0,W124-Y124*W124/X124)</f>
        <v/>
      </c>
      <c r="AC124" s="18">
        <f>DATA!A124</f>
        <v/>
      </c>
      <c r="AD124">
        <f>DATA!B124</f>
        <v/>
      </c>
      <c r="AE124" s="19">
        <f>AN123</f>
        <v/>
      </c>
      <c r="AF124" s="19">
        <f>AO123</f>
        <v/>
      </c>
      <c r="AG124" s="19">
        <f>AE124+AF124</f>
        <v/>
      </c>
      <c r="AH124" s="20">
        <f>DATA!E124</f>
        <v/>
      </c>
      <c r="AI124" s="20">
        <f>DATA!G124</f>
        <v/>
      </c>
      <c r="AJ124" s="19">
        <f>AE124*(1+AH124)</f>
        <v/>
      </c>
      <c r="AK124" s="19">
        <f>AF124*(1+AI124)</f>
        <v/>
      </c>
      <c r="AL124" s="19">
        <f>AJ124+AK124</f>
        <v/>
      </c>
      <c r="AM124" s="19">
        <f>IF(AND(CONFIG!$B$11="Annual",MONTH(AC124)=7),AL124*CONFIG!$B$6/12,AM123)</f>
        <v/>
      </c>
      <c r="AN124" s="19">
        <f>IF(AL124=0,0,AJ124-AM124*AJ124/AL124)</f>
        <v/>
      </c>
      <c r="AO124" s="19">
        <f>IF(AL124=0,0,AK124-AM124*AK124/AL124)</f>
        <v/>
      </c>
    </row>
    <row r="125">
      <c r="A125" s="18">
        <f>DATA!A125</f>
        <v/>
      </c>
      <c r="B125">
        <f>DATA!B125</f>
        <v/>
      </c>
      <c r="C125" s="19">
        <f>L124</f>
        <v/>
      </c>
      <c r="D125" s="19">
        <f>M124</f>
        <v/>
      </c>
      <c r="E125" s="19">
        <f>C125+D125</f>
        <v/>
      </c>
      <c r="F125" s="20">
        <f>DATA!C125</f>
        <v/>
      </c>
      <c r="G125" s="20">
        <f>DATA!G125</f>
        <v/>
      </c>
      <c r="H125" s="19">
        <f>C125*(1+F125)</f>
        <v/>
      </c>
      <c r="I125" s="19">
        <f>D125*(1+G125)</f>
        <v/>
      </c>
      <c r="J125" s="19">
        <f>H125+I125</f>
        <v/>
      </c>
      <c r="K125" s="19">
        <f>IF(AND(CONFIG!$B$11="Annual",MONTH(A125)=7),J125*CONFIG!$B$6/12,K124)</f>
        <v/>
      </c>
      <c r="L125" s="19">
        <f>IF(J125=0,0,H125-K125*H125/J125)</f>
        <v/>
      </c>
      <c r="M125" s="19">
        <f>IF(J125=0,0,I125-K125*I125/J125)</f>
        <v/>
      </c>
      <c r="O125" s="18">
        <f>DATA!A125</f>
        <v/>
      </c>
      <c r="P125">
        <f>DATA!B125</f>
        <v/>
      </c>
      <c r="Q125" s="19">
        <f>Z124</f>
        <v/>
      </c>
      <c r="R125" s="19">
        <f>AA124</f>
        <v/>
      </c>
      <c r="S125" s="19">
        <f>Q125+R125</f>
        <v/>
      </c>
      <c r="T125" s="20">
        <f>DATA!D125</f>
        <v/>
      </c>
      <c r="U125" s="20">
        <f>DATA!G125</f>
        <v/>
      </c>
      <c r="V125" s="19">
        <f>Q125*(1+T125)</f>
        <v/>
      </c>
      <c r="W125" s="19">
        <f>R125*(1+U125)</f>
        <v/>
      </c>
      <c r="X125" s="19">
        <f>V125+W125</f>
        <v/>
      </c>
      <c r="Y125" s="19">
        <f>IF(AND(CONFIG!$B$11="Annual",MONTH(O125)=7),X125*CONFIG!$B$6/12,Y124)</f>
        <v/>
      </c>
      <c r="Z125" s="19">
        <f>IF(X125=0,0,V125-Y125*V125/X125)</f>
        <v/>
      </c>
      <c r="AA125" s="19">
        <f>IF(X125=0,0,W125-Y125*W125/X125)</f>
        <v/>
      </c>
      <c r="AC125" s="18">
        <f>DATA!A125</f>
        <v/>
      </c>
      <c r="AD125">
        <f>DATA!B125</f>
        <v/>
      </c>
      <c r="AE125" s="19">
        <f>AN124</f>
        <v/>
      </c>
      <c r="AF125" s="19">
        <f>AO124</f>
        <v/>
      </c>
      <c r="AG125" s="19">
        <f>AE125+AF125</f>
        <v/>
      </c>
      <c r="AH125" s="20">
        <f>DATA!E125</f>
        <v/>
      </c>
      <c r="AI125" s="20">
        <f>DATA!G125</f>
        <v/>
      </c>
      <c r="AJ125" s="19">
        <f>AE125*(1+AH125)</f>
        <v/>
      </c>
      <c r="AK125" s="19">
        <f>AF125*(1+AI125)</f>
        <v/>
      </c>
      <c r="AL125" s="19">
        <f>AJ125+AK125</f>
        <v/>
      </c>
      <c r="AM125" s="19">
        <f>IF(AND(CONFIG!$B$11="Annual",MONTH(AC125)=7),AL125*CONFIG!$B$6/12,AM124)</f>
        <v/>
      </c>
      <c r="AN125" s="19">
        <f>IF(AL125=0,0,AJ125-AM125*AJ125/AL125)</f>
        <v/>
      </c>
      <c r="AO125" s="19">
        <f>IF(AL125=0,0,AK125-AM125*AK125/AL125)</f>
        <v/>
      </c>
    </row>
    <row r="126">
      <c r="A126" s="18">
        <f>DATA!A126</f>
        <v/>
      </c>
      <c r="B126">
        <f>DATA!B126</f>
        <v/>
      </c>
      <c r="C126" s="19">
        <f>L125</f>
        <v/>
      </c>
      <c r="D126" s="19">
        <f>M125</f>
        <v/>
      </c>
      <c r="E126" s="19">
        <f>C126+D126</f>
        <v/>
      </c>
      <c r="F126" s="20">
        <f>DATA!C126</f>
        <v/>
      </c>
      <c r="G126" s="20">
        <f>DATA!G126</f>
        <v/>
      </c>
      <c r="H126" s="19">
        <f>C126*(1+F126)</f>
        <v/>
      </c>
      <c r="I126" s="19">
        <f>D126*(1+G126)</f>
        <v/>
      </c>
      <c r="J126" s="19">
        <f>H126+I126</f>
        <v/>
      </c>
      <c r="K126" s="19">
        <f>IF(AND(CONFIG!$B$11="Annual",MONTH(A126)=7),J126*CONFIG!$B$6/12,K125)</f>
        <v/>
      </c>
      <c r="L126" s="19">
        <f>IF(J126=0,0,H126-K126*H126/J126)</f>
        <v/>
      </c>
      <c r="M126" s="19">
        <f>IF(J126=0,0,I126-K126*I126/J126)</f>
        <v/>
      </c>
      <c r="O126" s="18">
        <f>DATA!A126</f>
        <v/>
      </c>
      <c r="P126">
        <f>DATA!B126</f>
        <v/>
      </c>
      <c r="Q126" s="19">
        <f>Z125</f>
        <v/>
      </c>
      <c r="R126" s="19">
        <f>AA125</f>
        <v/>
      </c>
      <c r="S126" s="19">
        <f>Q126+R126</f>
        <v/>
      </c>
      <c r="T126" s="20">
        <f>DATA!D126</f>
        <v/>
      </c>
      <c r="U126" s="20">
        <f>DATA!G126</f>
        <v/>
      </c>
      <c r="V126" s="19">
        <f>Q126*(1+T126)</f>
        <v/>
      </c>
      <c r="W126" s="19">
        <f>R126*(1+U126)</f>
        <v/>
      </c>
      <c r="X126" s="19">
        <f>V126+W126</f>
        <v/>
      </c>
      <c r="Y126" s="19">
        <f>IF(AND(CONFIG!$B$11="Annual",MONTH(O126)=7),X126*CONFIG!$B$6/12,Y125)</f>
        <v/>
      </c>
      <c r="Z126" s="19">
        <f>IF(X126=0,0,V126-Y126*V126/X126)</f>
        <v/>
      </c>
      <c r="AA126" s="19">
        <f>IF(X126=0,0,W126-Y126*W126/X126)</f>
        <v/>
      </c>
      <c r="AC126" s="18">
        <f>DATA!A126</f>
        <v/>
      </c>
      <c r="AD126">
        <f>DATA!B126</f>
        <v/>
      </c>
      <c r="AE126" s="19">
        <f>AN125</f>
        <v/>
      </c>
      <c r="AF126" s="19">
        <f>AO125</f>
        <v/>
      </c>
      <c r="AG126" s="19">
        <f>AE126+AF126</f>
        <v/>
      </c>
      <c r="AH126" s="20">
        <f>DATA!E126</f>
        <v/>
      </c>
      <c r="AI126" s="20">
        <f>DATA!G126</f>
        <v/>
      </c>
      <c r="AJ126" s="19">
        <f>AE126*(1+AH126)</f>
        <v/>
      </c>
      <c r="AK126" s="19">
        <f>AF126*(1+AI126)</f>
        <v/>
      </c>
      <c r="AL126" s="19">
        <f>AJ126+AK126</f>
        <v/>
      </c>
      <c r="AM126" s="19">
        <f>IF(AND(CONFIG!$B$11="Annual",MONTH(AC126)=7),AL126*CONFIG!$B$6/12,AM125)</f>
        <v/>
      </c>
      <c r="AN126" s="19">
        <f>IF(AL126=0,0,AJ126-AM126*AJ126/AL126)</f>
        <v/>
      </c>
      <c r="AO126" s="19">
        <f>IF(AL126=0,0,AK126-AM126*AK126/AL126)</f>
        <v/>
      </c>
    </row>
    <row r="127">
      <c r="A127" s="18">
        <f>DATA!A127</f>
        <v/>
      </c>
      <c r="B127">
        <f>DATA!B127</f>
        <v/>
      </c>
      <c r="C127" s="19">
        <f>L126</f>
        <v/>
      </c>
      <c r="D127" s="19">
        <f>M126</f>
        <v/>
      </c>
      <c r="E127" s="19">
        <f>C127+D127</f>
        <v/>
      </c>
      <c r="F127" s="20">
        <f>DATA!C127</f>
        <v/>
      </c>
      <c r="G127" s="20">
        <f>DATA!G127</f>
        <v/>
      </c>
      <c r="H127" s="19">
        <f>C127*(1+F127)</f>
        <v/>
      </c>
      <c r="I127" s="19">
        <f>D127*(1+G127)</f>
        <v/>
      </c>
      <c r="J127" s="19">
        <f>H127+I127</f>
        <v/>
      </c>
      <c r="K127" s="19">
        <f>IF(AND(CONFIG!$B$11="Annual",MONTH(A127)=7),J127*CONFIG!$B$6/12,K126)</f>
        <v/>
      </c>
      <c r="L127" s="19">
        <f>IF(J127=0,0,H127-K127*H127/J127)</f>
        <v/>
      </c>
      <c r="M127" s="19">
        <f>IF(J127=0,0,I127-K127*I127/J127)</f>
        <v/>
      </c>
      <c r="O127" s="18">
        <f>DATA!A127</f>
        <v/>
      </c>
      <c r="P127">
        <f>DATA!B127</f>
        <v/>
      </c>
      <c r="Q127" s="19">
        <f>Z126</f>
        <v/>
      </c>
      <c r="R127" s="19">
        <f>AA126</f>
        <v/>
      </c>
      <c r="S127" s="19">
        <f>Q127+R127</f>
        <v/>
      </c>
      <c r="T127" s="20">
        <f>DATA!D127</f>
        <v/>
      </c>
      <c r="U127" s="20">
        <f>DATA!G127</f>
        <v/>
      </c>
      <c r="V127" s="19">
        <f>Q127*(1+T127)</f>
        <v/>
      </c>
      <c r="W127" s="19">
        <f>R127*(1+U127)</f>
        <v/>
      </c>
      <c r="X127" s="19">
        <f>V127+W127</f>
        <v/>
      </c>
      <c r="Y127" s="19">
        <f>IF(AND(CONFIG!$B$11="Annual",MONTH(O127)=7),X127*CONFIG!$B$6/12,Y126)</f>
        <v/>
      </c>
      <c r="Z127" s="19">
        <f>IF(X127=0,0,V127-Y127*V127/X127)</f>
        <v/>
      </c>
      <c r="AA127" s="19">
        <f>IF(X127=0,0,W127-Y127*W127/X127)</f>
        <v/>
      </c>
      <c r="AC127" s="18">
        <f>DATA!A127</f>
        <v/>
      </c>
      <c r="AD127">
        <f>DATA!B127</f>
        <v/>
      </c>
      <c r="AE127" s="19">
        <f>AN126</f>
        <v/>
      </c>
      <c r="AF127" s="19">
        <f>AO126</f>
        <v/>
      </c>
      <c r="AG127" s="19">
        <f>AE127+AF127</f>
        <v/>
      </c>
      <c r="AH127" s="20">
        <f>DATA!E127</f>
        <v/>
      </c>
      <c r="AI127" s="20">
        <f>DATA!G127</f>
        <v/>
      </c>
      <c r="AJ127" s="19">
        <f>AE127*(1+AH127)</f>
        <v/>
      </c>
      <c r="AK127" s="19">
        <f>AF127*(1+AI127)</f>
        <v/>
      </c>
      <c r="AL127" s="19">
        <f>AJ127+AK127</f>
        <v/>
      </c>
      <c r="AM127" s="19">
        <f>IF(AND(CONFIG!$B$11="Annual",MONTH(AC127)=7),AL127*CONFIG!$B$6/12,AM126)</f>
        <v/>
      </c>
      <c r="AN127" s="19">
        <f>IF(AL127=0,0,AJ127-AM127*AJ127/AL127)</f>
        <v/>
      </c>
      <c r="AO127" s="19">
        <f>IF(AL127=0,0,AK127-AM127*AK127/AL127)</f>
        <v/>
      </c>
    </row>
    <row r="128">
      <c r="A128" s="18">
        <f>DATA!A128</f>
        <v/>
      </c>
      <c r="B128">
        <f>DATA!B128</f>
        <v/>
      </c>
      <c r="C128" s="19">
        <f>L127</f>
        <v/>
      </c>
      <c r="D128" s="19">
        <f>M127</f>
        <v/>
      </c>
      <c r="E128" s="19">
        <f>C128+D128</f>
        <v/>
      </c>
      <c r="F128" s="20">
        <f>DATA!C128</f>
        <v/>
      </c>
      <c r="G128" s="20">
        <f>DATA!G128</f>
        <v/>
      </c>
      <c r="H128" s="19">
        <f>C128*(1+F128)</f>
        <v/>
      </c>
      <c r="I128" s="19">
        <f>D128*(1+G128)</f>
        <v/>
      </c>
      <c r="J128" s="19">
        <f>H128+I128</f>
        <v/>
      </c>
      <c r="K128" s="19">
        <f>IF(AND(CONFIG!$B$11="Annual",MONTH(A128)=7),J128*CONFIG!$B$6/12,K127)</f>
        <v/>
      </c>
      <c r="L128" s="19">
        <f>IF(J128=0,0,H128-K128*H128/J128)</f>
        <v/>
      </c>
      <c r="M128" s="19">
        <f>IF(J128=0,0,I128-K128*I128/J128)</f>
        <v/>
      </c>
      <c r="O128" s="18">
        <f>DATA!A128</f>
        <v/>
      </c>
      <c r="P128">
        <f>DATA!B128</f>
        <v/>
      </c>
      <c r="Q128" s="19">
        <f>Z127</f>
        <v/>
      </c>
      <c r="R128" s="19">
        <f>AA127</f>
        <v/>
      </c>
      <c r="S128" s="19">
        <f>Q128+R128</f>
        <v/>
      </c>
      <c r="T128" s="20">
        <f>DATA!D128</f>
        <v/>
      </c>
      <c r="U128" s="20">
        <f>DATA!G128</f>
        <v/>
      </c>
      <c r="V128" s="19">
        <f>Q128*(1+T128)</f>
        <v/>
      </c>
      <c r="W128" s="19">
        <f>R128*(1+U128)</f>
        <v/>
      </c>
      <c r="X128" s="19">
        <f>V128+W128</f>
        <v/>
      </c>
      <c r="Y128" s="19">
        <f>IF(AND(CONFIG!$B$11="Annual",MONTH(O128)=7),X128*CONFIG!$B$6/12,Y127)</f>
        <v/>
      </c>
      <c r="Z128" s="19">
        <f>IF(X128=0,0,V128-Y128*V128/X128)</f>
        <v/>
      </c>
      <c r="AA128" s="19">
        <f>IF(X128=0,0,W128-Y128*W128/X128)</f>
        <v/>
      </c>
      <c r="AC128" s="18">
        <f>DATA!A128</f>
        <v/>
      </c>
      <c r="AD128">
        <f>DATA!B128</f>
        <v/>
      </c>
      <c r="AE128" s="19">
        <f>AN127</f>
        <v/>
      </c>
      <c r="AF128" s="19">
        <f>AO127</f>
        <v/>
      </c>
      <c r="AG128" s="19">
        <f>AE128+AF128</f>
        <v/>
      </c>
      <c r="AH128" s="20">
        <f>DATA!E128</f>
        <v/>
      </c>
      <c r="AI128" s="20">
        <f>DATA!G128</f>
        <v/>
      </c>
      <c r="AJ128" s="19">
        <f>AE128*(1+AH128)</f>
        <v/>
      </c>
      <c r="AK128" s="19">
        <f>AF128*(1+AI128)</f>
        <v/>
      </c>
      <c r="AL128" s="19">
        <f>AJ128+AK128</f>
        <v/>
      </c>
      <c r="AM128" s="19">
        <f>IF(AND(CONFIG!$B$11="Annual",MONTH(AC128)=7),AL128*CONFIG!$B$6/12,AM127)</f>
        <v/>
      </c>
      <c r="AN128" s="19">
        <f>IF(AL128=0,0,AJ128-AM128*AJ128/AL128)</f>
        <v/>
      </c>
      <c r="AO128" s="19">
        <f>IF(AL128=0,0,AK128-AM128*AK128/AL128)</f>
        <v/>
      </c>
    </row>
    <row r="129">
      <c r="A129" s="18">
        <f>DATA!A129</f>
        <v/>
      </c>
      <c r="B129">
        <f>DATA!B129</f>
        <v/>
      </c>
      <c r="C129" s="19">
        <f>L128</f>
        <v/>
      </c>
      <c r="D129" s="19">
        <f>M128</f>
        <v/>
      </c>
      <c r="E129" s="19">
        <f>C129+D129</f>
        <v/>
      </c>
      <c r="F129" s="20">
        <f>DATA!C129</f>
        <v/>
      </c>
      <c r="G129" s="20">
        <f>DATA!G129</f>
        <v/>
      </c>
      <c r="H129" s="19">
        <f>C129*(1+F129)</f>
        <v/>
      </c>
      <c r="I129" s="19">
        <f>D129*(1+G129)</f>
        <v/>
      </c>
      <c r="J129" s="19">
        <f>H129+I129</f>
        <v/>
      </c>
      <c r="K129" s="19">
        <f>IF(AND(CONFIG!$B$11="Annual",MONTH(A129)=7),J129*CONFIG!$B$6/12,K128)</f>
        <v/>
      </c>
      <c r="L129" s="19">
        <f>IF(J129=0,0,H129-K129*H129/J129)</f>
        <v/>
      </c>
      <c r="M129" s="19">
        <f>IF(J129=0,0,I129-K129*I129/J129)</f>
        <v/>
      </c>
      <c r="O129" s="18">
        <f>DATA!A129</f>
        <v/>
      </c>
      <c r="P129">
        <f>DATA!B129</f>
        <v/>
      </c>
      <c r="Q129" s="19">
        <f>Z128</f>
        <v/>
      </c>
      <c r="R129" s="19">
        <f>AA128</f>
        <v/>
      </c>
      <c r="S129" s="19">
        <f>Q129+R129</f>
        <v/>
      </c>
      <c r="T129" s="20">
        <f>DATA!D129</f>
        <v/>
      </c>
      <c r="U129" s="20">
        <f>DATA!G129</f>
        <v/>
      </c>
      <c r="V129" s="19">
        <f>Q129*(1+T129)</f>
        <v/>
      </c>
      <c r="W129" s="19">
        <f>R129*(1+U129)</f>
        <v/>
      </c>
      <c r="X129" s="19">
        <f>V129+W129</f>
        <v/>
      </c>
      <c r="Y129" s="19">
        <f>IF(AND(CONFIG!$B$11="Annual",MONTH(O129)=7),X129*CONFIG!$B$6/12,Y128)</f>
        <v/>
      </c>
      <c r="Z129" s="19">
        <f>IF(X129=0,0,V129-Y129*V129/X129)</f>
        <v/>
      </c>
      <c r="AA129" s="19">
        <f>IF(X129=0,0,W129-Y129*W129/X129)</f>
        <v/>
      </c>
      <c r="AC129" s="18">
        <f>DATA!A129</f>
        <v/>
      </c>
      <c r="AD129">
        <f>DATA!B129</f>
        <v/>
      </c>
      <c r="AE129" s="19">
        <f>AN128</f>
        <v/>
      </c>
      <c r="AF129" s="19">
        <f>AO128</f>
        <v/>
      </c>
      <c r="AG129" s="19">
        <f>AE129+AF129</f>
        <v/>
      </c>
      <c r="AH129" s="20">
        <f>DATA!E129</f>
        <v/>
      </c>
      <c r="AI129" s="20">
        <f>DATA!G129</f>
        <v/>
      </c>
      <c r="AJ129" s="19">
        <f>AE129*(1+AH129)</f>
        <v/>
      </c>
      <c r="AK129" s="19">
        <f>AF129*(1+AI129)</f>
        <v/>
      </c>
      <c r="AL129" s="19">
        <f>AJ129+AK129</f>
        <v/>
      </c>
      <c r="AM129" s="19">
        <f>IF(AND(CONFIG!$B$11="Annual",MONTH(AC129)=7),AL129*CONFIG!$B$6/12,AM128)</f>
        <v/>
      </c>
      <c r="AN129" s="19">
        <f>IF(AL129=0,0,AJ129-AM129*AJ129/AL129)</f>
        <v/>
      </c>
      <c r="AO129" s="19">
        <f>IF(AL129=0,0,AK129-AM129*AK129/AL129)</f>
        <v/>
      </c>
    </row>
    <row r="130">
      <c r="A130" s="18">
        <f>DATA!A130</f>
        <v/>
      </c>
      <c r="B130">
        <f>DATA!B130</f>
        <v/>
      </c>
      <c r="C130" s="19">
        <f>L129</f>
        <v/>
      </c>
      <c r="D130" s="19">
        <f>M129</f>
        <v/>
      </c>
      <c r="E130" s="19">
        <f>C130+D130</f>
        <v/>
      </c>
      <c r="F130" s="20">
        <f>DATA!C130</f>
        <v/>
      </c>
      <c r="G130" s="20">
        <f>DATA!G130</f>
        <v/>
      </c>
      <c r="H130" s="19">
        <f>C130*(1+F130)</f>
        <v/>
      </c>
      <c r="I130" s="19">
        <f>D130*(1+G130)</f>
        <v/>
      </c>
      <c r="J130" s="19">
        <f>H130+I130</f>
        <v/>
      </c>
      <c r="K130" s="19">
        <f>IF(AND(CONFIG!$B$11="Annual",MONTH(A130)=7),J130*CONFIG!$B$6/12,K129)</f>
        <v/>
      </c>
      <c r="L130" s="19">
        <f>IF(J130=0,0,H130-K130*H130/J130)</f>
        <v/>
      </c>
      <c r="M130" s="19">
        <f>IF(J130=0,0,I130-K130*I130/J130)</f>
        <v/>
      </c>
      <c r="O130" s="18">
        <f>DATA!A130</f>
        <v/>
      </c>
      <c r="P130">
        <f>DATA!B130</f>
        <v/>
      </c>
      <c r="Q130" s="19">
        <f>Z129</f>
        <v/>
      </c>
      <c r="R130" s="19">
        <f>AA129</f>
        <v/>
      </c>
      <c r="S130" s="19">
        <f>Q130+R130</f>
        <v/>
      </c>
      <c r="T130" s="20">
        <f>DATA!D130</f>
        <v/>
      </c>
      <c r="U130" s="20">
        <f>DATA!G130</f>
        <v/>
      </c>
      <c r="V130" s="19">
        <f>Q130*(1+T130)</f>
        <v/>
      </c>
      <c r="W130" s="19">
        <f>R130*(1+U130)</f>
        <v/>
      </c>
      <c r="X130" s="19">
        <f>V130+W130</f>
        <v/>
      </c>
      <c r="Y130" s="19">
        <f>IF(AND(CONFIG!$B$11="Annual",MONTH(O130)=7),X130*CONFIG!$B$6/12,Y129)</f>
        <v/>
      </c>
      <c r="Z130" s="19">
        <f>IF(X130=0,0,V130-Y130*V130/X130)</f>
        <v/>
      </c>
      <c r="AA130" s="19">
        <f>IF(X130=0,0,W130-Y130*W130/X130)</f>
        <v/>
      </c>
      <c r="AC130" s="18">
        <f>DATA!A130</f>
        <v/>
      </c>
      <c r="AD130">
        <f>DATA!B130</f>
        <v/>
      </c>
      <c r="AE130" s="19">
        <f>AN129</f>
        <v/>
      </c>
      <c r="AF130" s="19">
        <f>AO129</f>
        <v/>
      </c>
      <c r="AG130" s="19">
        <f>AE130+AF130</f>
        <v/>
      </c>
      <c r="AH130" s="20">
        <f>DATA!E130</f>
        <v/>
      </c>
      <c r="AI130" s="20">
        <f>DATA!G130</f>
        <v/>
      </c>
      <c r="AJ130" s="19">
        <f>AE130*(1+AH130)</f>
        <v/>
      </c>
      <c r="AK130" s="19">
        <f>AF130*(1+AI130)</f>
        <v/>
      </c>
      <c r="AL130" s="19">
        <f>AJ130+AK130</f>
        <v/>
      </c>
      <c r="AM130" s="19">
        <f>IF(AND(CONFIG!$B$11="Annual",MONTH(AC130)=7),AL130*CONFIG!$B$6/12,AM129)</f>
        <v/>
      </c>
      <c r="AN130" s="19">
        <f>IF(AL130=0,0,AJ130-AM130*AJ130/AL130)</f>
        <v/>
      </c>
      <c r="AO130" s="19">
        <f>IF(AL130=0,0,AK130-AM130*AK130/AL130)</f>
        <v/>
      </c>
    </row>
    <row r="131">
      <c r="A131" s="18">
        <f>DATA!A131</f>
        <v/>
      </c>
      <c r="B131">
        <f>DATA!B131</f>
        <v/>
      </c>
      <c r="C131" s="19">
        <f>L130</f>
        <v/>
      </c>
      <c r="D131" s="19">
        <f>M130</f>
        <v/>
      </c>
      <c r="E131" s="19">
        <f>C131+D131</f>
        <v/>
      </c>
      <c r="F131" s="20">
        <f>DATA!C131</f>
        <v/>
      </c>
      <c r="G131" s="20">
        <f>DATA!G131</f>
        <v/>
      </c>
      <c r="H131" s="19">
        <f>C131*(1+F131)</f>
        <v/>
      </c>
      <c r="I131" s="19">
        <f>D131*(1+G131)</f>
        <v/>
      </c>
      <c r="J131" s="19">
        <f>H131+I131</f>
        <v/>
      </c>
      <c r="K131" s="19">
        <f>IF(AND(CONFIG!$B$11="Annual",MONTH(A131)=7),J131*CONFIG!$B$6/12,K130)</f>
        <v/>
      </c>
      <c r="L131" s="19">
        <f>IF(J131=0,0,H131-K131*H131/J131)</f>
        <v/>
      </c>
      <c r="M131" s="19">
        <f>IF(J131=0,0,I131-K131*I131/J131)</f>
        <v/>
      </c>
      <c r="O131" s="18">
        <f>DATA!A131</f>
        <v/>
      </c>
      <c r="P131">
        <f>DATA!B131</f>
        <v/>
      </c>
      <c r="Q131" s="19">
        <f>Z130</f>
        <v/>
      </c>
      <c r="R131" s="19">
        <f>AA130</f>
        <v/>
      </c>
      <c r="S131" s="19">
        <f>Q131+R131</f>
        <v/>
      </c>
      <c r="T131" s="20">
        <f>DATA!D131</f>
        <v/>
      </c>
      <c r="U131" s="20">
        <f>DATA!G131</f>
        <v/>
      </c>
      <c r="V131" s="19">
        <f>Q131*(1+T131)</f>
        <v/>
      </c>
      <c r="W131" s="19">
        <f>R131*(1+U131)</f>
        <v/>
      </c>
      <c r="X131" s="19">
        <f>V131+W131</f>
        <v/>
      </c>
      <c r="Y131" s="19">
        <f>IF(AND(CONFIG!$B$11="Annual",MONTH(O131)=7),X131*CONFIG!$B$6/12,Y130)</f>
        <v/>
      </c>
      <c r="Z131" s="19">
        <f>IF(X131=0,0,V131-Y131*V131/X131)</f>
        <v/>
      </c>
      <c r="AA131" s="19">
        <f>IF(X131=0,0,W131-Y131*W131/X131)</f>
        <v/>
      </c>
      <c r="AC131" s="18">
        <f>DATA!A131</f>
        <v/>
      </c>
      <c r="AD131">
        <f>DATA!B131</f>
        <v/>
      </c>
      <c r="AE131" s="19">
        <f>AN130</f>
        <v/>
      </c>
      <c r="AF131" s="19">
        <f>AO130</f>
        <v/>
      </c>
      <c r="AG131" s="19">
        <f>AE131+AF131</f>
        <v/>
      </c>
      <c r="AH131" s="20">
        <f>DATA!E131</f>
        <v/>
      </c>
      <c r="AI131" s="20">
        <f>DATA!G131</f>
        <v/>
      </c>
      <c r="AJ131" s="19">
        <f>AE131*(1+AH131)</f>
        <v/>
      </c>
      <c r="AK131" s="19">
        <f>AF131*(1+AI131)</f>
        <v/>
      </c>
      <c r="AL131" s="19">
        <f>AJ131+AK131</f>
        <v/>
      </c>
      <c r="AM131" s="19">
        <f>IF(AND(CONFIG!$B$11="Annual",MONTH(AC131)=7),AL131*CONFIG!$B$6/12,AM130)</f>
        <v/>
      </c>
      <c r="AN131" s="19">
        <f>IF(AL131=0,0,AJ131-AM131*AJ131/AL131)</f>
        <v/>
      </c>
      <c r="AO131" s="19">
        <f>IF(AL131=0,0,AK131-AM131*AK131/AL131)</f>
        <v/>
      </c>
    </row>
    <row r="132">
      <c r="A132" s="18">
        <f>DATA!A132</f>
        <v/>
      </c>
      <c r="B132">
        <f>DATA!B132</f>
        <v/>
      </c>
      <c r="C132" s="19">
        <f>L131</f>
        <v/>
      </c>
      <c r="D132" s="19">
        <f>M131</f>
        <v/>
      </c>
      <c r="E132" s="19">
        <f>C132+D132</f>
        <v/>
      </c>
      <c r="F132" s="20">
        <f>DATA!C132</f>
        <v/>
      </c>
      <c r="G132" s="20">
        <f>DATA!G132</f>
        <v/>
      </c>
      <c r="H132" s="19">
        <f>C132*(1+F132)</f>
        <v/>
      </c>
      <c r="I132" s="19">
        <f>D132*(1+G132)</f>
        <v/>
      </c>
      <c r="J132" s="19">
        <f>H132+I132</f>
        <v/>
      </c>
      <c r="K132" s="19">
        <f>IF(AND(CONFIG!$B$11="Annual",MONTH(A132)=7),J132*CONFIG!$B$6/12,K131)</f>
        <v/>
      </c>
      <c r="L132" s="19">
        <f>IF(J132=0,0,H132-K132*H132/J132)</f>
        <v/>
      </c>
      <c r="M132" s="19">
        <f>IF(J132=0,0,I132-K132*I132/J132)</f>
        <v/>
      </c>
      <c r="O132" s="18">
        <f>DATA!A132</f>
        <v/>
      </c>
      <c r="P132">
        <f>DATA!B132</f>
        <v/>
      </c>
      <c r="Q132" s="19">
        <f>Z131</f>
        <v/>
      </c>
      <c r="R132" s="19">
        <f>AA131</f>
        <v/>
      </c>
      <c r="S132" s="19">
        <f>Q132+R132</f>
        <v/>
      </c>
      <c r="T132" s="20">
        <f>DATA!D132</f>
        <v/>
      </c>
      <c r="U132" s="20">
        <f>DATA!G132</f>
        <v/>
      </c>
      <c r="V132" s="19">
        <f>Q132*(1+T132)</f>
        <v/>
      </c>
      <c r="W132" s="19">
        <f>R132*(1+U132)</f>
        <v/>
      </c>
      <c r="X132" s="19">
        <f>V132+W132</f>
        <v/>
      </c>
      <c r="Y132" s="19">
        <f>IF(AND(CONFIG!$B$11="Annual",MONTH(O132)=7),X132*CONFIG!$B$6/12,Y131)</f>
        <v/>
      </c>
      <c r="Z132" s="19">
        <f>IF(X132=0,0,V132-Y132*V132/X132)</f>
        <v/>
      </c>
      <c r="AA132" s="19">
        <f>IF(X132=0,0,W132-Y132*W132/X132)</f>
        <v/>
      </c>
      <c r="AC132" s="18">
        <f>DATA!A132</f>
        <v/>
      </c>
      <c r="AD132">
        <f>DATA!B132</f>
        <v/>
      </c>
      <c r="AE132" s="19">
        <f>AN131</f>
        <v/>
      </c>
      <c r="AF132" s="19">
        <f>AO131</f>
        <v/>
      </c>
      <c r="AG132" s="19">
        <f>AE132+AF132</f>
        <v/>
      </c>
      <c r="AH132" s="20">
        <f>DATA!E132</f>
        <v/>
      </c>
      <c r="AI132" s="20">
        <f>DATA!G132</f>
        <v/>
      </c>
      <c r="AJ132" s="19">
        <f>AE132*(1+AH132)</f>
        <v/>
      </c>
      <c r="AK132" s="19">
        <f>AF132*(1+AI132)</f>
        <v/>
      </c>
      <c r="AL132" s="19">
        <f>AJ132+AK132</f>
        <v/>
      </c>
      <c r="AM132" s="19">
        <f>IF(AND(CONFIG!$B$11="Annual",MONTH(AC132)=7),AL132*CONFIG!$B$6/12,AM131)</f>
        <v/>
      </c>
      <c r="AN132" s="19">
        <f>IF(AL132=0,0,AJ132-AM132*AJ132/AL132)</f>
        <v/>
      </c>
      <c r="AO132" s="19">
        <f>IF(AL132=0,0,AK132-AM132*AK132/AL132)</f>
        <v/>
      </c>
    </row>
    <row r="133">
      <c r="A133" s="18">
        <f>DATA!A133</f>
        <v/>
      </c>
      <c r="B133">
        <f>DATA!B133</f>
        <v/>
      </c>
      <c r="C133" s="19">
        <f>L132</f>
        <v/>
      </c>
      <c r="D133" s="19">
        <f>M132</f>
        <v/>
      </c>
      <c r="E133" s="19">
        <f>C133+D133</f>
        <v/>
      </c>
      <c r="F133" s="20">
        <f>DATA!C133</f>
        <v/>
      </c>
      <c r="G133" s="20">
        <f>DATA!G133</f>
        <v/>
      </c>
      <c r="H133" s="19">
        <f>C133*(1+F133)</f>
        <v/>
      </c>
      <c r="I133" s="19">
        <f>D133*(1+G133)</f>
        <v/>
      </c>
      <c r="J133" s="19">
        <f>H133+I133</f>
        <v/>
      </c>
      <c r="K133" s="19">
        <f>IF(AND(CONFIG!$B$11="Annual",MONTH(A133)=7),J133*CONFIG!$B$6/12,K132)</f>
        <v/>
      </c>
      <c r="L133" s="19">
        <f>IF(J133=0,0,H133-K133*H133/J133)</f>
        <v/>
      </c>
      <c r="M133" s="19">
        <f>IF(J133=0,0,I133-K133*I133/J133)</f>
        <v/>
      </c>
      <c r="O133" s="18">
        <f>DATA!A133</f>
        <v/>
      </c>
      <c r="P133">
        <f>DATA!B133</f>
        <v/>
      </c>
      <c r="Q133" s="19">
        <f>Z132</f>
        <v/>
      </c>
      <c r="R133" s="19">
        <f>AA132</f>
        <v/>
      </c>
      <c r="S133" s="19">
        <f>Q133+R133</f>
        <v/>
      </c>
      <c r="T133" s="20">
        <f>DATA!D133</f>
        <v/>
      </c>
      <c r="U133" s="20">
        <f>DATA!G133</f>
        <v/>
      </c>
      <c r="V133" s="19">
        <f>Q133*(1+T133)</f>
        <v/>
      </c>
      <c r="W133" s="19">
        <f>R133*(1+U133)</f>
        <v/>
      </c>
      <c r="X133" s="19">
        <f>V133+W133</f>
        <v/>
      </c>
      <c r="Y133" s="19">
        <f>IF(AND(CONFIG!$B$11="Annual",MONTH(O133)=7),X133*CONFIG!$B$6/12,Y132)</f>
        <v/>
      </c>
      <c r="Z133" s="19">
        <f>IF(X133=0,0,V133-Y133*V133/X133)</f>
        <v/>
      </c>
      <c r="AA133" s="19">
        <f>IF(X133=0,0,W133-Y133*W133/X133)</f>
        <v/>
      </c>
      <c r="AC133" s="18">
        <f>DATA!A133</f>
        <v/>
      </c>
      <c r="AD133">
        <f>DATA!B133</f>
        <v/>
      </c>
      <c r="AE133" s="19">
        <f>AN132</f>
        <v/>
      </c>
      <c r="AF133" s="19">
        <f>AO132</f>
        <v/>
      </c>
      <c r="AG133" s="19">
        <f>AE133+AF133</f>
        <v/>
      </c>
      <c r="AH133" s="20">
        <f>DATA!E133</f>
        <v/>
      </c>
      <c r="AI133" s="20">
        <f>DATA!G133</f>
        <v/>
      </c>
      <c r="AJ133" s="19">
        <f>AE133*(1+AH133)</f>
        <v/>
      </c>
      <c r="AK133" s="19">
        <f>AF133*(1+AI133)</f>
        <v/>
      </c>
      <c r="AL133" s="19">
        <f>AJ133+AK133</f>
        <v/>
      </c>
      <c r="AM133" s="19">
        <f>IF(AND(CONFIG!$B$11="Annual",MONTH(AC133)=7),AL133*CONFIG!$B$6/12,AM132)</f>
        <v/>
      </c>
      <c r="AN133" s="19">
        <f>IF(AL133=0,0,AJ133-AM133*AJ133/AL133)</f>
        <v/>
      </c>
      <c r="AO133" s="19">
        <f>IF(AL133=0,0,AK133-AM133*AK133/AL133)</f>
        <v/>
      </c>
    </row>
    <row r="134">
      <c r="A134" s="18">
        <f>DATA!A134</f>
        <v/>
      </c>
      <c r="B134">
        <f>DATA!B134</f>
        <v/>
      </c>
      <c r="C134" s="19">
        <f>L133</f>
        <v/>
      </c>
      <c r="D134" s="19">
        <f>M133</f>
        <v/>
      </c>
      <c r="E134" s="19">
        <f>C134+D134</f>
        <v/>
      </c>
      <c r="F134" s="20">
        <f>DATA!C134</f>
        <v/>
      </c>
      <c r="G134" s="20">
        <f>DATA!G134</f>
        <v/>
      </c>
      <c r="H134" s="19">
        <f>C134*(1+F134)</f>
        <v/>
      </c>
      <c r="I134" s="19">
        <f>D134*(1+G134)</f>
        <v/>
      </c>
      <c r="J134" s="19">
        <f>H134+I134</f>
        <v/>
      </c>
      <c r="K134" s="19">
        <f>IF(AND(CONFIG!$B$11="Annual",MONTH(A134)=7),J134*CONFIG!$B$6/12,K133)</f>
        <v/>
      </c>
      <c r="L134" s="19">
        <f>IF(J134=0,0,H134-K134*H134/J134)</f>
        <v/>
      </c>
      <c r="M134" s="19">
        <f>IF(J134=0,0,I134-K134*I134/J134)</f>
        <v/>
      </c>
      <c r="O134" s="18">
        <f>DATA!A134</f>
        <v/>
      </c>
      <c r="P134">
        <f>DATA!B134</f>
        <v/>
      </c>
      <c r="Q134" s="19">
        <f>Z133</f>
        <v/>
      </c>
      <c r="R134" s="19">
        <f>AA133</f>
        <v/>
      </c>
      <c r="S134" s="19">
        <f>Q134+R134</f>
        <v/>
      </c>
      <c r="T134" s="20">
        <f>DATA!D134</f>
        <v/>
      </c>
      <c r="U134" s="20">
        <f>DATA!G134</f>
        <v/>
      </c>
      <c r="V134" s="19">
        <f>Q134*(1+T134)</f>
        <v/>
      </c>
      <c r="W134" s="19">
        <f>R134*(1+U134)</f>
        <v/>
      </c>
      <c r="X134" s="19">
        <f>V134+W134</f>
        <v/>
      </c>
      <c r="Y134" s="19">
        <f>IF(AND(CONFIG!$B$11="Annual",MONTH(O134)=7),X134*CONFIG!$B$6/12,Y133)</f>
        <v/>
      </c>
      <c r="Z134" s="19">
        <f>IF(X134=0,0,V134-Y134*V134/X134)</f>
        <v/>
      </c>
      <c r="AA134" s="19">
        <f>IF(X134=0,0,W134-Y134*W134/X134)</f>
        <v/>
      </c>
      <c r="AC134" s="18">
        <f>DATA!A134</f>
        <v/>
      </c>
      <c r="AD134">
        <f>DATA!B134</f>
        <v/>
      </c>
      <c r="AE134" s="19">
        <f>AN133</f>
        <v/>
      </c>
      <c r="AF134" s="19">
        <f>AO133</f>
        <v/>
      </c>
      <c r="AG134" s="19">
        <f>AE134+AF134</f>
        <v/>
      </c>
      <c r="AH134" s="20">
        <f>DATA!E134</f>
        <v/>
      </c>
      <c r="AI134" s="20">
        <f>DATA!G134</f>
        <v/>
      </c>
      <c r="AJ134" s="19">
        <f>AE134*(1+AH134)</f>
        <v/>
      </c>
      <c r="AK134" s="19">
        <f>AF134*(1+AI134)</f>
        <v/>
      </c>
      <c r="AL134" s="19">
        <f>AJ134+AK134</f>
        <v/>
      </c>
      <c r="AM134" s="19">
        <f>IF(AND(CONFIG!$B$11="Annual",MONTH(AC134)=7),AL134*CONFIG!$B$6/12,AM133)</f>
        <v/>
      </c>
      <c r="AN134" s="19">
        <f>IF(AL134=0,0,AJ134-AM134*AJ134/AL134)</f>
        <v/>
      </c>
      <c r="AO134" s="19">
        <f>IF(AL134=0,0,AK134-AM134*AK134/AL134)</f>
        <v/>
      </c>
    </row>
    <row r="135">
      <c r="A135" s="18">
        <f>DATA!A135</f>
        <v/>
      </c>
      <c r="B135">
        <f>DATA!B135</f>
        <v/>
      </c>
      <c r="C135" s="19">
        <f>L134</f>
        <v/>
      </c>
      <c r="D135" s="19">
        <f>M134</f>
        <v/>
      </c>
      <c r="E135" s="19">
        <f>C135+D135</f>
        <v/>
      </c>
      <c r="F135" s="20">
        <f>DATA!C135</f>
        <v/>
      </c>
      <c r="G135" s="20">
        <f>DATA!G135</f>
        <v/>
      </c>
      <c r="H135" s="19">
        <f>C135*(1+F135)</f>
        <v/>
      </c>
      <c r="I135" s="19">
        <f>D135*(1+G135)</f>
        <v/>
      </c>
      <c r="J135" s="19">
        <f>H135+I135</f>
        <v/>
      </c>
      <c r="K135" s="19">
        <f>IF(AND(CONFIG!$B$11="Annual",MONTH(A135)=7),J135*CONFIG!$B$6/12,K134)</f>
        <v/>
      </c>
      <c r="L135" s="19">
        <f>IF(J135=0,0,H135-K135*H135/J135)</f>
        <v/>
      </c>
      <c r="M135" s="19">
        <f>IF(J135=0,0,I135-K135*I135/J135)</f>
        <v/>
      </c>
      <c r="O135" s="18">
        <f>DATA!A135</f>
        <v/>
      </c>
      <c r="P135">
        <f>DATA!B135</f>
        <v/>
      </c>
      <c r="Q135" s="19">
        <f>Z134</f>
        <v/>
      </c>
      <c r="R135" s="19">
        <f>AA134</f>
        <v/>
      </c>
      <c r="S135" s="19">
        <f>Q135+R135</f>
        <v/>
      </c>
      <c r="T135" s="20">
        <f>DATA!D135</f>
        <v/>
      </c>
      <c r="U135" s="20">
        <f>DATA!G135</f>
        <v/>
      </c>
      <c r="V135" s="19">
        <f>Q135*(1+T135)</f>
        <v/>
      </c>
      <c r="W135" s="19">
        <f>R135*(1+U135)</f>
        <v/>
      </c>
      <c r="X135" s="19">
        <f>V135+W135</f>
        <v/>
      </c>
      <c r="Y135" s="19">
        <f>IF(AND(CONFIG!$B$11="Annual",MONTH(O135)=7),X135*CONFIG!$B$6/12,Y134)</f>
        <v/>
      </c>
      <c r="Z135" s="19">
        <f>IF(X135=0,0,V135-Y135*V135/X135)</f>
        <v/>
      </c>
      <c r="AA135" s="19">
        <f>IF(X135=0,0,W135-Y135*W135/X135)</f>
        <v/>
      </c>
      <c r="AC135" s="18">
        <f>DATA!A135</f>
        <v/>
      </c>
      <c r="AD135">
        <f>DATA!B135</f>
        <v/>
      </c>
      <c r="AE135" s="19">
        <f>AN134</f>
        <v/>
      </c>
      <c r="AF135" s="19">
        <f>AO134</f>
        <v/>
      </c>
      <c r="AG135" s="19">
        <f>AE135+AF135</f>
        <v/>
      </c>
      <c r="AH135" s="20">
        <f>DATA!E135</f>
        <v/>
      </c>
      <c r="AI135" s="20">
        <f>DATA!G135</f>
        <v/>
      </c>
      <c r="AJ135" s="19">
        <f>AE135*(1+AH135)</f>
        <v/>
      </c>
      <c r="AK135" s="19">
        <f>AF135*(1+AI135)</f>
        <v/>
      </c>
      <c r="AL135" s="19">
        <f>AJ135+AK135</f>
        <v/>
      </c>
      <c r="AM135" s="19">
        <f>IF(AND(CONFIG!$B$11="Annual",MONTH(AC135)=7),AL135*CONFIG!$B$6/12,AM134)</f>
        <v/>
      </c>
      <c r="AN135" s="19">
        <f>IF(AL135=0,0,AJ135-AM135*AJ135/AL135)</f>
        <v/>
      </c>
      <c r="AO135" s="19">
        <f>IF(AL135=0,0,AK135-AM135*AK135/AL135)</f>
        <v/>
      </c>
    </row>
    <row r="136">
      <c r="A136" s="18">
        <f>DATA!A136</f>
        <v/>
      </c>
      <c r="B136">
        <f>DATA!B136</f>
        <v/>
      </c>
      <c r="C136" s="19">
        <f>L135</f>
        <v/>
      </c>
      <c r="D136" s="19">
        <f>M135</f>
        <v/>
      </c>
      <c r="E136" s="19">
        <f>C136+D136</f>
        <v/>
      </c>
      <c r="F136" s="20">
        <f>DATA!C136</f>
        <v/>
      </c>
      <c r="G136" s="20">
        <f>DATA!G136</f>
        <v/>
      </c>
      <c r="H136" s="19">
        <f>C136*(1+F136)</f>
        <v/>
      </c>
      <c r="I136" s="19">
        <f>D136*(1+G136)</f>
        <v/>
      </c>
      <c r="J136" s="19">
        <f>H136+I136</f>
        <v/>
      </c>
      <c r="K136" s="19">
        <f>IF(AND(CONFIG!$B$11="Annual",MONTH(A136)=7),J136*CONFIG!$B$6/12,K135)</f>
        <v/>
      </c>
      <c r="L136" s="19">
        <f>IF(J136=0,0,H136-K136*H136/J136)</f>
        <v/>
      </c>
      <c r="M136" s="19">
        <f>IF(J136=0,0,I136-K136*I136/J136)</f>
        <v/>
      </c>
      <c r="O136" s="18">
        <f>DATA!A136</f>
        <v/>
      </c>
      <c r="P136">
        <f>DATA!B136</f>
        <v/>
      </c>
      <c r="Q136" s="19">
        <f>Z135</f>
        <v/>
      </c>
      <c r="R136" s="19">
        <f>AA135</f>
        <v/>
      </c>
      <c r="S136" s="19">
        <f>Q136+R136</f>
        <v/>
      </c>
      <c r="T136" s="20">
        <f>DATA!D136</f>
        <v/>
      </c>
      <c r="U136" s="20">
        <f>DATA!G136</f>
        <v/>
      </c>
      <c r="V136" s="19">
        <f>Q136*(1+T136)</f>
        <v/>
      </c>
      <c r="W136" s="19">
        <f>R136*(1+U136)</f>
        <v/>
      </c>
      <c r="X136" s="19">
        <f>V136+W136</f>
        <v/>
      </c>
      <c r="Y136" s="19">
        <f>IF(AND(CONFIG!$B$11="Annual",MONTH(O136)=7),X136*CONFIG!$B$6/12,Y135)</f>
        <v/>
      </c>
      <c r="Z136" s="19">
        <f>IF(X136=0,0,V136-Y136*V136/X136)</f>
        <v/>
      </c>
      <c r="AA136" s="19">
        <f>IF(X136=0,0,W136-Y136*W136/X136)</f>
        <v/>
      </c>
      <c r="AC136" s="18">
        <f>DATA!A136</f>
        <v/>
      </c>
      <c r="AD136">
        <f>DATA!B136</f>
        <v/>
      </c>
      <c r="AE136" s="19">
        <f>AN135</f>
        <v/>
      </c>
      <c r="AF136" s="19">
        <f>AO135</f>
        <v/>
      </c>
      <c r="AG136" s="19">
        <f>AE136+AF136</f>
        <v/>
      </c>
      <c r="AH136" s="20">
        <f>DATA!E136</f>
        <v/>
      </c>
      <c r="AI136" s="20">
        <f>DATA!G136</f>
        <v/>
      </c>
      <c r="AJ136" s="19">
        <f>AE136*(1+AH136)</f>
        <v/>
      </c>
      <c r="AK136" s="19">
        <f>AF136*(1+AI136)</f>
        <v/>
      </c>
      <c r="AL136" s="19">
        <f>AJ136+AK136</f>
        <v/>
      </c>
      <c r="AM136" s="19">
        <f>IF(AND(CONFIG!$B$11="Annual",MONTH(AC136)=7),AL136*CONFIG!$B$6/12,AM135)</f>
        <v/>
      </c>
      <c r="AN136" s="19">
        <f>IF(AL136=0,0,AJ136-AM136*AJ136/AL136)</f>
        <v/>
      </c>
      <c r="AO136" s="19">
        <f>IF(AL136=0,0,AK136-AM136*AK136/AL136)</f>
        <v/>
      </c>
    </row>
    <row r="137">
      <c r="A137" s="18">
        <f>DATA!A137</f>
        <v/>
      </c>
      <c r="B137">
        <f>DATA!B137</f>
        <v/>
      </c>
      <c r="C137" s="19">
        <f>L136</f>
        <v/>
      </c>
      <c r="D137" s="19">
        <f>M136</f>
        <v/>
      </c>
      <c r="E137" s="19">
        <f>C137+D137</f>
        <v/>
      </c>
      <c r="F137" s="20">
        <f>DATA!C137</f>
        <v/>
      </c>
      <c r="G137" s="20">
        <f>DATA!G137</f>
        <v/>
      </c>
      <c r="H137" s="19">
        <f>C137*(1+F137)</f>
        <v/>
      </c>
      <c r="I137" s="19">
        <f>D137*(1+G137)</f>
        <v/>
      </c>
      <c r="J137" s="19">
        <f>H137+I137</f>
        <v/>
      </c>
      <c r="K137" s="19">
        <f>IF(AND(CONFIG!$B$11="Annual",MONTH(A137)=7),J137*CONFIG!$B$6/12,K136)</f>
        <v/>
      </c>
      <c r="L137" s="19">
        <f>IF(J137=0,0,H137-K137*H137/J137)</f>
        <v/>
      </c>
      <c r="M137" s="19">
        <f>IF(J137=0,0,I137-K137*I137/J137)</f>
        <v/>
      </c>
      <c r="O137" s="18">
        <f>DATA!A137</f>
        <v/>
      </c>
      <c r="P137">
        <f>DATA!B137</f>
        <v/>
      </c>
      <c r="Q137" s="19">
        <f>Z136</f>
        <v/>
      </c>
      <c r="R137" s="19">
        <f>AA136</f>
        <v/>
      </c>
      <c r="S137" s="19">
        <f>Q137+R137</f>
        <v/>
      </c>
      <c r="T137" s="20">
        <f>DATA!D137</f>
        <v/>
      </c>
      <c r="U137" s="20">
        <f>DATA!G137</f>
        <v/>
      </c>
      <c r="V137" s="19">
        <f>Q137*(1+T137)</f>
        <v/>
      </c>
      <c r="W137" s="19">
        <f>R137*(1+U137)</f>
        <v/>
      </c>
      <c r="X137" s="19">
        <f>V137+W137</f>
        <v/>
      </c>
      <c r="Y137" s="19">
        <f>IF(AND(CONFIG!$B$11="Annual",MONTH(O137)=7),X137*CONFIG!$B$6/12,Y136)</f>
        <v/>
      </c>
      <c r="Z137" s="19">
        <f>IF(X137=0,0,V137-Y137*V137/X137)</f>
        <v/>
      </c>
      <c r="AA137" s="19">
        <f>IF(X137=0,0,W137-Y137*W137/X137)</f>
        <v/>
      </c>
      <c r="AC137" s="18">
        <f>DATA!A137</f>
        <v/>
      </c>
      <c r="AD137">
        <f>DATA!B137</f>
        <v/>
      </c>
      <c r="AE137" s="19">
        <f>AN136</f>
        <v/>
      </c>
      <c r="AF137" s="19">
        <f>AO136</f>
        <v/>
      </c>
      <c r="AG137" s="19">
        <f>AE137+AF137</f>
        <v/>
      </c>
      <c r="AH137" s="20">
        <f>DATA!E137</f>
        <v/>
      </c>
      <c r="AI137" s="20">
        <f>DATA!G137</f>
        <v/>
      </c>
      <c r="AJ137" s="19">
        <f>AE137*(1+AH137)</f>
        <v/>
      </c>
      <c r="AK137" s="19">
        <f>AF137*(1+AI137)</f>
        <v/>
      </c>
      <c r="AL137" s="19">
        <f>AJ137+AK137</f>
        <v/>
      </c>
      <c r="AM137" s="19">
        <f>IF(AND(CONFIG!$B$11="Annual",MONTH(AC137)=7),AL137*CONFIG!$B$6/12,AM136)</f>
        <v/>
      </c>
      <c r="AN137" s="19">
        <f>IF(AL137=0,0,AJ137-AM137*AJ137/AL137)</f>
        <v/>
      </c>
      <c r="AO137" s="19">
        <f>IF(AL137=0,0,AK137-AM137*AK137/AL137)</f>
        <v/>
      </c>
    </row>
    <row r="138">
      <c r="A138" s="18">
        <f>DATA!A138</f>
        <v/>
      </c>
      <c r="B138">
        <f>DATA!B138</f>
        <v/>
      </c>
      <c r="C138" s="19">
        <f>L137</f>
        <v/>
      </c>
      <c r="D138" s="19">
        <f>M137</f>
        <v/>
      </c>
      <c r="E138" s="19">
        <f>C138+D138</f>
        <v/>
      </c>
      <c r="F138" s="20">
        <f>DATA!C138</f>
        <v/>
      </c>
      <c r="G138" s="20">
        <f>DATA!G138</f>
        <v/>
      </c>
      <c r="H138" s="19">
        <f>C138*(1+F138)</f>
        <v/>
      </c>
      <c r="I138" s="19">
        <f>D138*(1+G138)</f>
        <v/>
      </c>
      <c r="J138" s="19">
        <f>H138+I138</f>
        <v/>
      </c>
      <c r="K138" s="19">
        <f>IF(AND(CONFIG!$B$11="Annual",MONTH(A138)=7),J138*CONFIG!$B$6/12,K137)</f>
        <v/>
      </c>
      <c r="L138" s="19">
        <f>IF(J138=0,0,H138-K138*H138/J138)</f>
        <v/>
      </c>
      <c r="M138" s="19">
        <f>IF(J138=0,0,I138-K138*I138/J138)</f>
        <v/>
      </c>
      <c r="O138" s="18">
        <f>DATA!A138</f>
        <v/>
      </c>
      <c r="P138">
        <f>DATA!B138</f>
        <v/>
      </c>
      <c r="Q138" s="19">
        <f>Z137</f>
        <v/>
      </c>
      <c r="R138" s="19">
        <f>AA137</f>
        <v/>
      </c>
      <c r="S138" s="19">
        <f>Q138+R138</f>
        <v/>
      </c>
      <c r="T138" s="20">
        <f>DATA!D138</f>
        <v/>
      </c>
      <c r="U138" s="20">
        <f>DATA!G138</f>
        <v/>
      </c>
      <c r="V138" s="19">
        <f>Q138*(1+T138)</f>
        <v/>
      </c>
      <c r="W138" s="19">
        <f>R138*(1+U138)</f>
        <v/>
      </c>
      <c r="X138" s="19">
        <f>V138+W138</f>
        <v/>
      </c>
      <c r="Y138" s="19">
        <f>IF(AND(CONFIG!$B$11="Annual",MONTH(O138)=7),X138*CONFIG!$B$6/12,Y137)</f>
        <v/>
      </c>
      <c r="Z138" s="19">
        <f>IF(X138=0,0,V138-Y138*V138/X138)</f>
        <v/>
      </c>
      <c r="AA138" s="19">
        <f>IF(X138=0,0,W138-Y138*W138/X138)</f>
        <v/>
      </c>
      <c r="AC138" s="18">
        <f>DATA!A138</f>
        <v/>
      </c>
      <c r="AD138">
        <f>DATA!B138</f>
        <v/>
      </c>
      <c r="AE138" s="19">
        <f>AN137</f>
        <v/>
      </c>
      <c r="AF138" s="19">
        <f>AO137</f>
        <v/>
      </c>
      <c r="AG138" s="19">
        <f>AE138+AF138</f>
        <v/>
      </c>
      <c r="AH138" s="20">
        <f>DATA!E138</f>
        <v/>
      </c>
      <c r="AI138" s="20">
        <f>DATA!G138</f>
        <v/>
      </c>
      <c r="AJ138" s="19">
        <f>AE138*(1+AH138)</f>
        <v/>
      </c>
      <c r="AK138" s="19">
        <f>AF138*(1+AI138)</f>
        <v/>
      </c>
      <c r="AL138" s="19">
        <f>AJ138+AK138</f>
        <v/>
      </c>
      <c r="AM138" s="19">
        <f>IF(AND(CONFIG!$B$11="Annual",MONTH(AC138)=7),AL138*CONFIG!$B$6/12,AM137)</f>
        <v/>
      </c>
      <c r="AN138" s="19">
        <f>IF(AL138=0,0,AJ138-AM138*AJ138/AL138)</f>
        <v/>
      </c>
      <c r="AO138" s="19">
        <f>IF(AL138=0,0,AK138-AM138*AK138/AL138)</f>
        <v/>
      </c>
    </row>
    <row r="139">
      <c r="A139" s="18">
        <f>DATA!A139</f>
        <v/>
      </c>
      <c r="B139">
        <f>DATA!B139</f>
        <v/>
      </c>
      <c r="C139" s="19">
        <f>L138</f>
        <v/>
      </c>
      <c r="D139" s="19">
        <f>M138</f>
        <v/>
      </c>
      <c r="E139" s="19">
        <f>C139+D139</f>
        <v/>
      </c>
      <c r="F139" s="20">
        <f>DATA!C139</f>
        <v/>
      </c>
      <c r="G139" s="20">
        <f>DATA!G139</f>
        <v/>
      </c>
      <c r="H139" s="19">
        <f>C139*(1+F139)</f>
        <v/>
      </c>
      <c r="I139" s="19">
        <f>D139*(1+G139)</f>
        <v/>
      </c>
      <c r="J139" s="19">
        <f>H139+I139</f>
        <v/>
      </c>
      <c r="K139" s="19">
        <f>IF(AND(CONFIG!$B$11="Annual",MONTH(A139)=7),J139*CONFIG!$B$6/12,K138)</f>
        <v/>
      </c>
      <c r="L139" s="19">
        <f>IF(J139=0,0,H139-K139*H139/J139)</f>
        <v/>
      </c>
      <c r="M139" s="19">
        <f>IF(J139=0,0,I139-K139*I139/J139)</f>
        <v/>
      </c>
      <c r="O139" s="18">
        <f>DATA!A139</f>
        <v/>
      </c>
      <c r="P139">
        <f>DATA!B139</f>
        <v/>
      </c>
      <c r="Q139" s="19">
        <f>Z138</f>
        <v/>
      </c>
      <c r="R139" s="19">
        <f>AA138</f>
        <v/>
      </c>
      <c r="S139" s="19">
        <f>Q139+R139</f>
        <v/>
      </c>
      <c r="T139" s="20">
        <f>DATA!D139</f>
        <v/>
      </c>
      <c r="U139" s="20">
        <f>DATA!G139</f>
        <v/>
      </c>
      <c r="V139" s="19">
        <f>Q139*(1+T139)</f>
        <v/>
      </c>
      <c r="W139" s="19">
        <f>R139*(1+U139)</f>
        <v/>
      </c>
      <c r="X139" s="19">
        <f>V139+W139</f>
        <v/>
      </c>
      <c r="Y139" s="19">
        <f>IF(AND(CONFIG!$B$11="Annual",MONTH(O139)=7),X139*CONFIG!$B$6/12,Y138)</f>
        <v/>
      </c>
      <c r="Z139" s="19">
        <f>IF(X139=0,0,V139-Y139*V139/X139)</f>
        <v/>
      </c>
      <c r="AA139" s="19">
        <f>IF(X139=0,0,W139-Y139*W139/X139)</f>
        <v/>
      </c>
      <c r="AC139" s="18">
        <f>DATA!A139</f>
        <v/>
      </c>
      <c r="AD139">
        <f>DATA!B139</f>
        <v/>
      </c>
      <c r="AE139" s="19">
        <f>AN138</f>
        <v/>
      </c>
      <c r="AF139" s="19">
        <f>AO138</f>
        <v/>
      </c>
      <c r="AG139" s="19">
        <f>AE139+AF139</f>
        <v/>
      </c>
      <c r="AH139" s="20">
        <f>DATA!E139</f>
        <v/>
      </c>
      <c r="AI139" s="20">
        <f>DATA!G139</f>
        <v/>
      </c>
      <c r="AJ139" s="19">
        <f>AE139*(1+AH139)</f>
        <v/>
      </c>
      <c r="AK139" s="19">
        <f>AF139*(1+AI139)</f>
        <v/>
      </c>
      <c r="AL139" s="19">
        <f>AJ139+AK139</f>
        <v/>
      </c>
      <c r="AM139" s="19">
        <f>IF(AND(CONFIG!$B$11="Annual",MONTH(AC139)=7),AL139*CONFIG!$B$6/12,AM138)</f>
        <v/>
      </c>
      <c r="AN139" s="19">
        <f>IF(AL139=0,0,AJ139-AM139*AJ139/AL139)</f>
        <v/>
      </c>
      <c r="AO139" s="19">
        <f>IF(AL139=0,0,AK139-AM139*AK139/AL139)</f>
        <v/>
      </c>
    </row>
    <row r="140">
      <c r="A140" s="18">
        <f>DATA!A140</f>
        <v/>
      </c>
      <c r="B140">
        <f>DATA!B140</f>
        <v/>
      </c>
      <c r="C140" s="19">
        <f>L139</f>
        <v/>
      </c>
      <c r="D140" s="19">
        <f>M139</f>
        <v/>
      </c>
      <c r="E140" s="19">
        <f>C140+D140</f>
        <v/>
      </c>
      <c r="F140" s="20">
        <f>DATA!C140</f>
        <v/>
      </c>
      <c r="G140" s="20">
        <f>DATA!G140</f>
        <v/>
      </c>
      <c r="H140" s="19">
        <f>C140*(1+F140)</f>
        <v/>
      </c>
      <c r="I140" s="19">
        <f>D140*(1+G140)</f>
        <v/>
      </c>
      <c r="J140" s="19">
        <f>H140+I140</f>
        <v/>
      </c>
      <c r="K140" s="19">
        <f>IF(AND(CONFIG!$B$11="Annual",MONTH(A140)=7),J140*CONFIG!$B$6/12,K139)</f>
        <v/>
      </c>
      <c r="L140" s="19">
        <f>IF(J140=0,0,H140-K140*H140/J140)</f>
        <v/>
      </c>
      <c r="M140" s="19">
        <f>IF(J140=0,0,I140-K140*I140/J140)</f>
        <v/>
      </c>
      <c r="O140" s="18">
        <f>DATA!A140</f>
        <v/>
      </c>
      <c r="P140">
        <f>DATA!B140</f>
        <v/>
      </c>
      <c r="Q140" s="19">
        <f>Z139</f>
        <v/>
      </c>
      <c r="R140" s="19">
        <f>AA139</f>
        <v/>
      </c>
      <c r="S140" s="19">
        <f>Q140+R140</f>
        <v/>
      </c>
      <c r="T140" s="20">
        <f>DATA!D140</f>
        <v/>
      </c>
      <c r="U140" s="20">
        <f>DATA!G140</f>
        <v/>
      </c>
      <c r="V140" s="19">
        <f>Q140*(1+T140)</f>
        <v/>
      </c>
      <c r="W140" s="19">
        <f>R140*(1+U140)</f>
        <v/>
      </c>
      <c r="X140" s="19">
        <f>V140+W140</f>
        <v/>
      </c>
      <c r="Y140" s="19">
        <f>IF(AND(CONFIG!$B$11="Annual",MONTH(O140)=7),X140*CONFIG!$B$6/12,Y139)</f>
        <v/>
      </c>
      <c r="Z140" s="19">
        <f>IF(X140=0,0,V140-Y140*V140/X140)</f>
        <v/>
      </c>
      <c r="AA140" s="19">
        <f>IF(X140=0,0,W140-Y140*W140/X140)</f>
        <v/>
      </c>
      <c r="AC140" s="18">
        <f>DATA!A140</f>
        <v/>
      </c>
      <c r="AD140">
        <f>DATA!B140</f>
        <v/>
      </c>
      <c r="AE140" s="19">
        <f>AN139</f>
        <v/>
      </c>
      <c r="AF140" s="19">
        <f>AO139</f>
        <v/>
      </c>
      <c r="AG140" s="19">
        <f>AE140+AF140</f>
        <v/>
      </c>
      <c r="AH140" s="20">
        <f>DATA!E140</f>
        <v/>
      </c>
      <c r="AI140" s="20">
        <f>DATA!G140</f>
        <v/>
      </c>
      <c r="AJ140" s="19">
        <f>AE140*(1+AH140)</f>
        <v/>
      </c>
      <c r="AK140" s="19">
        <f>AF140*(1+AI140)</f>
        <v/>
      </c>
      <c r="AL140" s="19">
        <f>AJ140+AK140</f>
        <v/>
      </c>
      <c r="AM140" s="19">
        <f>IF(AND(CONFIG!$B$11="Annual",MONTH(AC140)=7),AL140*CONFIG!$B$6/12,AM139)</f>
        <v/>
      </c>
      <c r="AN140" s="19">
        <f>IF(AL140=0,0,AJ140-AM140*AJ140/AL140)</f>
        <v/>
      </c>
      <c r="AO140" s="19">
        <f>IF(AL140=0,0,AK140-AM140*AK140/AL140)</f>
        <v/>
      </c>
    </row>
    <row r="141">
      <c r="A141" s="18">
        <f>DATA!A141</f>
        <v/>
      </c>
      <c r="B141">
        <f>DATA!B141</f>
        <v/>
      </c>
      <c r="C141" s="19">
        <f>L140</f>
        <v/>
      </c>
      <c r="D141" s="19">
        <f>M140</f>
        <v/>
      </c>
      <c r="E141" s="19">
        <f>C141+D141</f>
        <v/>
      </c>
      <c r="F141" s="20">
        <f>DATA!C141</f>
        <v/>
      </c>
      <c r="G141" s="20">
        <f>DATA!G141</f>
        <v/>
      </c>
      <c r="H141" s="19">
        <f>C141*(1+F141)</f>
        <v/>
      </c>
      <c r="I141" s="19">
        <f>D141*(1+G141)</f>
        <v/>
      </c>
      <c r="J141" s="19">
        <f>H141+I141</f>
        <v/>
      </c>
      <c r="K141" s="19">
        <f>IF(AND(CONFIG!$B$11="Annual",MONTH(A141)=7),J141*CONFIG!$B$6/12,K140)</f>
        <v/>
      </c>
      <c r="L141" s="19">
        <f>IF(J141=0,0,H141-K141*H141/J141)</f>
        <v/>
      </c>
      <c r="M141" s="19">
        <f>IF(J141=0,0,I141-K141*I141/J141)</f>
        <v/>
      </c>
      <c r="O141" s="18">
        <f>DATA!A141</f>
        <v/>
      </c>
      <c r="P141">
        <f>DATA!B141</f>
        <v/>
      </c>
      <c r="Q141" s="19">
        <f>Z140</f>
        <v/>
      </c>
      <c r="R141" s="19">
        <f>AA140</f>
        <v/>
      </c>
      <c r="S141" s="19">
        <f>Q141+R141</f>
        <v/>
      </c>
      <c r="T141" s="20">
        <f>DATA!D141</f>
        <v/>
      </c>
      <c r="U141" s="20">
        <f>DATA!G141</f>
        <v/>
      </c>
      <c r="V141" s="19">
        <f>Q141*(1+T141)</f>
        <v/>
      </c>
      <c r="W141" s="19">
        <f>R141*(1+U141)</f>
        <v/>
      </c>
      <c r="X141" s="19">
        <f>V141+W141</f>
        <v/>
      </c>
      <c r="Y141" s="19">
        <f>IF(AND(CONFIG!$B$11="Annual",MONTH(O141)=7),X141*CONFIG!$B$6/12,Y140)</f>
        <v/>
      </c>
      <c r="Z141" s="19">
        <f>IF(X141=0,0,V141-Y141*V141/X141)</f>
        <v/>
      </c>
      <c r="AA141" s="19">
        <f>IF(X141=0,0,W141-Y141*W141/X141)</f>
        <v/>
      </c>
      <c r="AC141" s="18">
        <f>DATA!A141</f>
        <v/>
      </c>
      <c r="AD141">
        <f>DATA!B141</f>
        <v/>
      </c>
      <c r="AE141" s="19">
        <f>AN140</f>
        <v/>
      </c>
      <c r="AF141" s="19">
        <f>AO140</f>
        <v/>
      </c>
      <c r="AG141" s="19">
        <f>AE141+AF141</f>
        <v/>
      </c>
      <c r="AH141" s="20">
        <f>DATA!E141</f>
        <v/>
      </c>
      <c r="AI141" s="20">
        <f>DATA!G141</f>
        <v/>
      </c>
      <c r="AJ141" s="19">
        <f>AE141*(1+AH141)</f>
        <v/>
      </c>
      <c r="AK141" s="19">
        <f>AF141*(1+AI141)</f>
        <v/>
      </c>
      <c r="AL141" s="19">
        <f>AJ141+AK141</f>
        <v/>
      </c>
      <c r="AM141" s="19">
        <f>IF(AND(CONFIG!$B$11="Annual",MONTH(AC141)=7),AL141*CONFIG!$B$6/12,AM140)</f>
        <v/>
      </c>
      <c r="AN141" s="19">
        <f>IF(AL141=0,0,AJ141-AM141*AJ141/AL141)</f>
        <v/>
      </c>
      <c r="AO141" s="19">
        <f>IF(AL141=0,0,AK141-AM141*AK141/AL141)</f>
        <v/>
      </c>
    </row>
    <row r="142">
      <c r="A142" s="18">
        <f>DATA!A142</f>
        <v/>
      </c>
      <c r="B142">
        <f>DATA!B142</f>
        <v/>
      </c>
      <c r="C142" s="19">
        <f>L141</f>
        <v/>
      </c>
      <c r="D142" s="19">
        <f>M141</f>
        <v/>
      </c>
      <c r="E142" s="19">
        <f>C142+D142</f>
        <v/>
      </c>
      <c r="F142" s="20">
        <f>DATA!C142</f>
        <v/>
      </c>
      <c r="G142" s="20">
        <f>DATA!G142</f>
        <v/>
      </c>
      <c r="H142" s="19">
        <f>C142*(1+F142)</f>
        <v/>
      </c>
      <c r="I142" s="19">
        <f>D142*(1+G142)</f>
        <v/>
      </c>
      <c r="J142" s="19">
        <f>H142+I142</f>
        <v/>
      </c>
      <c r="K142" s="19">
        <f>IF(AND(CONFIG!$B$11="Annual",MONTH(A142)=7),J142*CONFIG!$B$6/12,K141)</f>
        <v/>
      </c>
      <c r="L142" s="19">
        <f>IF(J142=0,0,H142-K142*H142/J142)</f>
        <v/>
      </c>
      <c r="M142" s="19">
        <f>IF(J142=0,0,I142-K142*I142/J142)</f>
        <v/>
      </c>
      <c r="O142" s="18">
        <f>DATA!A142</f>
        <v/>
      </c>
      <c r="P142">
        <f>DATA!B142</f>
        <v/>
      </c>
      <c r="Q142" s="19">
        <f>Z141</f>
        <v/>
      </c>
      <c r="R142" s="19">
        <f>AA141</f>
        <v/>
      </c>
      <c r="S142" s="19">
        <f>Q142+R142</f>
        <v/>
      </c>
      <c r="T142" s="20">
        <f>DATA!D142</f>
        <v/>
      </c>
      <c r="U142" s="20">
        <f>DATA!G142</f>
        <v/>
      </c>
      <c r="V142" s="19">
        <f>Q142*(1+T142)</f>
        <v/>
      </c>
      <c r="W142" s="19">
        <f>R142*(1+U142)</f>
        <v/>
      </c>
      <c r="X142" s="19">
        <f>V142+W142</f>
        <v/>
      </c>
      <c r="Y142" s="19">
        <f>IF(AND(CONFIG!$B$11="Annual",MONTH(O142)=7),X142*CONFIG!$B$6/12,Y141)</f>
        <v/>
      </c>
      <c r="Z142" s="19">
        <f>IF(X142=0,0,V142-Y142*V142/X142)</f>
        <v/>
      </c>
      <c r="AA142" s="19">
        <f>IF(X142=0,0,W142-Y142*W142/X142)</f>
        <v/>
      </c>
      <c r="AC142" s="18">
        <f>DATA!A142</f>
        <v/>
      </c>
      <c r="AD142">
        <f>DATA!B142</f>
        <v/>
      </c>
      <c r="AE142" s="19">
        <f>AN141</f>
        <v/>
      </c>
      <c r="AF142" s="19">
        <f>AO141</f>
        <v/>
      </c>
      <c r="AG142" s="19">
        <f>AE142+AF142</f>
        <v/>
      </c>
      <c r="AH142" s="20">
        <f>DATA!E142</f>
        <v/>
      </c>
      <c r="AI142" s="20">
        <f>DATA!G142</f>
        <v/>
      </c>
      <c r="AJ142" s="19">
        <f>AE142*(1+AH142)</f>
        <v/>
      </c>
      <c r="AK142" s="19">
        <f>AF142*(1+AI142)</f>
        <v/>
      </c>
      <c r="AL142" s="19">
        <f>AJ142+AK142</f>
        <v/>
      </c>
      <c r="AM142" s="19">
        <f>IF(AND(CONFIG!$B$11="Annual",MONTH(AC142)=7),AL142*CONFIG!$B$6/12,AM141)</f>
        <v/>
      </c>
      <c r="AN142" s="19">
        <f>IF(AL142=0,0,AJ142-AM142*AJ142/AL142)</f>
        <v/>
      </c>
      <c r="AO142" s="19">
        <f>IF(AL142=0,0,AK142-AM142*AK142/AL142)</f>
        <v/>
      </c>
    </row>
    <row r="143">
      <c r="A143" s="18">
        <f>DATA!A143</f>
        <v/>
      </c>
      <c r="B143">
        <f>DATA!B143</f>
        <v/>
      </c>
      <c r="C143" s="19">
        <f>L142</f>
        <v/>
      </c>
      <c r="D143" s="19">
        <f>M142</f>
        <v/>
      </c>
      <c r="E143" s="19">
        <f>C143+D143</f>
        <v/>
      </c>
      <c r="F143" s="20">
        <f>DATA!C143</f>
        <v/>
      </c>
      <c r="G143" s="20">
        <f>DATA!G143</f>
        <v/>
      </c>
      <c r="H143" s="19">
        <f>C143*(1+F143)</f>
        <v/>
      </c>
      <c r="I143" s="19">
        <f>D143*(1+G143)</f>
        <v/>
      </c>
      <c r="J143" s="19">
        <f>H143+I143</f>
        <v/>
      </c>
      <c r="K143" s="19">
        <f>IF(AND(CONFIG!$B$11="Annual",MONTH(A143)=7),J143*CONFIG!$B$6/12,K142)</f>
        <v/>
      </c>
      <c r="L143" s="19">
        <f>IF(J143=0,0,H143-K143*H143/J143)</f>
        <v/>
      </c>
      <c r="M143" s="19">
        <f>IF(J143=0,0,I143-K143*I143/J143)</f>
        <v/>
      </c>
      <c r="O143" s="18">
        <f>DATA!A143</f>
        <v/>
      </c>
      <c r="P143">
        <f>DATA!B143</f>
        <v/>
      </c>
      <c r="Q143" s="19">
        <f>Z142</f>
        <v/>
      </c>
      <c r="R143" s="19">
        <f>AA142</f>
        <v/>
      </c>
      <c r="S143" s="19">
        <f>Q143+R143</f>
        <v/>
      </c>
      <c r="T143" s="20">
        <f>DATA!D143</f>
        <v/>
      </c>
      <c r="U143" s="20">
        <f>DATA!G143</f>
        <v/>
      </c>
      <c r="V143" s="19">
        <f>Q143*(1+T143)</f>
        <v/>
      </c>
      <c r="W143" s="19">
        <f>R143*(1+U143)</f>
        <v/>
      </c>
      <c r="X143" s="19">
        <f>V143+W143</f>
        <v/>
      </c>
      <c r="Y143" s="19">
        <f>IF(AND(CONFIG!$B$11="Annual",MONTH(O143)=7),X143*CONFIG!$B$6/12,Y142)</f>
        <v/>
      </c>
      <c r="Z143" s="19">
        <f>IF(X143=0,0,V143-Y143*V143/X143)</f>
        <v/>
      </c>
      <c r="AA143" s="19">
        <f>IF(X143=0,0,W143-Y143*W143/X143)</f>
        <v/>
      </c>
      <c r="AC143" s="18">
        <f>DATA!A143</f>
        <v/>
      </c>
      <c r="AD143">
        <f>DATA!B143</f>
        <v/>
      </c>
      <c r="AE143" s="19">
        <f>AN142</f>
        <v/>
      </c>
      <c r="AF143" s="19">
        <f>AO142</f>
        <v/>
      </c>
      <c r="AG143" s="19">
        <f>AE143+AF143</f>
        <v/>
      </c>
      <c r="AH143" s="20">
        <f>DATA!E143</f>
        <v/>
      </c>
      <c r="AI143" s="20">
        <f>DATA!G143</f>
        <v/>
      </c>
      <c r="AJ143" s="19">
        <f>AE143*(1+AH143)</f>
        <v/>
      </c>
      <c r="AK143" s="19">
        <f>AF143*(1+AI143)</f>
        <v/>
      </c>
      <c r="AL143" s="19">
        <f>AJ143+AK143</f>
        <v/>
      </c>
      <c r="AM143" s="19">
        <f>IF(AND(CONFIG!$B$11="Annual",MONTH(AC143)=7),AL143*CONFIG!$B$6/12,AM142)</f>
        <v/>
      </c>
      <c r="AN143" s="19">
        <f>IF(AL143=0,0,AJ143-AM143*AJ143/AL143)</f>
        <v/>
      </c>
      <c r="AO143" s="19">
        <f>IF(AL143=0,0,AK143-AM143*AK143/AL143)</f>
        <v/>
      </c>
    </row>
    <row r="144">
      <c r="A144" s="18">
        <f>DATA!A144</f>
        <v/>
      </c>
      <c r="B144">
        <f>DATA!B144</f>
        <v/>
      </c>
      <c r="C144" s="19">
        <f>L143</f>
        <v/>
      </c>
      <c r="D144" s="19">
        <f>M143</f>
        <v/>
      </c>
      <c r="E144" s="19">
        <f>C144+D144</f>
        <v/>
      </c>
      <c r="F144" s="20">
        <f>DATA!C144</f>
        <v/>
      </c>
      <c r="G144" s="20">
        <f>DATA!G144</f>
        <v/>
      </c>
      <c r="H144" s="19">
        <f>C144*(1+F144)</f>
        <v/>
      </c>
      <c r="I144" s="19">
        <f>D144*(1+G144)</f>
        <v/>
      </c>
      <c r="J144" s="19">
        <f>H144+I144</f>
        <v/>
      </c>
      <c r="K144" s="19">
        <f>IF(AND(CONFIG!$B$11="Annual",MONTH(A144)=7),J144*CONFIG!$B$6/12,K143)</f>
        <v/>
      </c>
      <c r="L144" s="19">
        <f>IF(J144=0,0,H144-K144*H144/J144)</f>
        <v/>
      </c>
      <c r="M144" s="19">
        <f>IF(J144=0,0,I144-K144*I144/J144)</f>
        <v/>
      </c>
      <c r="O144" s="18">
        <f>DATA!A144</f>
        <v/>
      </c>
      <c r="P144">
        <f>DATA!B144</f>
        <v/>
      </c>
      <c r="Q144" s="19">
        <f>Z143</f>
        <v/>
      </c>
      <c r="R144" s="19">
        <f>AA143</f>
        <v/>
      </c>
      <c r="S144" s="19">
        <f>Q144+R144</f>
        <v/>
      </c>
      <c r="T144" s="20">
        <f>DATA!D144</f>
        <v/>
      </c>
      <c r="U144" s="20">
        <f>DATA!G144</f>
        <v/>
      </c>
      <c r="V144" s="19">
        <f>Q144*(1+T144)</f>
        <v/>
      </c>
      <c r="W144" s="19">
        <f>R144*(1+U144)</f>
        <v/>
      </c>
      <c r="X144" s="19">
        <f>V144+W144</f>
        <v/>
      </c>
      <c r="Y144" s="19">
        <f>IF(AND(CONFIG!$B$11="Annual",MONTH(O144)=7),X144*CONFIG!$B$6/12,Y143)</f>
        <v/>
      </c>
      <c r="Z144" s="19">
        <f>IF(X144=0,0,V144-Y144*V144/X144)</f>
        <v/>
      </c>
      <c r="AA144" s="19">
        <f>IF(X144=0,0,W144-Y144*W144/X144)</f>
        <v/>
      </c>
      <c r="AC144" s="18">
        <f>DATA!A144</f>
        <v/>
      </c>
      <c r="AD144">
        <f>DATA!B144</f>
        <v/>
      </c>
      <c r="AE144" s="19">
        <f>AN143</f>
        <v/>
      </c>
      <c r="AF144" s="19">
        <f>AO143</f>
        <v/>
      </c>
      <c r="AG144" s="19">
        <f>AE144+AF144</f>
        <v/>
      </c>
      <c r="AH144" s="20">
        <f>DATA!E144</f>
        <v/>
      </c>
      <c r="AI144" s="20">
        <f>DATA!G144</f>
        <v/>
      </c>
      <c r="AJ144" s="19">
        <f>AE144*(1+AH144)</f>
        <v/>
      </c>
      <c r="AK144" s="19">
        <f>AF144*(1+AI144)</f>
        <v/>
      </c>
      <c r="AL144" s="19">
        <f>AJ144+AK144</f>
        <v/>
      </c>
      <c r="AM144" s="19">
        <f>IF(AND(CONFIG!$B$11="Annual",MONTH(AC144)=7),AL144*CONFIG!$B$6/12,AM143)</f>
        <v/>
      </c>
      <c r="AN144" s="19">
        <f>IF(AL144=0,0,AJ144-AM144*AJ144/AL144)</f>
        <v/>
      </c>
      <c r="AO144" s="19">
        <f>IF(AL144=0,0,AK144-AM144*AK144/AL144)</f>
        <v/>
      </c>
    </row>
    <row r="145">
      <c r="A145" s="18">
        <f>DATA!A145</f>
        <v/>
      </c>
      <c r="B145">
        <f>DATA!B145</f>
        <v/>
      </c>
      <c r="C145" s="19">
        <f>L144</f>
        <v/>
      </c>
      <c r="D145" s="19">
        <f>M144</f>
        <v/>
      </c>
      <c r="E145" s="19">
        <f>C145+D145</f>
        <v/>
      </c>
      <c r="F145" s="20">
        <f>DATA!C145</f>
        <v/>
      </c>
      <c r="G145" s="20">
        <f>DATA!G145</f>
        <v/>
      </c>
      <c r="H145" s="19">
        <f>C145*(1+F145)</f>
        <v/>
      </c>
      <c r="I145" s="19">
        <f>D145*(1+G145)</f>
        <v/>
      </c>
      <c r="J145" s="19">
        <f>H145+I145</f>
        <v/>
      </c>
      <c r="K145" s="19">
        <f>IF(AND(CONFIG!$B$11="Annual",MONTH(A145)=7),J145*CONFIG!$B$6/12,K144)</f>
        <v/>
      </c>
      <c r="L145" s="19">
        <f>IF(J145=0,0,H145-K145*H145/J145)</f>
        <v/>
      </c>
      <c r="M145" s="19">
        <f>IF(J145=0,0,I145-K145*I145/J145)</f>
        <v/>
      </c>
      <c r="O145" s="18">
        <f>DATA!A145</f>
        <v/>
      </c>
      <c r="P145">
        <f>DATA!B145</f>
        <v/>
      </c>
      <c r="Q145" s="19">
        <f>Z144</f>
        <v/>
      </c>
      <c r="R145" s="19">
        <f>AA144</f>
        <v/>
      </c>
      <c r="S145" s="19">
        <f>Q145+R145</f>
        <v/>
      </c>
      <c r="T145" s="20">
        <f>DATA!D145</f>
        <v/>
      </c>
      <c r="U145" s="20">
        <f>DATA!G145</f>
        <v/>
      </c>
      <c r="V145" s="19">
        <f>Q145*(1+T145)</f>
        <v/>
      </c>
      <c r="W145" s="19">
        <f>R145*(1+U145)</f>
        <v/>
      </c>
      <c r="X145" s="19">
        <f>V145+W145</f>
        <v/>
      </c>
      <c r="Y145" s="19">
        <f>IF(AND(CONFIG!$B$11="Annual",MONTH(O145)=7),X145*CONFIG!$B$6/12,Y144)</f>
        <v/>
      </c>
      <c r="Z145" s="19">
        <f>IF(X145=0,0,V145-Y145*V145/X145)</f>
        <v/>
      </c>
      <c r="AA145" s="19">
        <f>IF(X145=0,0,W145-Y145*W145/X145)</f>
        <v/>
      </c>
      <c r="AC145" s="18">
        <f>DATA!A145</f>
        <v/>
      </c>
      <c r="AD145">
        <f>DATA!B145</f>
        <v/>
      </c>
      <c r="AE145" s="19">
        <f>AN144</f>
        <v/>
      </c>
      <c r="AF145" s="19">
        <f>AO144</f>
        <v/>
      </c>
      <c r="AG145" s="19">
        <f>AE145+AF145</f>
        <v/>
      </c>
      <c r="AH145" s="20">
        <f>DATA!E145</f>
        <v/>
      </c>
      <c r="AI145" s="20">
        <f>DATA!G145</f>
        <v/>
      </c>
      <c r="AJ145" s="19">
        <f>AE145*(1+AH145)</f>
        <v/>
      </c>
      <c r="AK145" s="19">
        <f>AF145*(1+AI145)</f>
        <v/>
      </c>
      <c r="AL145" s="19">
        <f>AJ145+AK145</f>
        <v/>
      </c>
      <c r="AM145" s="19">
        <f>IF(AND(CONFIG!$B$11="Annual",MONTH(AC145)=7),AL145*CONFIG!$B$6/12,AM144)</f>
        <v/>
      </c>
      <c r="AN145" s="19">
        <f>IF(AL145=0,0,AJ145-AM145*AJ145/AL145)</f>
        <v/>
      </c>
      <c r="AO145" s="19">
        <f>IF(AL145=0,0,AK145-AM145*AK145/AL145)</f>
        <v/>
      </c>
    </row>
    <row r="146">
      <c r="A146" s="18">
        <f>DATA!A146</f>
        <v/>
      </c>
      <c r="B146">
        <f>DATA!B146</f>
        <v/>
      </c>
      <c r="C146" s="19">
        <f>L145</f>
        <v/>
      </c>
      <c r="D146" s="19">
        <f>M145</f>
        <v/>
      </c>
      <c r="E146" s="19">
        <f>C146+D146</f>
        <v/>
      </c>
      <c r="F146" s="20">
        <f>DATA!C146</f>
        <v/>
      </c>
      <c r="G146" s="20">
        <f>DATA!G146</f>
        <v/>
      </c>
      <c r="H146" s="19">
        <f>C146*(1+F146)</f>
        <v/>
      </c>
      <c r="I146" s="19">
        <f>D146*(1+G146)</f>
        <v/>
      </c>
      <c r="J146" s="19">
        <f>H146+I146</f>
        <v/>
      </c>
      <c r="K146" s="19">
        <f>IF(AND(CONFIG!$B$11="Annual",MONTH(A146)=7),J146*CONFIG!$B$6/12,K145)</f>
        <v/>
      </c>
      <c r="L146" s="19">
        <f>IF(J146=0,0,H146-K146*H146/J146)</f>
        <v/>
      </c>
      <c r="M146" s="19">
        <f>IF(J146=0,0,I146-K146*I146/J146)</f>
        <v/>
      </c>
      <c r="O146" s="18">
        <f>DATA!A146</f>
        <v/>
      </c>
      <c r="P146">
        <f>DATA!B146</f>
        <v/>
      </c>
      <c r="Q146" s="19">
        <f>Z145</f>
        <v/>
      </c>
      <c r="R146" s="19">
        <f>AA145</f>
        <v/>
      </c>
      <c r="S146" s="19">
        <f>Q146+R146</f>
        <v/>
      </c>
      <c r="T146" s="20">
        <f>DATA!D146</f>
        <v/>
      </c>
      <c r="U146" s="20">
        <f>DATA!G146</f>
        <v/>
      </c>
      <c r="V146" s="19">
        <f>Q146*(1+T146)</f>
        <v/>
      </c>
      <c r="W146" s="19">
        <f>R146*(1+U146)</f>
        <v/>
      </c>
      <c r="X146" s="19">
        <f>V146+W146</f>
        <v/>
      </c>
      <c r="Y146" s="19">
        <f>IF(AND(CONFIG!$B$11="Annual",MONTH(O146)=7),X146*CONFIG!$B$6/12,Y145)</f>
        <v/>
      </c>
      <c r="Z146" s="19">
        <f>IF(X146=0,0,V146-Y146*V146/X146)</f>
        <v/>
      </c>
      <c r="AA146" s="19">
        <f>IF(X146=0,0,W146-Y146*W146/X146)</f>
        <v/>
      </c>
      <c r="AC146" s="18">
        <f>DATA!A146</f>
        <v/>
      </c>
      <c r="AD146">
        <f>DATA!B146</f>
        <v/>
      </c>
      <c r="AE146" s="19">
        <f>AN145</f>
        <v/>
      </c>
      <c r="AF146" s="19">
        <f>AO145</f>
        <v/>
      </c>
      <c r="AG146" s="19">
        <f>AE146+AF146</f>
        <v/>
      </c>
      <c r="AH146" s="20">
        <f>DATA!E146</f>
        <v/>
      </c>
      <c r="AI146" s="20">
        <f>DATA!G146</f>
        <v/>
      </c>
      <c r="AJ146" s="19">
        <f>AE146*(1+AH146)</f>
        <v/>
      </c>
      <c r="AK146" s="19">
        <f>AF146*(1+AI146)</f>
        <v/>
      </c>
      <c r="AL146" s="19">
        <f>AJ146+AK146</f>
        <v/>
      </c>
      <c r="AM146" s="19">
        <f>IF(AND(CONFIG!$B$11="Annual",MONTH(AC146)=7),AL146*CONFIG!$B$6/12,AM145)</f>
        <v/>
      </c>
      <c r="AN146" s="19">
        <f>IF(AL146=0,0,AJ146-AM146*AJ146/AL146)</f>
        <v/>
      </c>
      <c r="AO146" s="19">
        <f>IF(AL146=0,0,AK146-AM146*AK146/AL146)</f>
        <v/>
      </c>
    </row>
    <row r="147">
      <c r="A147" s="18">
        <f>DATA!A147</f>
        <v/>
      </c>
      <c r="B147">
        <f>DATA!B147</f>
        <v/>
      </c>
      <c r="C147" s="19">
        <f>L146</f>
        <v/>
      </c>
      <c r="D147" s="19">
        <f>M146</f>
        <v/>
      </c>
      <c r="E147" s="19">
        <f>C147+D147</f>
        <v/>
      </c>
      <c r="F147" s="20">
        <f>DATA!C147</f>
        <v/>
      </c>
      <c r="G147" s="20">
        <f>DATA!G147</f>
        <v/>
      </c>
      <c r="H147" s="19">
        <f>C147*(1+F147)</f>
        <v/>
      </c>
      <c r="I147" s="19">
        <f>D147*(1+G147)</f>
        <v/>
      </c>
      <c r="J147" s="19">
        <f>H147+I147</f>
        <v/>
      </c>
      <c r="K147" s="19">
        <f>IF(AND(CONFIG!$B$11="Annual",MONTH(A147)=7),J147*CONFIG!$B$6/12,K146)</f>
        <v/>
      </c>
      <c r="L147" s="19">
        <f>IF(J147=0,0,H147-K147*H147/J147)</f>
        <v/>
      </c>
      <c r="M147" s="19">
        <f>IF(J147=0,0,I147-K147*I147/J147)</f>
        <v/>
      </c>
      <c r="O147" s="18">
        <f>DATA!A147</f>
        <v/>
      </c>
      <c r="P147">
        <f>DATA!B147</f>
        <v/>
      </c>
      <c r="Q147" s="19">
        <f>Z146</f>
        <v/>
      </c>
      <c r="R147" s="19">
        <f>AA146</f>
        <v/>
      </c>
      <c r="S147" s="19">
        <f>Q147+R147</f>
        <v/>
      </c>
      <c r="T147" s="20">
        <f>DATA!D147</f>
        <v/>
      </c>
      <c r="U147" s="20">
        <f>DATA!G147</f>
        <v/>
      </c>
      <c r="V147" s="19">
        <f>Q147*(1+T147)</f>
        <v/>
      </c>
      <c r="W147" s="19">
        <f>R147*(1+U147)</f>
        <v/>
      </c>
      <c r="X147" s="19">
        <f>V147+W147</f>
        <v/>
      </c>
      <c r="Y147" s="19">
        <f>IF(AND(CONFIG!$B$11="Annual",MONTH(O147)=7),X147*CONFIG!$B$6/12,Y146)</f>
        <v/>
      </c>
      <c r="Z147" s="19">
        <f>IF(X147=0,0,V147-Y147*V147/X147)</f>
        <v/>
      </c>
      <c r="AA147" s="19">
        <f>IF(X147=0,0,W147-Y147*W147/X147)</f>
        <v/>
      </c>
      <c r="AC147" s="18">
        <f>DATA!A147</f>
        <v/>
      </c>
      <c r="AD147">
        <f>DATA!B147</f>
        <v/>
      </c>
      <c r="AE147" s="19">
        <f>AN146</f>
        <v/>
      </c>
      <c r="AF147" s="19">
        <f>AO146</f>
        <v/>
      </c>
      <c r="AG147" s="19">
        <f>AE147+AF147</f>
        <v/>
      </c>
      <c r="AH147" s="20">
        <f>DATA!E147</f>
        <v/>
      </c>
      <c r="AI147" s="20">
        <f>DATA!G147</f>
        <v/>
      </c>
      <c r="AJ147" s="19">
        <f>AE147*(1+AH147)</f>
        <v/>
      </c>
      <c r="AK147" s="19">
        <f>AF147*(1+AI147)</f>
        <v/>
      </c>
      <c r="AL147" s="19">
        <f>AJ147+AK147</f>
        <v/>
      </c>
      <c r="AM147" s="19">
        <f>IF(AND(CONFIG!$B$11="Annual",MONTH(AC147)=7),AL147*CONFIG!$B$6/12,AM146)</f>
        <v/>
      </c>
      <c r="AN147" s="19">
        <f>IF(AL147=0,0,AJ147-AM147*AJ147/AL147)</f>
        <v/>
      </c>
      <c r="AO147" s="19">
        <f>IF(AL147=0,0,AK147-AM147*AK147/AL147)</f>
        <v/>
      </c>
    </row>
    <row r="148">
      <c r="A148" s="18">
        <f>DATA!A148</f>
        <v/>
      </c>
      <c r="B148">
        <f>DATA!B148</f>
        <v/>
      </c>
      <c r="C148" s="19">
        <f>L147</f>
        <v/>
      </c>
      <c r="D148" s="19">
        <f>M147</f>
        <v/>
      </c>
      <c r="E148" s="19">
        <f>C148+D148</f>
        <v/>
      </c>
      <c r="F148" s="20">
        <f>DATA!C148</f>
        <v/>
      </c>
      <c r="G148" s="20">
        <f>DATA!G148</f>
        <v/>
      </c>
      <c r="H148" s="19">
        <f>C148*(1+F148)</f>
        <v/>
      </c>
      <c r="I148" s="19">
        <f>D148*(1+G148)</f>
        <v/>
      </c>
      <c r="J148" s="19">
        <f>H148+I148</f>
        <v/>
      </c>
      <c r="K148" s="19">
        <f>IF(AND(CONFIG!$B$11="Annual",MONTH(A148)=7),J148*CONFIG!$B$6/12,K147)</f>
        <v/>
      </c>
      <c r="L148" s="19">
        <f>IF(J148=0,0,H148-K148*H148/J148)</f>
        <v/>
      </c>
      <c r="M148" s="19">
        <f>IF(J148=0,0,I148-K148*I148/J148)</f>
        <v/>
      </c>
      <c r="O148" s="18">
        <f>DATA!A148</f>
        <v/>
      </c>
      <c r="P148">
        <f>DATA!B148</f>
        <v/>
      </c>
      <c r="Q148" s="19">
        <f>Z147</f>
        <v/>
      </c>
      <c r="R148" s="19">
        <f>AA147</f>
        <v/>
      </c>
      <c r="S148" s="19">
        <f>Q148+R148</f>
        <v/>
      </c>
      <c r="T148" s="20">
        <f>DATA!D148</f>
        <v/>
      </c>
      <c r="U148" s="20">
        <f>DATA!G148</f>
        <v/>
      </c>
      <c r="V148" s="19">
        <f>Q148*(1+T148)</f>
        <v/>
      </c>
      <c r="W148" s="19">
        <f>R148*(1+U148)</f>
        <v/>
      </c>
      <c r="X148" s="19">
        <f>V148+W148</f>
        <v/>
      </c>
      <c r="Y148" s="19">
        <f>IF(AND(CONFIG!$B$11="Annual",MONTH(O148)=7),X148*CONFIG!$B$6/12,Y147)</f>
        <v/>
      </c>
      <c r="Z148" s="19">
        <f>IF(X148=0,0,V148-Y148*V148/X148)</f>
        <v/>
      </c>
      <c r="AA148" s="19">
        <f>IF(X148=0,0,W148-Y148*W148/X148)</f>
        <v/>
      </c>
      <c r="AC148" s="18">
        <f>DATA!A148</f>
        <v/>
      </c>
      <c r="AD148">
        <f>DATA!B148</f>
        <v/>
      </c>
      <c r="AE148" s="19">
        <f>AN147</f>
        <v/>
      </c>
      <c r="AF148" s="19">
        <f>AO147</f>
        <v/>
      </c>
      <c r="AG148" s="19">
        <f>AE148+AF148</f>
        <v/>
      </c>
      <c r="AH148" s="20">
        <f>DATA!E148</f>
        <v/>
      </c>
      <c r="AI148" s="20">
        <f>DATA!G148</f>
        <v/>
      </c>
      <c r="AJ148" s="19">
        <f>AE148*(1+AH148)</f>
        <v/>
      </c>
      <c r="AK148" s="19">
        <f>AF148*(1+AI148)</f>
        <v/>
      </c>
      <c r="AL148" s="19">
        <f>AJ148+AK148</f>
        <v/>
      </c>
      <c r="AM148" s="19">
        <f>IF(AND(CONFIG!$B$11="Annual",MONTH(AC148)=7),AL148*CONFIG!$B$6/12,AM147)</f>
        <v/>
      </c>
      <c r="AN148" s="19">
        <f>IF(AL148=0,0,AJ148-AM148*AJ148/AL148)</f>
        <v/>
      </c>
      <c r="AO148" s="19">
        <f>IF(AL148=0,0,AK148-AM148*AK148/AL148)</f>
        <v/>
      </c>
    </row>
    <row r="149">
      <c r="A149" s="18">
        <f>DATA!A149</f>
        <v/>
      </c>
      <c r="B149">
        <f>DATA!B149</f>
        <v/>
      </c>
      <c r="C149" s="19">
        <f>L148</f>
        <v/>
      </c>
      <c r="D149" s="19">
        <f>M148</f>
        <v/>
      </c>
      <c r="E149" s="19">
        <f>C149+D149</f>
        <v/>
      </c>
      <c r="F149" s="20">
        <f>DATA!C149</f>
        <v/>
      </c>
      <c r="G149" s="20">
        <f>DATA!G149</f>
        <v/>
      </c>
      <c r="H149" s="19">
        <f>C149*(1+F149)</f>
        <v/>
      </c>
      <c r="I149" s="19">
        <f>D149*(1+G149)</f>
        <v/>
      </c>
      <c r="J149" s="19">
        <f>H149+I149</f>
        <v/>
      </c>
      <c r="K149" s="19">
        <f>IF(AND(CONFIG!$B$11="Annual",MONTH(A149)=7),J149*CONFIG!$B$6/12,K148)</f>
        <v/>
      </c>
      <c r="L149" s="19">
        <f>IF(J149=0,0,H149-K149*H149/J149)</f>
        <v/>
      </c>
      <c r="M149" s="19">
        <f>IF(J149=0,0,I149-K149*I149/J149)</f>
        <v/>
      </c>
      <c r="O149" s="18">
        <f>DATA!A149</f>
        <v/>
      </c>
      <c r="P149">
        <f>DATA!B149</f>
        <v/>
      </c>
      <c r="Q149" s="19">
        <f>Z148</f>
        <v/>
      </c>
      <c r="R149" s="19">
        <f>AA148</f>
        <v/>
      </c>
      <c r="S149" s="19">
        <f>Q149+R149</f>
        <v/>
      </c>
      <c r="T149" s="20">
        <f>DATA!D149</f>
        <v/>
      </c>
      <c r="U149" s="20">
        <f>DATA!G149</f>
        <v/>
      </c>
      <c r="V149" s="19">
        <f>Q149*(1+T149)</f>
        <v/>
      </c>
      <c r="W149" s="19">
        <f>R149*(1+U149)</f>
        <v/>
      </c>
      <c r="X149" s="19">
        <f>V149+W149</f>
        <v/>
      </c>
      <c r="Y149" s="19">
        <f>IF(AND(CONFIG!$B$11="Annual",MONTH(O149)=7),X149*CONFIG!$B$6/12,Y148)</f>
        <v/>
      </c>
      <c r="Z149" s="19">
        <f>IF(X149=0,0,V149-Y149*V149/X149)</f>
        <v/>
      </c>
      <c r="AA149" s="19">
        <f>IF(X149=0,0,W149-Y149*W149/X149)</f>
        <v/>
      </c>
      <c r="AC149" s="18">
        <f>DATA!A149</f>
        <v/>
      </c>
      <c r="AD149">
        <f>DATA!B149</f>
        <v/>
      </c>
      <c r="AE149" s="19">
        <f>AN148</f>
        <v/>
      </c>
      <c r="AF149" s="19">
        <f>AO148</f>
        <v/>
      </c>
      <c r="AG149" s="19">
        <f>AE149+AF149</f>
        <v/>
      </c>
      <c r="AH149" s="20">
        <f>DATA!E149</f>
        <v/>
      </c>
      <c r="AI149" s="20">
        <f>DATA!G149</f>
        <v/>
      </c>
      <c r="AJ149" s="19">
        <f>AE149*(1+AH149)</f>
        <v/>
      </c>
      <c r="AK149" s="19">
        <f>AF149*(1+AI149)</f>
        <v/>
      </c>
      <c r="AL149" s="19">
        <f>AJ149+AK149</f>
        <v/>
      </c>
      <c r="AM149" s="19">
        <f>IF(AND(CONFIG!$B$11="Annual",MONTH(AC149)=7),AL149*CONFIG!$B$6/12,AM148)</f>
        <v/>
      </c>
      <c r="AN149" s="19">
        <f>IF(AL149=0,0,AJ149-AM149*AJ149/AL149)</f>
        <v/>
      </c>
      <c r="AO149" s="19">
        <f>IF(AL149=0,0,AK149-AM149*AK149/AL149)</f>
        <v/>
      </c>
    </row>
    <row r="150">
      <c r="A150" s="18">
        <f>DATA!A150</f>
        <v/>
      </c>
      <c r="B150">
        <f>DATA!B150</f>
        <v/>
      </c>
      <c r="C150" s="19">
        <f>L149</f>
        <v/>
      </c>
      <c r="D150" s="19">
        <f>M149</f>
        <v/>
      </c>
      <c r="E150" s="19">
        <f>C150+D150</f>
        <v/>
      </c>
      <c r="F150" s="20">
        <f>DATA!C150</f>
        <v/>
      </c>
      <c r="G150" s="20">
        <f>DATA!G150</f>
        <v/>
      </c>
      <c r="H150" s="19">
        <f>C150*(1+F150)</f>
        <v/>
      </c>
      <c r="I150" s="19">
        <f>D150*(1+G150)</f>
        <v/>
      </c>
      <c r="J150" s="19">
        <f>H150+I150</f>
        <v/>
      </c>
      <c r="K150" s="19">
        <f>IF(AND(CONFIG!$B$11="Annual",MONTH(A150)=7),J150*CONFIG!$B$6/12,K149)</f>
        <v/>
      </c>
      <c r="L150" s="19">
        <f>IF(J150=0,0,H150-K150*H150/J150)</f>
        <v/>
      </c>
      <c r="M150" s="19">
        <f>IF(J150=0,0,I150-K150*I150/J150)</f>
        <v/>
      </c>
      <c r="O150" s="18">
        <f>DATA!A150</f>
        <v/>
      </c>
      <c r="P150">
        <f>DATA!B150</f>
        <v/>
      </c>
      <c r="Q150" s="19">
        <f>Z149</f>
        <v/>
      </c>
      <c r="R150" s="19">
        <f>AA149</f>
        <v/>
      </c>
      <c r="S150" s="19">
        <f>Q150+R150</f>
        <v/>
      </c>
      <c r="T150" s="20">
        <f>DATA!D150</f>
        <v/>
      </c>
      <c r="U150" s="20">
        <f>DATA!G150</f>
        <v/>
      </c>
      <c r="V150" s="19">
        <f>Q150*(1+T150)</f>
        <v/>
      </c>
      <c r="W150" s="19">
        <f>R150*(1+U150)</f>
        <v/>
      </c>
      <c r="X150" s="19">
        <f>V150+W150</f>
        <v/>
      </c>
      <c r="Y150" s="19">
        <f>IF(AND(CONFIG!$B$11="Annual",MONTH(O150)=7),X150*CONFIG!$B$6/12,Y149)</f>
        <v/>
      </c>
      <c r="Z150" s="19">
        <f>IF(X150=0,0,V150-Y150*V150/X150)</f>
        <v/>
      </c>
      <c r="AA150" s="19">
        <f>IF(X150=0,0,W150-Y150*W150/X150)</f>
        <v/>
      </c>
      <c r="AC150" s="18">
        <f>DATA!A150</f>
        <v/>
      </c>
      <c r="AD150">
        <f>DATA!B150</f>
        <v/>
      </c>
      <c r="AE150" s="19">
        <f>AN149</f>
        <v/>
      </c>
      <c r="AF150" s="19">
        <f>AO149</f>
        <v/>
      </c>
      <c r="AG150" s="19">
        <f>AE150+AF150</f>
        <v/>
      </c>
      <c r="AH150" s="20">
        <f>DATA!E150</f>
        <v/>
      </c>
      <c r="AI150" s="20">
        <f>DATA!G150</f>
        <v/>
      </c>
      <c r="AJ150" s="19">
        <f>AE150*(1+AH150)</f>
        <v/>
      </c>
      <c r="AK150" s="19">
        <f>AF150*(1+AI150)</f>
        <v/>
      </c>
      <c r="AL150" s="19">
        <f>AJ150+AK150</f>
        <v/>
      </c>
      <c r="AM150" s="19">
        <f>IF(AND(CONFIG!$B$11="Annual",MONTH(AC150)=7),AL150*CONFIG!$B$6/12,AM149)</f>
        <v/>
      </c>
      <c r="AN150" s="19">
        <f>IF(AL150=0,0,AJ150-AM150*AJ150/AL150)</f>
        <v/>
      </c>
      <c r="AO150" s="19">
        <f>IF(AL150=0,0,AK150-AM150*AK150/AL150)</f>
        <v/>
      </c>
    </row>
    <row r="151">
      <c r="A151" s="18">
        <f>DATA!A151</f>
        <v/>
      </c>
      <c r="B151">
        <f>DATA!B151</f>
        <v/>
      </c>
      <c r="C151" s="19">
        <f>L150</f>
        <v/>
      </c>
      <c r="D151" s="19">
        <f>M150</f>
        <v/>
      </c>
      <c r="E151" s="19">
        <f>C151+D151</f>
        <v/>
      </c>
      <c r="F151" s="20">
        <f>DATA!C151</f>
        <v/>
      </c>
      <c r="G151" s="20">
        <f>DATA!G151</f>
        <v/>
      </c>
      <c r="H151" s="19">
        <f>C151*(1+F151)</f>
        <v/>
      </c>
      <c r="I151" s="19">
        <f>D151*(1+G151)</f>
        <v/>
      </c>
      <c r="J151" s="19">
        <f>H151+I151</f>
        <v/>
      </c>
      <c r="K151" s="19">
        <f>IF(AND(CONFIG!$B$11="Annual",MONTH(A151)=7),J151*CONFIG!$B$6/12,K150)</f>
        <v/>
      </c>
      <c r="L151" s="19">
        <f>IF(J151=0,0,H151-K151*H151/J151)</f>
        <v/>
      </c>
      <c r="M151" s="19">
        <f>IF(J151=0,0,I151-K151*I151/J151)</f>
        <v/>
      </c>
      <c r="O151" s="18">
        <f>DATA!A151</f>
        <v/>
      </c>
      <c r="P151">
        <f>DATA!B151</f>
        <v/>
      </c>
      <c r="Q151" s="19">
        <f>Z150</f>
        <v/>
      </c>
      <c r="R151" s="19">
        <f>AA150</f>
        <v/>
      </c>
      <c r="S151" s="19">
        <f>Q151+R151</f>
        <v/>
      </c>
      <c r="T151" s="20">
        <f>DATA!D151</f>
        <v/>
      </c>
      <c r="U151" s="20">
        <f>DATA!G151</f>
        <v/>
      </c>
      <c r="V151" s="19">
        <f>Q151*(1+T151)</f>
        <v/>
      </c>
      <c r="W151" s="19">
        <f>R151*(1+U151)</f>
        <v/>
      </c>
      <c r="X151" s="19">
        <f>V151+W151</f>
        <v/>
      </c>
      <c r="Y151" s="19">
        <f>IF(AND(CONFIG!$B$11="Annual",MONTH(O151)=7),X151*CONFIG!$B$6/12,Y150)</f>
        <v/>
      </c>
      <c r="Z151" s="19">
        <f>IF(X151=0,0,V151-Y151*V151/X151)</f>
        <v/>
      </c>
      <c r="AA151" s="19">
        <f>IF(X151=0,0,W151-Y151*W151/X151)</f>
        <v/>
      </c>
      <c r="AC151" s="18">
        <f>DATA!A151</f>
        <v/>
      </c>
      <c r="AD151">
        <f>DATA!B151</f>
        <v/>
      </c>
      <c r="AE151" s="19">
        <f>AN150</f>
        <v/>
      </c>
      <c r="AF151" s="19">
        <f>AO150</f>
        <v/>
      </c>
      <c r="AG151" s="19">
        <f>AE151+AF151</f>
        <v/>
      </c>
      <c r="AH151" s="20">
        <f>DATA!E151</f>
        <v/>
      </c>
      <c r="AI151" s="20">
        <f>DATA!G151</f>
        <v/>
      </c>
      <c r="AJ151" s="19">
        <f>AE151*(1+AH151)</f>
        <v/>
      </c>
      <c r="AK151" s="19">
        <f>AF151*(1+AI151)</f>
        <v/>
      </c>
      <c r="AL151" s="19">
        <f>AJ151+AK151</f>
        <v/>
      </c>
      <c r="AM151" s="19">
        <f>IF(AND(CONFIG!$B$11="Annual",MONTH(AC151)=7),AL151*CONFIG!$B$6/12,AM150)</f>
        <v/>
      </c>
      <c r="AN151" s="19">
        <f>IF(AL151=0,0,AJ151-AM151*AJ151/AL151)</f>
        <v/>
      </c>
      <c r="AO151" s="19">
        <f>IF(AL151=0,0,AK151-AM151*AK151/AL151)</f>
        <v/>
      </c>
    </row>
    <row r="152">
      <c r="A152" s="18">
        <f>DATA!A152</f>
        <v/>
      </c>
      <c r="B152">
        <f>DATA!B152</f>
        <v/>
      </c>
      <c r="C152" s="19">
        <f>L151</f>
        <v/>
      </c>
      <c r="D152" s="19">
        <f>M151</f>
        <v/>
      </c>
      <c r="E152" s="19">
        <f>C152+D152</f>
        <v/>
      </c>
      <c r="F152" s="20">
        <f>DATA!C152</f>
        <v/>
      </c>
      <c r="G152" s="20">
        <f>DATA!G152</f>
        <v/>
      </c>
      <c r="H152" s="19">
        <f>C152*(1+F152)</f>
        <v/>
      </c>
      <c r="I152" s="19">
        <f>D152*(1+G152)</f>
        <v/>
      </c>
      <c r="J152" s="19">
        <f>H152+I152</f>
        <v/>
      </c>
      <c r="K152" s="19">
        <f>IF(AND(CONFIG!$B$11="Annual",MONTH(A152)=7),J152*CONFIG!$B$6/12,K151)</f>
        <v/>
      </c>
      <c r="L152" s="19">
        <f>IF(J152=0,0,H152-K152*H152/J152)</f>
        <v/>
      </c>
      <c r="M152" s="19">
        <f>IF(J152=0,0,I152-K152*I152/J152)</f>
        <v/>
      </c>
      <c r="O152" s="18">
        <f>DATA!A152</f>
        <v/>
      </c>
      <c r="P152">
        <f>DATA!B152</f>
        <v/>
      </c>
      <c r="Q152" s="19">
        <f>Z151</f>
        <v/>
      </c>
      <c r="R152" s="19">
        <f>AA151</f>
        <v/>
      </c>
      <c r="S152" s="19">
        <f>Q152+R152</f>
        <v/>
      </c>
      <c r="T152" s="20">
        <f>DATA!D152</f>
        <v/>
      </c>
      <c r="U152" s="20">
        <f>DATA!G152</f>
        <v/>
      </c>
      <c r="V152" s="19">
        <f>Q152*(1+T152)</f>
        <v/>
      </c>
      <c r="W152" s="19">
        <f>R152*(1+U152)</f>
        <v/>
      </c>
      <c r="X152" s="19">
        <f>V152+W152</f>
        <v/>
      </c>
      <c r="Y152" s="19">
        <f>IF(AND(CONFIG!$B$11="Annual",MONTH(O152)=7),X152*CONFIG!$B$6/12,Y151)</f>
        <v/>
      </c>
      <c r="Z152" s="19">
        <f>IF(X152=0,0,V152-Y152*V152/X152)</f>
        <v/>
      </c>
      <c r="AA152" s="19">
        <f>IF(X152=0,0,W152-Y152*W152/X152)</f>
        <v/>
      </c>
      <c r="AC152" s="18">
        <f>DATA!A152</f>
        <v/>
      </c>
      <c r="AD152">
        <f>DATA!B152</f>
        <v/>
      </c>
      <c r="AE152" s="19">
        <f>AN151</f>
        <v/>
      </c>
      <c r="AF152" s="19">
        <f>AO151</f>
        <v/>
      </c>
      <c r="AG152" s="19">
        <f>AE152+AF152</f>
        <v/>
      </c>
      <c r="AH152" s="20">
        <f>DATA!E152</f>
        <v/>
      </c>
      <c r="AI152" s="20">
        <f>DATA!G152</f>
        <v/>
      </c>
      <c r="AJ152" s="19">
        <f>AE152*(1+AH152)</f>
        <v/>
      </c>
      <c r="AK152" s="19">
        <f>AF152*(1+AI152)</f>
        <v/>
      </c>
      <c r="AL152" s="19">
        <f>AJ152+AK152</f>
        <v/>
      </c>
      <c r="AM152" s="19">
        <f>IF(AND(CONFIG!$B$11="Annual",MONTH(AC152)=7),AL152*CONFIG!$B$6/12,AM151)</f>
        <v/>
      </c>
      <c r="AN152" s="19">
        <f>IF(AL152=0,0,AJ152-AM152*AJ152/AL152)</f>
        <v/>
      </c>
      <c r="AO152" s="19">
        <f>IF(AL152=0,0,AK152-AM152*AK152/AL152)</f>
        <v/>
      </c>
    </row>
    <row r="153">
      <c r="A153" s="18">
        <f>DATA!A153</f>
        <v/>
      </c>
      <c r="B153">
        <f>DATA!B153</f>
        <v/>
      </c>
      <c r="C153" s="19">
        <f>L152</f>
        <v/>
      </c>
      <c r="D153" s="19">
        <f>M152</f>
        <v/>
      </c>
      <c r="E153" s="19">
        <f>C153+D153</f>
        <v/>
      </c>
      <c r="F153" s="20">
        <f>DATA!C153</f>
        <v/>
      </c>
      <c r="G153" s="20">
        <f>DATA!G153</f>
        <v/>
      </c>
      <c r="H153" s="19">
        <f>C153*(1+F153)</f>
        <v/>
      </c>
      <c r="I153" s="19">
        <f>D153*(1+G153)</f>
        <v/>
      </c>
      <c r="J153" s="19">
        <f>H153+I153</f>
        <v/>
      </c>
      <c r="K153" s="19">
        <f>IF(AND(CONFIG!$B$11="Annual",MONTH(A153)=7),J153*CONFIG!$B$6/12,K152)</f>
        <v/>
      </c>
      <c r="L153" s="19">
        <f>IF(J153=0,0,H153-K153*H153/J153)</f>
        <v/>
      </c>
      <c r="M153" s="19">
        <f>IF(J153=0,0,I153-K153*I153/J153)</f>
        <v/>
      </c>
      <c r="O153" s="18">
        <f>DATA!A153</f>
        <v/>
      </c>
      <c r="P153">
        <f>DATA!B153</f>
        <v/>
      </c>
      <c r="Q153" s="19">
        <f>Z152</f>
        <v/>
      </c>
      <c r="R153" s="19">
        <f>AA152</f>
        <v/>
      </c>
      <c r="S153" s="19">
        <f>Q153+R153</f>
        <v/>
      </c>
      <c r="T153" s="20">
        <f>DATA!D153</f>
        <v/>
      </c>
      <c r="U153" s="20">
        <f>DATA!G153</f>
        <v/>
      </c>
      <c r="V153" s="19">
        <f>Q153*(1+T153)</f>
        <v/>
      </c>
      <c r="W153" s="19">
        <f>R153*(1+U153)</f>
        <v/>
      </c>
      <c r="X153" s="19">
        <f>V153+W153</f>
        <v/>
      </c>
      <c r="Y153" s="19">
        <f>IF(AND(CONFIG!$B$11="Annual",MONTH(O153)=7),X153*CONFIG!$B$6/12,Y152)</f>
        <v/>
      </c>
      <c r="Z153" s="19">
        <f>IF(X153=0,0,V153-Y153*V153/X153)</f>
        <v/>
      </c>
      <c r="AA153" s="19">
        <f>IF(X153=0,0,W153-Y153*W153/X153)</f>
        <v/>
      </c>
      <c r="AC153" s="18">
        <f>DATA!A153</f>
        <v/>
      </c>
      <c r="AD153">
        <f>DATA!B153</f>
        <v/>
      </c>
      <c r="AE153" s="19">
        <f>AN152</f>
        <v/>
      </c>
      <c r="AF153" s="19">
        <f>AO152</f>
        <v/>
      </c>
      <c r="AG153" s="19">
        <f>AE153+AF153</f>
        <v/>
      </c>
      <c r="AH153" s="20">
        <f>DATA!E153</f>
        <v/>
      </c>
      <c r="AI153" s="20">
        <f>DATA!G153</f>
        <v/>
      </c>
      <c r="AJ153" s="19">
        <f>AE153*(1+AH153)</f>
        <v/>
      </c>
      <c r="AK153" s="19">
        <f>AF153*(1+AI153)</f>
        <v/>
      </c>
      <c r="AL153" s="19">
        <f>AJ153+AK153</f>
        <v/>
      </c>
      <c r="AM153" s="19">
        <f>IF(AND(CONFIG!$B$11="Annual",MONTH(AC153)=7),AL153*CONFIG!$B$6/12,AM152)</f>
        <v/>
      </c>
      <c r="AN153" s="19">
        <f>IF(AL153=0,0,AJ153-AM153*AJ153/AL153)</f>
        <v/>
      </c>
      <c r="AO153" s="19">
        <f>IF(AL153=0,0,AK153-AM153*AK153/AL153)</f>
        <v/>
      </c>
    </row>
    <row r="154">
      <c r="A154" s="18">
        <f>DATA!A154</f>
        <v/>
      </c>
      <c r="B154">
        <f>DATA!B154</f>
        <v/>
      </c>
      <c r="C154" s="19">
        <f>L153</f>
        <v/>
      </c>
      <c r="D154" s="19">
        <f>M153</f>
        <v/>
      </c>
      <c r="E154" s="19">
        <f>C154+D154</f>
        <v/>
      </c>
      <c r="F154" s="20">
        <f>DATA!C154</f>
        <v/>
      </c>
      <c r="G154" s="20">
        <f>DATA!G154</f>
        <v/>
      </c>
      <c r="H154" s="19">
        <f>C154*(1+F154)</f>
        <v/>
      </c>
      <c r="I154" s="19">
        <f>D154*(1+G154)</f>
        <v/>
      </c>
      <c r="J154" s="19">
        <f>H154+I154</f>
        <v/>
      </c>
      <c r="K154" s="19">
        <f>IF(AND(CONFIG!$B$11="Annual",MONTH(A154)=7),J154*CONFIG!$B$6/12,K153)</f>
        <v/>
      </c>
      <c r="L154" s="19">
        <f>IF(J154=0,0,H154-K154*H154/J154)</f>
        <v/>
      </c>
      <c r="M154" s="19">
        <f>IF(J154=0,0,I154-K154*I154/J154)</f>
        <v/>
      </c>
      <c r="O154" s="18">
        <f>DATA!A154</f>
        <v/>
      </c>
      <c r="P154">
        <f>DATA!B154</f>
        <v/>
      </c>
      <c r="Q154" s="19">
        <f>Z153</f>
        <v/>
      </c>
      <c r="R154" s="19">
        <f>AA153</f>
        <v/>
      </c>
      <c r="S154" s="19">
        <f>Q154+R154</f>
        <v/>
      </c>
      <c r="T154" s="20">
        <f>DATA!D154</f>
        <v/>
      </c>
      <c r="U154" s="20">
        <f>DATA!G154</f>
        <v/>
      </c>
      <c r="V154" s="19">
        <f>Q154*(1+T154)</f>
        <v/>
      </c>
      <c r="W154" s="19">
        <f>R154*(1+U154)</f>
        <v/>
      </c>
      <c r="X154" s="19">
        <f>V154+W154</f>
        <v/>
      </c>
      <c r="Y154" s="19">
        <f>IF(AND(CONFIG!$B$11="Annual",MONTH(O154)=7),X154*CONFIG!$B$6/12,Y153)</f>
        <v/>
      </c>
      <c r="Z154" s="19">
        <f>IF(X154=0,0,V154-Y154*V154/X154)</f>
        <v/>
      </c>
      <c r="AA154" s="19">
        <f>IF(X154=0,0,W154-Y154*W154/X154)</f>
        <v/>
      </c>
      <c r="AC154" s="18">
        <f>DATA!A154</f>
        <v/>
      </c>
      <c r="AD154">
        <f>DATA!B154</f>
        <v/>
      </c>
      <c r="AE154" s="19">
        <f>AN153</f>
        <v/>
      </c>
      <c r="AF154" s="19">
        <f>AO153</f>
        <v/>
      </c>
      <c r="AG154" s="19">
        <f>AE154+AF154</f>
        <v/>
      </c>
      <c r="AH154" s="20">
        <f>DATA!E154</f>
        <v/>
      </c>
      <c r="AI154" s="20">
        <f>DATA!G154</f>
        <v/>
      </c>
      <c r="AJ154" s="19">
        <f>AE154*(1+AH154)</f>
        <v/>
      </c>
      <c r="AK154" s="19">
        <f>AF154*(1+AI154)</f>
        <v/>
      </c>
      <c r="AL154" s="19">
        <f>AJ154+AK154</f>
        <v/>
      </c>
      <c r="AM154" s="19">
        <f>IF(AND(CONFIG!$B$11="Annual",MONTH(AC154)=7),AL154*CONFIG!$B$6/12,AM153)</f>
        <v/>
      </c>
      <c r="AN154" s="19">
        <f>IF(AL154=0,0,AJ154-AM154*AJ154/AL154)</f>
        <v/>
      </c>
      <c r="AO154" s="19">
        <f>IF(AL154=0,0,AK154-AM154*AK154/AL154)</f>
        <v/>
      </c>
    </row>
    <row r="155">
      <c r="A155" s="18">
        <f>DATA!A155</f>
        <v/>
      </c>
      <c r="B155">
        <f>DATA!B155</f>
        <v/>
      </c>
      <c r="C155" s="19">
        <f>L154</f>
        <v/>
      </c>
      <c r="D155" s="19">
        <f>M154</f>
        <v/>
      </c>
      <c r="E155" s="19">
        <f>C155+D155</f>
        <v/>
      </c>
      <c r="F155" s="20">
        <f>DATA!C155</f>
        <v/>
      </c>
      <c r="G155" s="20">
        <f>DATA!G155</f>
        <v/>
      </c>
      <c r="H155" s="19">
        <f>C155*(1+F155)</f>
        <v/>
      </c>
      <c r="I155" s="19">
        <f>D155*(1+G155)</f>
        <v/>
      </c>
      <c r="J155" s="19">
        <f>H155+I155</f>
        <v/>
      </c>
      <c r="K155" s="19">
        <f>IF(AND(CONFIG!$B$11="Annual",MONTH(A155)=7),J155*CONFIG!$B$6/12,K154)</f>
        <v/>
      </c>
      <c r="L155" s="19">
        <f>IF(J155=0,0,H155-K155*H155/J155)</f>
        <v/>
      </c>
      <c r="M155" s="19">
        <f>IF(J155=0,0,I155-K155*I155/J155)</f>
        <v/>
      </c>
      <c r="O155" s="18">
        <f>DATA!A155</f>
        <v/>
      </c>
      <c r="P155">
        <f>DATA!B155</f>
        <v/>
      </c>
      <c r="Q155" s="19">
        <f>Z154</f>
        <v/>
      </c>
      <c r="R155" s="19">
        <f>AA154</f>
        <v/>
      </c>
      <c r="S155" s="19">
        <f>Q155+R155</f>
        <v/>
      </c>
      <c r="T155" s="20">
        <f>DATA!D155</f>
        <v/>
      </c>
      <c r="U155" s="20">
        <f>DATA!G155</f>
        <v/>
      </c>
      <c r="V155" s="19">
        <f>Q155*(1+T155)</f>
        <v/>
      </c>
      <c r="W155" s="19">
        <f>R155*(1+U155)</f>
        <v/>
      </c>
      <c r="X155" s="19">
        <f>V155+W155</f>
        <v/>
      </c>
      <c r="Y155" s="19">
        <f>IF(AND(CONFIG!$B$11="Annual",MONTH(O155)=7),X155*CONFIG!$B$6/12,Y154)</f>
        <v/>
      </c>
      <c r="Z155" s="19">
        <f>IF(X155=0,0,V155-Y155*V155/X155)</f>
        <v/>
      </c>
      <c r="AA155" s="19">
        <f>IF(X155=0,0,W155-Y155*W155/X155)</f>
        <v/>
      </c>
      <c r="AC155" s="18">
        <f>DATA!A155</f>
        <v/>
      </c>
      <c r="AD155">
        <f>DATA!B155</f>
        <v/>
      </c>
      <c r="AE155" s="19">
        <f>AN154</f>
        <v/>
      </c>
      <c r="AF155" s="19">
        <f>AO154</f>
        <v/>
      </c>
      <c r="AG155" s="19">
        <f>AE155+AF155</f>
        <v/>
      </c>
      <c r="AH155" s="20">
        <f>DATA!E155</f>
        <v/>
      </c>
      <c r="AI155" s="20">
        <f>DATA!G155</f>
        <v/>
      </c>
      <c r="AJ155" s="19">
        <f>AE155*(1+AH155)</f>
        <v/>
      </c>
      <c r="AK155" s="19">
        <f>AF155*(1+AI155)</f>
        <v/>
      </c>
      <c r="AL155" s="19">
        <f>AJ155+AK155</f>
        <v/>
      </c>
      <c r="AM155" s="19">
        <f>IF(AND(CONFIG!$B$11="Annual",MONTH(AC155)=7),AL155*CONFIG!$B$6/12,AM154)</f>
        <v/>
      </c>
      <c r="AN155" s="19">
        <f>IF(AL155=0,0,AJ155-AM155*AJ155/AL155)</f>
        <v/>
      </c>
      <c r="AO155" s="19">
        <f>IF(AL155=0,0,AK155-AM155*AK155/AL155)</f>
        <v/>
      </c>
    </row>
    <row r="156">
      <c r="A156" s="18">
        <f>DATA!A156</f>
        <v/>
      </c>
      <c r="B156">
        <f>DATA!B156</f>
        <v/>
      </c>
      <c r="C156" s="19">
        <f>L155</f>
        <v/>
      </c>
      <c r="D156" s="19">
        <f>M155</f>
        <v/>
      </c>
      <c r="E156" s="19">
        <f>C156+D156</f>
        <v/>
      </c>
      <c r="F156" s="20">
        <f>DATA!C156</f>
        <v/>
      </c>
      <c r="G156" s="20">
        <f>DATA!G156</f>
        <v/>
      </c>
      <c r="H156" s="19">
        <f>C156*(1+F156)</f>
        <v/>
      </c>
      <c r="I156" s="19">
        <f>D156*(1+G156)</f>
        <v/>
      </c>
      <c r="J156" s="19">
        <f>H156+I156</f>
        <v/>
      </c>
      <c r="K156" s="19">
        <f>IF(AND(CONFIG!$B$11="Annual",MONTH(A156)=7),J156*CONFIG!$B$6/12,K155)</f>
        <v/>
      </c>
      <c r="L156" s="19">
        <f>IF(J156=0,0,H156-K156*H156/J156)</f>
        <v/>
      </c>
      <c r="M156" s="19">
        <f>IF(J156=0,0,I156-K156*I156/J156)</f>
        <v/>
      </c>
      <c r="O156" s="18">
        <f>DATA!A156</f>
        <v/>
      </c>
      <c r="P156">
        <f>DATA!B156</f>
        <v/>
      </c>
      <c r="Q156" s="19">
        <f>Z155</f>
        <v/>
      </c>
      <c r="R156" s="19">
        <f>AA155</f>
        <v/>
      </c>
      <c r="S156" s="19">
        <f>Q156+R156</f>
        <v/>
      </c>
      <c r="T156" s="20">
        <f>DATA!D156</f>
        <v/>
      </c>
      <c r="U156" s="20">
        <f>DATA!G156</f>
        <v/>
      </c>
      <c r="V156" s="19">
        <f>Q156*(1+T156)</f>
        <v/>
      </c>
      <c r="W156" s="19">
        <f>R156*(1+U156)</f>
        <v/>
      </c>
      <c r="X156" s="19">
        <f>V156+W156</f>
        <v/>
      </c>
      <c r="Y156" s="19">
        <f>IF(AND(CONFIG!$B$11="Annual",MONTH(O156)=7),X156*CONFIG!$B$6/12,Y155)</f>
        <v/>
      </c>
      <c r="Z156" s="19">
        <f>IF(X156=0,0,V156-Y156*V156/X156)</f>
        <v/>
      </c>
      <c r="AA156" s="19">
        <f>IF(X156=0,0,W156-Y156*W156/X156)</f>
        <v/>
      </c>
      <c r="AC156" s="18">
        <f>DATA!A156</f>
        <v/>
      </c>
      <c r="AD156">
        <f>DATA!B156</f>
        <v/>
      </c>
      <c r="AE156" s="19">
        <f>AN155</f>
        <v/>
      </c>
      <c r="AF156" s="19">
        <f>AO155</f>
        <v/>
      </c>
      <c r="AG156" s="19">
        <f>AE156+AF156</f>
        <v/>
      </c>
      <c r="AH156" s="20">
        <f>DATA!E156</f>
        <v/>
      </c>
      <c r="AI156" s="20">
        <f>DATA!G156</f>
        <v/>
      </c>
      <c r="AJ156" s="19">
        <f>AE156*(1+AH156)</f>
        <v/>
      </c>
      <c r="AK156" s="19">
        <f>AF156*(1+AI156)</f>
        <v/>
      </c>
      <c r="AL156" s="19">
        <f>AJ156+AK156</f>
        <v/>
      </c>
      <c r="AM156" s="19">
        <f>IF(AND(CONFIG!$B$11="Annual",MONTH(AC156)=7),AL156*CONFIG!$B$6/12,AM155)</f>
        <v/>
      </c>
      <c r="AN156" s="19">
        <f>IF(AL156=0,0,AJ156-AM156*AJ156/AL156)</f>
        <v/>
      </c>
      <c r="AO156" s="19">
        <f>IF(AL156=0,0,AK156-AM156*AK156/AL156)</f>
        <v/>
      </c>
    </row>
    <row r="157">
      <c r="A157" s="18">
        <f>DATA!A157</f>
        <v/>
      </c>
      <c r="B157">
        <f>DATA!B157</f>
        <v/>
      </c>
      <c r="C157" s="19">
        <f>L156</f>
        <v/>
      </c>
      <c r="D157" s="19">
        <f>M156</f>
        <v/>
      </c>
      <c r="E157" s="19">
        <f>C157+D157</f>
        <v/>
      </c>
      <c r="F157" s="20">
        <f>DATA!C157</f>
        <v/>
      </c>
      <c r="G157" s="20">
        <f>DATA!G157</f>
        <v/>
      </c>
      <c r="H157" s="19">
        <f>C157*(1+F157)</f>
        <v/>
      </c>
      <c r="I157" s="19">
        <f>D157*(1+G157)</f>
        <v/>
      </c>
      <c r="J157" s="19">
        <f>H157+I157</f>
        <v/>
      </c>
      <c r="K157" s="19">
        <f>IF(AND(CONFIG!$B$11="Annual",MONTH(A157)=7),J157*CONFIG!$B$6/12,K156)</f>
        <v/>
      </c>
      <c r="L157" s="19">
        <f>IF(J157=0,0,H157-K157*H157/J157)</f>
        <v/>
      </c>
      <c r="M157" s="19">
        <f>IF(J157=0,0,I157-K157*I157/J157)</f>
        <v/>
      </c>
      <c r="O157" s="18">
        <f>DATA!A157</f>
        <v/>
      </c>
      <c r="P157">
        <f>DATA!B157</f>
        <v/>
      </c>
      <c r="Q157" s="19">
        <f>Z156</f>
        <v/>
      </c>
      <c r="R157" s="19">
        <f>AA156</f>
        <v/>
      </c>
      <c r="S157" s="19">
        <f>Q157+R157</f>
        <v/>
      </c>
      <c r="T157" s="20">
        <f>DATA!D157</f>
        <v/>
      </c>
      <c r="U157" s="20">
        <f>DATA!G157</f>
        <v/>
      </c>
      <c r="V157" s="19">
        <f>Q157*(1+T157)</f>
        <v/>
      </c>
      <c r="W157" s="19">
        <f>R157*(1+U157)</f>
        <v/>
      </c>
      <c r="X157" s="19">
        <f>V157+W157</f>
        <v/>
      </c>
      <c r="Y157" s="19">
        <f>IF(AND(CONFIG!$B$11="Annual",MONTH(O157)=7),X157*CONFIG!$B$6/12,Y156)</f>
        <v/>
      </c>
      <c r="Z157" s="19">
        <f>IF(X157=0,0,V157-Y157*V157/X157)</f>
        <v/>
      </c>
      <c r="AA157" s="19">
        <f>IF(X157=0,0,W157-Y157*W157/X157)</f>
        <v/>
      </c>
      <c r="AC157" s="18">
        <f>DATA!A157</f>
        <v/>
      </c>
      <c r="AD157">
        <f>DATA!B157</f>
        <v/>
      </c>
      <c r="AE157" s="19">
        <f>AN156</f>
        <v/>
      </c>
      <c r="AF157" s="19">
        <f>AO156</f>
        <v/>
      </c>
      <c r="AG157" s="19">
        <f>AE157+AF157</f>
        <v/>
      </c>
      <c r="AH157" s="20">
        <f>DATA!E157</f>
        <v/>
      </c>
      <c r="AI157" s="20">
        <f>DATA!G157</f>
        <v/>
      </c>
      <c r="AJ157" s="19">
        <f>AE157*(1+AH157)</f>
        <v/>
      </c>
      <c r="AK157" s="19">
        <f>AF157*(1+AI157)</f>
        <v/>
      </c>
      <c r="AL157" s="19">
        <f>AJ157+AK157</f>
        <v/>
      </c>
      <c r="AM157" s="19">
        <f>IF(AND(CONFIG!$B$11="Annual",MONTH(AC157)=7),AL157*CONFIG!$B$6/12,AM156)</f>
        <v/>
      </c>
      <c r="AN157" s="19">
        <f>IF(AL157=0,0,AJ157-AM157*AJ157/AL157)</f>
        <v/>
      </c>
      <c r="AO157" s="19">
        <f>IF(AL157=0,0,AK157-AM157*AK157/AL157)</f>
        <v/>
      </c>
    </row>
    <row r="158">
      <c r="A158" s="18">
        <f>DATA!A158</f>
        <v/>
      </c>
      <c r="B158">
        <f>DATA!B158</f>
        <v/>
      </c>
      <c r="C158" s="19">
        <f>L157</f>
        <v/>
      </c>
      <c r="D158" s="19">
        <f>M157</f>
        <v/>
      </c>
      <c r="E158" s="19">
        <f>C158+D158</f>
        <v/>
      </c>
      <c r="F158" s="20">
        <f>DATA!C158</f>
        <v/>
      </c>
      <c r="G158" s="20">
        <f>DATA!G158</f>
        <v/>
      </c>
      <c r="H158" s="19">
        <f>C158*(1+F158)</f>
        <v/>
      </c>
      <c r="I158" s="19">
        <f>D158*(1+G158)</f>
        <v/>
      </c>
      <c r="J158" s="19">
        <f>H158+I158</f>
        <v/>
      </c>
      <c r="K158" s="19">
        <f>IF(AND(CONFIG!$B$11="Annual",MONTH(A158)=7),J158*CONFIG!$B$6/12,K157)</f>
        <v/>
      </c>
      <c r="L158" s="19">
        <f>IF(J158=0,0,H158-K158*H158/J158)</f>
        <v/>
      </c>
      <c r="M158" s="19">
        <f>IF(J158=0,0,I158-K158*I158/J158)</f>
        <v/>
      </c>
      <c r="O158" s="18">
        <f>DATA!A158</f>
        <v/>
      </c>
      <c r="P158">
        <f>DATA!B158</f>
        <v/>
      </c>
      <c r="Q158" s="19">
        <f>Z157</f>
        <v/>
      </c>
      <c r="R158" s="19">
        <f>AA157</f>
        <v/>
      </c>
      <c r="S158" s="19">
        <f>Q158+R158</f>
        <v/>
      </c>
      <c r="T158" s="20">
        <f>DATA!D158</f>
        <v/>
      </c>
      <c r="U158" s="20">
        <f>DATA!G158</f>
        <v/>
      </c>
      <c r="V158" s="19">
        <f>Q158*(1+T158)</f>
        <v/>
      </c>
      <c r="W158" s="19">
        <f>R158*(1+U158)</f>
        <v/>
      </c>
      <c r="X158" s="19">
        <f>V158+W158</f>
        <v/>
      </c>
      <c r="Y158" s="19">
        <f>IF(AND(CONFIG!$B$11="Annual",MONTH(O158)=7),X158*CONFIG!$B$6/12,Y157)</f>
        <v/>
      </c>
      <c r="Z158" s="19">
        <f>IF(X158=0,0,V158-Y158*V158/X158)</f>
        <v/>
      </c>
      <c r="AA158" s="19">
        <f>IF(X158=0,0,W158-Y158*W158/X158)</f>
        <v/>
      </c>
      <c r="AC158" s="18">
        <f>DATA!A158</f>
        <v/>
      </c>
      <c r="AD158">
        <f>DATA!B158</f>
        <v/>
      </c>
      <c r="AE158" s="19">
        <f>AN157</f>
        <v/>
      </c>
      <c r="AF158" s="19">
        <f>AO157</f>
        <v/>
      </c>
      <c r="AG158" s="19">
        <f>AE158+AF158</f>
        <v/>
      </c>
      <c r="AH158" s="20">
        <f>DATA!E158</f>
        <v/>
      </c>
      <c r="AI158" s="20">
        <f>DATA!G158</f>
        <v/>
      </c>
      <c r="AJ158" s="19">
        <f>AE158*(1+AH158)</f>
        <v/>
      </c>
      <c r="AK158" s="19">
        <f>AF158*(1+AI158)</f>
        <v/>
      </c>
      <c r="AL158" s="19">
        <f>AJ158+AK158</f>
        <v/>
      </c>
      <c r="AM158" s="19">
        <f>IF(AND(CONFIG!$B$11="Annual",MONTH(AC158)=7),AL158*CONFIG!$B$6/12,AM157)</f>
        <v/>
      </c>
      <c r="AN158" s="19">
        <f>IF(AL158=0,0,AJ158-AM158*AJ158/AL158)</f>
        <v/>
      </c>
      <c r="AO158" s="19">
        <f>IF(AL158=0,0,AK158-AM158*AK158/AL158)</f>
        <v/>
      </c>
    </row>
    <row r="159">
      <c r="A159" s="18">
        <f>DATA!A159</f>
        <v/>
      </c>
      <c r="B159">
        <f>DATA!B159</f>
        <v/>
      </c>
      <c r="C159" s="19">
        <f>L158</f>
        <v/>
      </c>
      <c r="D159" s="19">
        <f>M158</f>
        <v/>
      </c>
      <c r="E159" s="19">
        <f>C159+D159</f>
        <v/>
      </c>
      <c r="F159" s="20">
        <f>DATA!C159</f>
        <v/>
      </c>
      <c r="G159" s="20">
        <f>DATA!G159</f>
        <v/>
      </c>
      <c r="H159" s="19">
        <f>C159*(1+F159)</f>
        <v/>
      </c>
      <c r="I159" s="19">
        <f>D159*(1+G159)</f>
        <v/>
      </c>
      <c r="J159" s="19">
        <f>H159+I159</f>
        <v/>
      </c>
      <c r="K159" s="19">
        <f>IF(AND(CONFIG!$B$11="Annual",MONTH(A159)=7),J159*CONFIG!$B$6/12,K158)</f>
        <v/>
      </c>
      <c r="L159" s="19">
        <f>IF(J159=0,0,H159-K159*H159/J159)</f>
        <v/>
      </c>
      <c r="M159" s="19">
        <f>IF(J159=0,0,I159-K159*I159/J159)</f>
        <v/>
      </c>
      <c r="O159" s="18">
        <f>DATA!A159</f>
        <v/>
      </c>
      <c r="P159">
        <f>DATA!B159</f>
        <v/>
      </c>
      <c r="Q159" s="19">
        <f>Z158</f>
        <v/>
      </c>
      <c r="R159" s="19">
        <f>AA158</f>
        <v/>
      </c>
      <c r="S159" s="19">
        <f>Q159+R159</f>
        <v/>
      </c>
      <c r="T159" s="20">
        <f>DATA!D159</f>
        <v/>
      </c>
      <c r="U159" s="20">
        <f>DATA!G159</f>
        <v/>
      </c>
      <c r="V159" s="19">
        <f>Q159*(1+T159)</f>
        <v/>
      </c>
      <c r="W159" s="19">
        <f>R159*(1+U159)</f>
        <v/>
      </c>
      <c r="X159" s="19">
        <f>V159+W159</f>
        <v/>
      </c>
      <c r="Y159" s="19">
        <f>IF(AND(CONFIG!$B$11="Annual",MONTH(O159)=7),X159*CONFIG!$B$6/12,Y158)</f>
        <v/>
      </c>
      <c r="Z159" s="19">
        <f>IF(X159=0,0,V159-Y159*V159/X159)</f>
        <v/>
      </c>
      <c r="AA159" s="19">
        <f>IF(X159=0,0,W159-Y159*W159/X159)</f>
        <v/>
      </c>
      <c r="AC159" s="18">
        <f>DATA!A159</f>
        <v/>
      </c>
      <c r="AD159">
        <f>DATA!B159</f>
        <v/>
      </c>
      <c r="AE159" s="19">
        <f>AN158</f>
        <v/>
      </c>
      <c r="AF159" s="19">
        <f>AO158</f>
        <v/>
      </c>
      <c r="AG159" s="19">
        <f>AE159+AF159</f>
        <v/>
      </c>
      <c r="AH159" s="20">
        <f>DATA!E159</f>
        <v/>
      </c>
      <c r="AI159" s="20">
        <f>DATA!G159</f>
        <v/>
      </c>
      <c r="AJ159" s="19">
        <f>AE159*(1+AH159)</f>
        <v/>
      </c>
      <c r="AK159" s="19">
        <f>AF159*(1+AI159)</f>
        <v/>
      </c>
      <c r="AL159" s="19">
        <f>AJ159+AK159</f>
        <v/>
      </c>
      <c r="AM159" s="19">
        <f>IF(AND(CONFIG!$B$11="Annual",MONTH(AC159)=7),AL159*CONFIG!$B$6/12,AM158)</f>
        <v/>
      </c>
      <c r="AN159" s="19">
        <f>IF(AL159=0,0,AJ159-AM159*AJ159/AL159)</f>
        <v/>
      </c>
      <c r="AO159" s="19">
        <f>IF(AL159=0,0,AK159-AM159*AK159/AL159)</f>
        <v/>
      </c>
    </row>
    <row r="160">
      <c r="A160" s="18">
        <f>DATA!A160</f>
        <v/>
      </c>
      <c r="B160">
        <f>DATA!B160</f>
        <v/>
      </c>
      <c r="C160" s="19">
        <f>L159</f>
        <v/>
      </c>
      <c r="D160" s="19">
        <f>M159</f>
        <v/>
      </c>
      <c r="E160" s="19">
        <f>C160+D160</f>
        <v/>
      </c>
      <c r="F160" s="20">
        <f>DATA!C160</f>
        <v/>
      </c>
      <c r="G160" s="20">
        <f>DATA!G160</f>
        <v/>
      </c>
      <c r="H160" s="19">
        <f>C160*(1+F160)</f>
        <v/>
      </c>
      <c r="I160" s="19">
        <f>D160*(1+G160)</f>
        <v/>
      </c>
      <c r="J160" s="19">
        <f>H160+I160</f>
        <v/>
      </c>
      <c r="K160" s="19">
        <f>IF(AND(CONFIG!$B$11="Annual",MONTH(A160)=7),J160*CONFIG!$B$6/12,K159)</f>
        <v/>
      </c>
      <c r="L160" s="19">
        <f>IF(J160=0,0,H160-K160*H160/J160)</f>
        <v/>
      </c>
      <c r="M160" s="19">
        <f>IF(J160=0,0,I160-K160*I160/J160)</f>
        <v/>
      </c>
      <c r="O160" s="18">
        <f>DATA!A160</f>
        <v/>
      </c>
      <c r="P160">
        <f>DATA!B160</f>
        <v/>
      </c>
      <c r="Q160" s="19">
        <f>Z159</f>
        <v/>
      </c>
      <c r="R160" s="19">
        <f>AA159</f>
        <v/>
      </c>
      <c r="S160" s="19">
        <f>Q160+R160</f>
        <v/>
      </c>
      <c r="T160" s="20">
        <f>DATA!D160</f>
        <v/>
      </c>
      <c r="U160" s="20">
        <f>DATA!G160</f>
        <v/>
      </c>
      <c r="V160" s="19">
        <f>Q160*(1+T160)</f>
        <v/>
      </c>
      <c r="W160" s="19">
        <f>R160*(1+U160)</f>
        <v/>
      </c>
      <c r="X160" s="19">
        <f>V160+W160</f>
        <v/>
      </c>
      <c r="Y160" s="19">
        <f>IF(AND(CONFIG!$B$11="Annual",MONTH(O160)=7),X160*CONFIG!$B$6/12,Y159)</f>
        <v/>
      </c>
      <c r="Z160" s="19">
        <f>IF(X160=0,0,V160-Y160*V160/X160)</f>
        <v/>
      </c>
      <c r="AA160" s="19">
        <f>IF(X160=0,0,W160-Y160*W160/X160)</f>
        <v/>
      </c>
      <c r="AC160" s="18">
        <f>DATA!A160</f>
        <v/>
      </c>
      <c r="AD160">
        <f>DATA!B160</f>
        <v/>
      </c>
      <c r="AE160" s="19">
        <f>AN159</f>
        <v/>
      </c>
      <c r="AF160" s="19">
        <f>AO159</f>
        <v/>
      </c>
      <c r="AG160" s="19">
        <f>AE160+AF160</f>
        <v/>
      </c>
      <c r="AH160" s="20">
        <f>DATA!E160</f>
        <v/>
      </c>
      <c r="AI160" s="20">
        <f>DATA!G160</f>
        <v/>
      </c>
      <c r="AJ160" s="19">
        <f>AE160*(1+AH160)</f>
        <v/>
      </c>
      <c r="AK160" s="19">
        <f>AF160*(1+AI160)</f>
        <v/>
      </c>
      <c r="AL160" s="19">
        <f>AJ160+AK160</f>
        <v/>
      </c>
      <c r="AM160" s="19">
        <f>IF(AND(CONFIG!$B$11="Annual",MONTH(AC160)=7),AL160*CONFIG!$B$6/12,AM159)</f>
        <v/>
      </c>
      <c r="AN160" s="19">
        <f>IF(AL160=0,0,AJ160-AM160*AJ160/AL160)</f>
        <v/>
      </c>
      <c r="AO160" s="19">
        <f>IF(AL160=0,0,AK160-AM160*AK160/AL160)</f>
        <v/>
      </c>
    </row>
    <row r="161">
      <c r="A161" s="18">
        <f>DATA!A161</f>
        <v/>
      </c>
      <c r="B161">
        <f>DATA!B161</f>
        <v/>
      </c>
      <c r="C161" s="19">
        <f>L160</f>
        <v/>
      </c>
      <c r="D161" s="19">
        <f>M160</f>
        <v/>
      </c>
      <c r="E161" s="19">
        <f>C161+D161</f>
        <v/>
      </c>
      <c r="F161" s="20">
        <f>DATA!C161</f>
        <v/>
      </c>
      <c r="G161" s="20">
        <f>DATA!G161</f>
        <v/>
      </c>
      <c r="H161" s="19">
        <f>C161*(1+F161)</f>
        <v/>
      </c>
      <c r="I161" s="19">
        <f>D161*(1+G161)</f>
        <v/>
      </c>
      <c r="J161" s="19">
        <f>H161+I161</f>
        <v/>
      </c>
      <c r="K161" s="19">
        <f>IF(AND(CONFIG!$B$11="Annual",MONTH(A161)=7),J161*CONFIG!$B$6/12,K160)</f>
        <v/>
      </c>
      <c r="L161" s="19">
        <f>IF(J161=0,0,H161-K161*H161/J161)</f>
        <v/>
      </c>
      <c r="M161" s="19">
        <f>IF(J161=0,0,I161-K161*I161/J161)</f>
        <v/>
      </c>
      <c r="O161" s="18">
        <f>DATA!A161</f>
        <v/>
      </c>
      <c r="P161">
        <f>DATA!B161</f>
        <v/>
      </c>
      <c r="Q161" s="19">
        <f>Z160</f>
        <v/>
      </c>
      <c r="R161" s="19">
        <f>AA160</f>
        <v/>
      </c>
      <c r="S161" s="19">
        <f>Q161+R161</f>
        <v/>
      </c>
      <c r="T161" s="20">
        <f>DATA!D161</f>
        <v/>
      </c>
      <c r="U161" s="20">
        <f>DATA!G161</f>
        <v/>
      </c>
      <c r="V161" s="19">
        <f>Q161*(1+T161)</f>
        <v/>
      </c>
      <c r="W161" s="19">
        <f>R161*(1+U161)</f>
        <v/>
      </c>
      <c r="X161" s="19">
        <f>V161+W161</f>
        <v/>
      </c>
      <c r="Y161" s="19">
        <f>IF(AND(CONFIG!$B$11="Annual",MONTH(O161)=7),X161*CONFIG!$B$6/12,Y160)</f>
        <v/>
      </c>
      <c r="Z161" s="19">
        <f>IF(X161=0,0,V161-Y161*V161/X161)</f>
        <v/>
      </c>
      <c r="AA161" s="19">
        <f>IF(X161=0,0,W161-Y161*W161/X161)</f>
        <v/>
      </c>
      <c r="AC161" s="18">
        <f>DATA!A161</f>
        <v/>
      </c>
      <c r="AD161">
        <f>DATA!B161</f>
        <v/>
      </c>
      <c r="AE161" s="19">
        <f>AN160</f>
        <v/>
      </c>
      <c r="AF161" s="19">
        <f>AO160</f>
        <v/>
      </c>
      <c r="AG161" s="19">
        <f>AE161+AF161</f>
        <v/>
      </c>
      <c r="AH161" s="20">
        <f>DATA!E161</f>
        <v/>
      </c>
      <c r="AI161" s="20">
        <f>DATA!G161</f>
        <v/>
      </c>
      <c r="AJ161" s="19">
        <f>AE161*(1+AH161)</f>
        <v/>
      </c>
      <c r="AK161" s="19">
        <f>AF161*(1+AI161)</f>
        <v/>
      </c>
      <c r="AL161" s="19">
        <f>AJ161+AK161</f>
        <v/>
      </c>
      <c r="AM161" s="19">
        <f>IF(AND(CONFIG!$B$11="Annual",MONTH(AC161)=7),AL161*CONFIG!$B$6/12,AM160)</f>
        <v/>
      </c>
      <c r="AN161" s="19">
        <f>IF(AL161=0,0,AJ161-AM161*AJ161/AL161)</f>
        <v/>
      </c>
      <c r="AO161" s="19">
        <f>IF(AL161=0,0,AK161-AM161*AK161/AL161)</f>
        <v/>
      </c>
    </row>
    <row r="162">
      <c r="A162" s="18">
        <f>DATA!A162</f>
        <v/>
      </c>
      <c r="B162">
        <f>DATA!B162</f>
        <v/>
      </c>
      <c r="C162" s="19">
        <f>L161</f>
        <v/>
      </c>
      <c r="D162" s="19">
        <f>M161</f>
        <v/>
      </c>
      <c r="E162" s="19">
        <f>C162+D162</f>
        <v/>
      </c>
      <c r="F162" s="20">
        <f>DATA!C162</f>
        <v/>
      </c>
      <c r="G162" s="20">
        <f>DATA!G162</f>
        <v/>
      </c>
      <c r="H162" s="19">
        <f>C162*(1+F162)</f>
        <v/>
      </c>
      <c r="I162" s="19">
        <f>D162*(1+G162)</f>
        <v/>
      </c>
      <c r="J162" s="19">
        <f>H162+I162</f>
        <v/>
      </c>
      <c r="K162" s="19">
        <f>IF(AND(CONFIG!$B$11="Annual",MONTH(A162)=7),J162*CONFIG!$B$6/12,K161)</f>
        <v/>
      </c>
      <c r="L162" s="19">
        <f>IF(J162=0,0,H162-K162*H162/J162)</f>
        <v/>
      </c>
      <c r="M162" s="19">
        <f>IF(J162=0,0,I162-K162*I162/J162)</f>
        <v/>
      </c>
      <c r="O162" s="18">
        <f>DATA!A162</f>
        <v/>
      </c>
      <c r="P162">
        <f>DATA!B162</f>
        <v/>
      </c>
      <c r="Q162" s="19">
        <f>Z161</f>
        <v/>
      </c>
      <c r="R162" s="19">
        <f>AA161</f>
        <v/>
      </c>
      <c r="S162" s="19">
        <f>Q162+R162</f>
        <v/>
      </c>
      <c r="T162" s="20">
        <f>DATA!D162</f>
        <v/>
      </c>
      <c r="U162" s="20">
        <f>DATA!G162</f>
        <v/>
      </c>
      <c r="V162" s="19">
        <f>Q162*(1+T162)</f>
        <v/>
      </c>
      <c r="W162" s="19">
        <f>R162*(1+U162)</f>
        <v/>
      </c>
      <c r="X162" s="19">
        <f>V162+W162</f>
        <v/>
      </c>
      <c r="Y162" s="19">
        <f>IF(AND(CONFIG!$B$11="Annual",MONTH(O162)=7),X162*CONFIG!$B$6/12,Y161)</f>
        <v/>
      </c>
      <c r="Z162" s="19">
        <f>IF(X162=0,0,V162-Y162*V162/X162)</f>
        <v/>
      </c>
      <c r="AA162" s="19">
        <f>IF(X162=0,0,W162-Y162*W162/X162)</f>
        <v/>
      </c>
      <c r="AC162" s="18">
        <f>DATA!A162</f>
        <v/>
      </c>
      <c r="AD162">
        <f>DATA!B162</f>
        <v/>
      </c>
      <c r="AE162" s="19">
        <f>AN161</f>
        <v/>
      </c>
      <c r="AF162" s="19">
        <f>AO161</f>
        <v/>
      </c>
      <c r="AG162" s="19">
        <f>AE162+AF162</f>
        <v/>
      </c>
      <c r="AH162" s="20">
        <f>DATA!E162</f>
        <v/>
      </c>
      <c r="AI162" s="20">
        <f>DATA!G162</f>
        <v/>
      </c>
      <c r="AJ162" s="19">
        <f>AE162*(1+AH162)</f>
        <v/>
      </c>
      <c r="AK162" s="19">
        <f>AF162*(1+AI162)</f>
        <v/>
      </c>
      <c r="AL162" s="19">
        <f>AJ162+AK162</f>
        <v/>
      </c>
      <c r="AM162" s="19">
        <f>IF(AND(CONFIG!$B$11="Annual",MONTH(AC162)=7),AL162*CONFIG!$B$6/12,AM161)</f>
        <v/>
      </c>
      <c r="AN162" s="19">
        <f>IF(AL162=0,0,AJ162-AM162*AJ162/AL162)</f>
        <v/>
      </c>
      <c r="AO162" s="19">
        <f>IF(AL162=0,0,AK162-AM162*AK162/AL162)</f>
        <v/>
      </c>
    </row>
    <row r="163">
      <c r="A163" s="18">
        <f>DATA!A163</f>
        <v/>
      </c>
      <c r="B163">
        <f>DATA!B163</f>
        <v/>
      </c>
      <c r="C163" s="19">
        <f>L162</f>
        <v/>
      </c>
      <c r="D163" s="19">
        <f>M162</f>
        <v/>
      </c>
      <c r="E163" s="19">
        <f>C163+D163</f>
        <v/>
      </c>
      <c r="F163" s="20">
        <f>DATA!C163</f>
        <v/>
      </c>
      <c r="G163" s="20">
        <f>DATA!G163</f>
        <v/>
      </c>
      <c r="H163" s="19">
        <f>C163*(1+F163)</f>
        <v/>
      </c>
      <c r="I163" s="19">
        <f>D163*(1+G163)</f>
        <v/>
      </c>
      <c r="J163" s="19">
        <f>H163+I163</f>
        <v/>
      </c>
      <c r="K163" s="19">
        <f>IF(AND(CONFIG!$B$11="Annual",MONTH(A163)=7),J163*CONFIG!$B$6/12,K162)</f>
        <v/>
      </c>
      <c r="L163" s="19">
        <f>IF(J163=0,0,H163-K163*H163/J163)</f>
        <v/>
      </c>
      <c r="M163" s="19">
        <f>IF(J163=0,0,I163-K163*I163/J163)</f>
        <v/>
      </c>
      <c r="O163" s="18">
        <f>DATA!A163</f>
        <v/>
      </c>
      <c r="P163">
        <f>DATA!B163</f>
        <v/>
      </c>
      <c r="Q163" s="19">
        <f>Z162</f>
        <v/>
      </c>
      <c r="R163" s="19">
        <f>AA162</f>
        <v/>
      </c>
      <c r="S163" s="19">
        <f>Q163+R163</f>
        <v/>
      </c>
      <c r="T163" s="20">
        <f>DATA!D163</f>
        <v/>
      </c>
      <c r="U163" s="20">
        <f>DATA!G163</f>
        <v/>
      </c>
      <c r="V163" s="19">
        <f>Q163*(1+T163)</f>
        <v/>
      </c>
      <c r="W163" s="19">
        <f>R163*(1+U163)</f>
        <v/>
      </c>
      <c r="X163" s="19">
        <f>V163+W163</f>
        <v/>
      </c>
      <c r="Y163" s="19">
        <f>IF(AND(CONFIG!$B$11="Annual",MONTH(O163)=7),X163*CONFIG!$B$6/12,Y162)</f>
        <v/>
      </c>
      <c r="Z163" s="19">
        <f>IF(X163=0,0,V163-Y163*V163/X163)</f>
        <v/>
      </c>
      <c r="AA163" s="19">
        <f>IF(X163=0,0,W163-Y163*W163/X163)</f>
        <v/>
      </c>
      <c r="AC163" s="18">
        <f>DATA!A163</f>
        <v/>
      </c>
      <c r="AD163">
        <f>DATA!B163</f>
        <v/>
      </c>
      <c r="AE163" s="19">
        <f>AN162</f>
        <v/>
      </c>
      <c r="AF163" s="19">
        <f>AO162</f>
        <v/>
      </c>
      <c r="AG163" s="19">
        <f>AE163+AF163</f>
        <v/>
      </c>
      <c r="AH163" s="20">
        <f>DATA!E163</f>
        <v/>
      </c>
      <c r="AI163" s="20">
        <f>DATA!G163</f>
        <v/>
      </c>
      <c r="AJ163" s="19">
        <f>AE163*(1+AH163)</f>
        <v/>
      </c>
      <c r="AK163" s="19">
        <f>AF163*(1+AI163)</f>
        <v/>
      </c>
      <c r="AL163" s="19">
        <f>AJ163+AK163</f>
        <v/>
      </c>
      <c r="AM163" s="19">
        <f>IF(AND(CONFIG!$B$11="Annual",MONTH(AC163)=7),AL163*CONFIG!$B$6/12,AM162)</f>
        <v/>
      </c>
      <c r="AN163" s="19">
        <f>IF(AL163=0,0,AJ163-AM163*AJ163/AL163)</f>
        <v/>
      </c>
      <c r="AO163" s="19">
        <f>IF(AL163=0,0,AK163-AM163*AK163/AL163)</f>
        <v/>
      </c>
    </row>
    <row r="164">
      <c r="A164" s="18">
        <f>DATA!A164</f>
        <v/>
      </c>
      <c r="B164">
        <f>DATA!B164</f>
        <v/>
      </c>
      <c r="C164" s="19">
        <f>L163</f>
        <v/>
      </c>
      <c r="D164" s="19">
        <f>M163</f>
        <v/>
      </c>
      <c r="E164" s="19">
        <f>C164+D164</f>
        <v/>
      </c>
      <c r="F164" s="20">
        <f>DATA!C164</f>
        <v/>
      </c>
      <c r="G164" s="20">
        <f>DATA!G164</f>
        <v/>
      </c>
      <c r="H164" s="19">
        <f>C164*(1+F164)</f>
        <v/>
      </c>
      <c r="I164" s="19">
        <f>D164*(1+G164)</f>
        <v/>
      </c>
      <c r="J164" s="19">
        <f>H164+I164</f>
        <v/>
      </c>
      <c r="K164" s="19">
        <f>IF(AND(CONFIG!$B$11="Annual",MONTH(A164)=7),J164*CONFIG!$B$6/12,K163)</f>
        <v/>
      </c>
      <c r="L164" s="19">
        <f>IF(J164=0,0,H164-K164*H164/J164)</f>
        <v/>
      </c>
      <c r="M164" s="19">
        <f>IF(J164=0,0,I164-K164*I164/J164)</f>
        <v/>
      </c>
      <c r="O164" s="18">
        <f>DATA!A164</f>
        <v/>
      </c>
      <c r="P164">
        <f>DATA!B164</f>
        <v/>
      </c>
      <c r="Q164" s="19">
        <f>Z163</f>
        <v/>
      </c>
      <c r="R164" s="19">
        <f>AA163</f>
        <v/>
      </c>
      <c r="S164" s="19">
        <f>Q164+R164</f>
        <v/>
      </c>
      <c r="T164" s="20">
        <f>DATA!D164</f>
        <v/>
      </c>
      <c r="U164" s="20">
        <f>DATA!G164</f>
        <v/>
      </c>
      <c r="V164" s="19">
        <f>Q164*(1+T164)</f>
        <v/>
      </c>
      <c r="W164" s="19">
        <f>R164*(1+U164)</f>
        <v/>
      </c>
      <c r="X164" s="19">
        <f>V164+W164</f>
        <v/>
      </c>
      <c r="Y164" s="19">
        <f>IF(AND(CONFIG!$B$11="Annual",MONTH(O164)=7),X164*CONFIG!$B$6/12,Y163)</f>
        <v/>
      </c>
      <c r="Z164" s="19">
        <f>IF(X164=0,0,V164-Y164*V164/X164)</f>
        <v/>
      </c>
      <c r="AA164" s="19">
        <f>IF(X164=0,0,W164-Y164*W164/X164)</f>
        <v/>
      </c>
      <c r="AC164" s="18">
        <f>DATA!A164</f>
        <v/>
      </c>
      <c r="AD164">
        <f>DATA!B164</f>
        <v/>
      </c>
      <c r="AE164" s="19">
        <f>AN163</f>
        <v/>
      </c>
      <c r="AF164" s="19">
        <f>AO163</f>
        <v/>
      </c>
      <c r="AG164" s="19">
        <f>AE164+AF164</f>
        <v/>
      </c>
      <c r="AH164" s="20">
        <f>DATA!E164</f>
        <v/>
      </c>
      <c r="AI164" s="20">
        <f>DATA!G164</f>
        <v/>
      </c>
      <c r="AJ164" s="19">
        <f>AE164*(1+AH164)</f>
        <v/>
      </c>
      <c r="AK164" s="19">
        <f>AF164*(1+AI164)</f>
        <v/>
      </c>
      <c r="AL164" s="19">
        <f>AJ164+AK164</f>
        <v/>
      </c>
      <c r="AM164" s="19">
        <f>IF(AND(CONFIG!$B$11="Annual",MONTH(AC164)=7),AL164*CONFIG!$B$6/12,AM163)</f>
        <v/>
      </c>
      <c r="AN164" s="19">
        <f>IF(AL164=0,0,AJ164-AM164*AJ164/AL164)</f>
        <v/>
      </c>
      <c r="AO164" s="19">
        <f>IF(AL164=0,0,AK164-AM164*AK164/AL164)</f>
        <v/>
      </c>
    </row>
    <row r="165">
      <c r="A165" s="18">
        <f>DATA!A165</f>
        <v/>
      </c>
      <c r="B165">
        <f>DATA!B165</f>
        <v/>
      </c>
      <c r="C165" s="19">
        <f>L164</f>
        <v/>
      </c>
      <c r="D165" s="19">
        <f>M164</f>
        <v/>
      </c>
      <c r="E165" s="19">
        <f>C165+D165</f>
        <v/>
      </c>
      <c r="F165" s="20">
        <f>DATA!C165</f>
        <v/>
      </c>
      <c r="G165" s="20">
        <f>DATA!G165</f>
        <v/>
      </c>
      <c r="H165" s="19">
        <f>C165*(1+F165)</f>
        <v/>
      </c>
      <c r="I165" s="19">
        <f>D165*(1+G165)</f>
        <v/>
      </c>
      <c r="J165" s="19">
        <f>H165+I165</f>
        <v/>
      </c>
      <c r="K165" s="19">
        <f>IF(AND(CONFIG!$B$11="Annual",MONTH(A165)=7),J165*CONFIG!$B$6/12,K164)</f>
        <v/>
      </c>
      <c r="L165" s="19">
        <f>IF(J165=0,0,H165-K165*H165/J165)</f>
        <v/>
      </c>
      <c r="M165" s="19">
        <f>IF(J165=0,0,I165-K165*I165/J165)</f>
        <v/>
      </c>
      <c r="O165" s="18">
        <f>DATA!A165</f>
        <v/>
      </c>
      <c r="P165">
        <f>DATA!B165</f>
        <v/>
      </c>
      <c r="Q165" s="19">
        <f>Z164</f>
        <v/>
      </c>
      <c r="R165" s="19">
        <f>AA164</f>
        <v/>
      </c>
      <c r="S165" s="19">
        <f>Q165+R165</f>
        <v/>
      </c>
      <c r="T165" s="20">
        <f>DATA!D165</f>
        <v/>
      </c>
      <c r="U165" s="20">
        <f>DATA!G165</f>
        <v/>
      </c>
      <c r="V165" s="19">
        <f>Q165*(1+T165)</f>
        <v/>
      </c>
      <c r="W165" s="19">
        <f>R165*(1+U165)</f>
        <v/>
      </c>
      <c r="X165" s="19">
        <f>V165+W165</f>
        <v/>
      </c>
      <c r="Y165" s="19">
        <f>IF(AND(CONFIG!$B$11="Annual",MONTH(O165)=7),X165*CONFIG!$B$6/12,Y164)</f>
        <v/>
      </c>
      <c r="Z165" s="19">
        <f>IF(X165=0,0,V165-Y165*V165/X165)</f>
        <v/>
      </c>
      <c r="AA165" s="19">
        <f>IF(X165=0,0,W165-Y165*W165/X165)</f>
        <v/>
      </c>
      <c r="AC165" s="18">
        <f>DATA!A165</f>
        <v/>
      </c>
      <c r="AD165">
        <f>DATA!B165</f>
        <v/>
      </c>
      <c r="AE165" s="19">
        <f>AN164</f>
        <v/>
      </c>
      <c r="AF165" s="19">
        <f>AO164</f>
        <v/>
      </c>
      <c r="AG165" s="19">
        <f>AE165+AF165</f>
        <v/>
      </c>
      <c r="AH165" s="20">
        <f>DATA!E165</f>
        <v/>
      </c>
      <c r="AI165" s="20">
        <f>DATA!G165</f>
        <v/>
      </c>
      <c r="AJ165" s="19">
        <f>AE165*(1+AH165)</f>
        <v/>
      </c>
      <c r="AK165" s="19">
        <f>AF165*(1+AI165)</f>
        <v/>
      </c>
      <c r="AL165" s="19">
        <f>AJ165+AK165</f>
        <v/>
      </c>
      <c r="AM165" s="19">
        <f>IF(AND(CONFIG!$B$11="Annual",MONTH(AC165)=7),AL165*CONFIG!$B$6/12,AM164)</f>
        <v/>
      </c>
      <c r="AN165" s="19">
        <f>IF(AL165=0,0,AJ165-AM165*AJ165/AL165)</f>
        <v/>
      </c>
      <c r="AO165" s="19">
        <f>IF(AL165=0,0,AK165-AM165*AK165/AL165)</f>
        <v/>
      </c>
    </row>
    <row r="166">
      <c r="A166" s="18">
        <f>DATA!A166</f>
        <v/>
      </c>
      <c r="B166">
        <f>DATA!B166</f>
        <v/>
      </c>
      <c r="C166" s="19">
        <f>L165</f>
        <v/>
      </c>
      <c r="D166" s="19">
        <f>M165</f>
        <v/>
      </c>
      <c r="E166" s="19">
        <f>C166+D166</f>
        <v/>
      </c>
      <c r="F166" s="20">
        <f>DATA!C166</f>
        <v/>
      </c>
      <c r="G166" s="20">
        <f>DATA!G166</f>
        <v/>
      </c>
      <c r="H166" s="19">
        <f>C166*(1+F166)</f>
        <v/>
      </c>
      <c r="I166" s="19">
        <f>D166*(1+G166)</f>
        <v/>
      </c>
      <c r="J166" s="19">
        <f>H166+I166</f>
        <v/>
      </c>
      <c r="K166" s="19">
        <f>IF(AND(CONFIG!$B$11="Annual",MONTH(A166)=7),J166*CONFIG!$B$6/12,K165)</f>
        <v/>
      </c>
      <c r="L166" s="19">
        <f>IF(J166=0,0,H166-K166*H166/J166)</f>
        <v/>
      </c>
      <c r="M166" s="19">
        <f>IF(J166=0,0,I166-K166*I166/J166)</f>
        <v/>
      </c>
      <c r="O166" s="18">
        <f>DATA!A166</f>
        <v/>
      </c>
      <c r="P166">
        <f>DATA!B166</f>
        <v/>
      </c>
      <c r="Q166" s="19">
        <f>Z165</f>
        <v/>
      </c>
      <c r="R166" s="19">
        <f>AA165</f>
        <v/>
      </c>
      <c r="S166" s="19">
        <f>Q166+R166</f>
        <v/>
      </c>
      <c r="T166" s="20">
        <f>DATA!D166</f>
        <v/>
      </c>
      <c r="U166" s="20">
        <f>DATA!G166</f>
        <v/>
      </c>
      <c r="V166" s="19">
        <f>Q166*(1+T166)</f>
        <v/>
      </c>
      <c r="W166" s="19">
        <f>R166*(1+U166)</f>
        <v/>
      </c>
      <c r="X166" s="19">
        <f>V166+W166</f>
        <v/>
      </c>
      <c r="Y166" s="19">
        <f>IF(AND(CONFIG!$B$11="Annual",MONTH(O166)=7),X166*CONFIG!$B$6/12,Y165)</f>
        <v/>
      </c>
      <c r="Z166" s="19">
        <f>IF(X166=0,0,V166-Y166*V166/X166)</f>
        <v/>
      </c>
      <c r="AA166" s="19">
        <f>IF(X166=0,0,W166-Y166*W166/X166)</f>
        <v/>
      </c>
      <c r="AC166" s="18">
        <f>DATA!A166</f>
        <v/>
      </c>
      <c r="AD166">
        <f>DATA!B166</f>
        <v/>
      </c>
      <c r="AE166" s="19">
        <f>AN165</f>
        <v/>
      </c>
      <c r="AF166" s="19">
        <f>AO165</f>
        <v/>
      </c>
      <c r="AG166" s="19">
        <f>AE166+AF166</f>
        <v/>
      </c>
      <c r="AH166" s="20">
        <f>DATA!E166</f>
        <v/>
      </c>
      <c r="AI166" s="20">
        <f>DATA!G166</f>
        <v/>
      </c>
      <c r="AJ166" s="19">
        <f>AE166*(1+AH166)</f>
        <v/>
      </c>
      <c r="AK166" s="19">
        <f>AF166*(1+AI166)</f>
        <v/>
      </c>
      <c r="AL166" s="19">
        <f>AJ166+AK166</f>
        <v/>
      </c>
      <c r="AM166" s="19">
        <f>IF(AND(CONFIG!$B$11="Annual",MONTH(AC166)=7),AL166*CONFIG!$B$6/12,AM165)</f>
        <v/>
      </c>
      <c r="AN166" s="19">
        <f>IF(AL166=0,0,AJ166-AM166*AJ166/AL166)</f>
        <v/>
      </c>
      <c r="AO166" s="19">
        <f>IF(AL166=0,0,AK166-AM166*AK166/AL166)</f>
        <v/>
      </c>
    </row>
    <row r="167">
      <c r="A167" s="18">
        <f>DATA!A167</f>
        <v/>
      </c>
      <c r="B167">
        <f>DATA!B167</f>
        <v/>
      </c>
      <c r="C167" s="19">
        <f>L166</f>
        <v/>
      </c>
      <c r="D167" s="19">
        <f>M166</f>
        <v/>
      </c>
      <c r="E167" s="19">
        <f>C167+D167</f>
        <v/>
      </c>
      <c r="F167" s="20">
        <f>DATA!C167</f>
        <v/>
      </c>
      <c r="G167" s="20">
        <f>DATA!G167</f>
        <v/>
      </c>
      <c r="H167" s="19">
        <f>C167*(1+F167)</f>
        <v/>
      </c>
      <c r="I167" s="19">
        <f>D167*(1+G167)</f>
        <v/>
      </c>
      <c r="J167" s="19">
        <f>H167+I167</f>
        <v/>
      </c>
      <c r="K167" s="19">
        <f>IF(AND(CONFIG!$B$11="Annual",MONTH(A167)=7),J167*CONFIG!$B$6/12,K166)</f>
        <v/>
      </c>
      <c r="L167" s="19">
        <f>IF(J167=0,0,H167-K167*H167/J167)</f>
        <v/>
      </c>
      <c r="M167" s="19">
        <f>IF(J167=0,0,I167-K167*I167/J167)</f>
        <v/>
      </c>
      <c r="O167" s="18">
        <f>DATA!A167</f>
        <v/>
      </c>
      <c r="P167">
        <f>DATA!B167</f>
        <v/>
      </c>
      <c r="Q167" s="19">
        <f>Z166</f>
        <v/>
      </c>
      <c r="R167" s="19">
        <f>AA166</f>
        <v/>
      </c>
      <c r="S167" s="19">
        <f>Q167+R167</f>
        <v/>
      </c>
      <c r="T167" s="20">
        <f>DATA!D167</f>
        <v/>
      </c>
      <c r="U167" s="20">
        <f>DATA!G167</f>
        <v/>
      </c>
      <c r="V167" s="19">
        <f>Q167*(1+T167)</f>
        <v/>
      </c>
      <c r="W167" s="19">
        <f>R167*(1+U167)</f>
        <v/>
      </c>
      <c r="X167" s="19">
        <f>V167+W167</f>
        <v/>
      </c>
      <c r="Y167" s="19">
        <f>IF(AND(CONFIG!$B$11="Annual",MONTH(O167)=7),X167*CONFIG!$B$6/12,Y166)</f>
        <v/>
      </c>
      <c r="Z167" s="19">
        <f>IF(X167=0,0,V167-Y167*V167/X167)</f>
        <v/>
      </c>
      <c r="AA167" s="19">
        <f>IF(X167=0,0,W167-Y167*W167/X167)</f>
        <v/>
      </c>
      <c r="AC167" s="18">
        <f>DATA!A167</f>
        <v/>
      </c>
      <c r="AD167">
        <f>DATA!B167</f>
        <v/>
      </c>
      <c r="AE167" s="19">
        <f>AN166</f>
        <v/>
      </c>
      <c r="AF167" s="19">
        <f>AO166</f>
        <v/>
      </c>
      <c r="AG167" s="19">
        <f>AE167+AF167</f>
        <v/>
      </c>
      <c r="AH167" s="20">
        <f>DATA!E167</f>
        <v/>
      </c>
      <c r="AI167" s="20">
        <f>DATA!G167</f>
        <v/>
      </c>
      <c r="AJ167" s="19">
        <f>AE167*(1+AH167)</f>
        <v/>
      </c>
      <c r="AK167" s="19">
        <f>AF167*(1+AI167)</f>
        <v/>
      </c>
      <c r="AL167" s="19">
        <f>AJ167+AK167</f>
        <v/>
      </c>
      <c r="AM167" s="19">
        <f>IF(AND(CONFIG!$B$11="Annual",MONTH(AC167)=7),AL167*CONFIG!$B$6/12,AM166)</f>
        <v/>
      </c>
      <c r="AN167" s="19">
        <f>IF(AL167=0,0,AJ167-AM167*AJ167/AL167)</f>
        <v/>
      </c>
      <c r="AO167" s="19">
        <f>IF(AL167=0,0,AK167-AM167*AK167/AL167)</f>
        <v/>
      </c>
    </row>
    <row r="168">
      <c r="A168" s="18">
        <f>DATA!A168</f>
        <v/>
      </c>
      <c r="B168">
        <f>DATA!B168</f>
        <v/>
      </c>
      <c r="C168" s="19">
        <f>L167</f>
        <v/>
      </c>
      <c r="D168" s="19">
        <f>M167</f>
        <v/>
      </c>
      <c r="E168" s="19">
        <f>C168+D168</f>
        <v/>
      </c>
      <c r="F168" s="20">
        <f>DATA!C168</f>
        <v/>
      </c>
      <c r="G168" s="20">
        <f>DATA!G168</f>
        <v/>
      </c>
      <c r="H168" s="19">
        <f>C168*(1+F168)</f>
        <v/>
      </c>
      <c r="I168" s="19">
        <f>D168*(1+G168)</f>
        <v/>
      </c>
      <c r="J168" s="19">
        <f>H168+I168</f>
        <v/>
      </c>
      <c r="K168" s="19">
        <f>IF(AND(CONFIG!$B$11="Annual",MONTH(A168)=7),J168*CONFIG!$B$6/12,K167)</f>
        <v/>
      </c>
      <c r="L168" s="19">
        <f>IF(J168=0,0,H168-K168*H168/J168)</f>
        <v/>
      </c>
      <c r="M168" s="19">
        <f>IF(J168=0,0,I168-K168*I168/J168)</f>
        <v/>
      </c>
      <c r="O168" s="18">
        <f>DATA!A168</f>
        <v/>
      </c>
      <c r="P168">
        <f>DATA!B168</f>
        <v/>
      </c>
      <c r="Q168" s="19">
        <f>Z167</f>
        <v/>
      </c>
      <c r="R168" s="19">
        <f>AA167</f>
        <v/>
      </c>
      <c r="S168" s="19">
        <f>Q168+R168</f>
        <v/>
      </c>
      <c r="T168" s="20">
        <f>DATA!D168</f>
        <v/>
      </c>
      <c r="U168" s="20">
        <f>DATA!G168</f>
        <v/>
      </c>
      <c r="V168" s="19">
        <f>Q168*(1+T168)</f>
        <v/>
      </c>
      <c r="W168" s="19">
        <f>R168*(1+U168)</f>
        <v/>
      </c>
      <c r="X168" s="19">
        <f>V168+W168</f>
        <v/>
      </c>
      <c r="Y168" s="19">
        <f>IF(AND(CONFIG!$B$11="Annual",MONTH(O168)=7),X168*CONFIG!$B$6/12,Y167)</f>
        <v/>
      </c>
      <c r="Z168" s="19">
        <f>IF(X168=0,0,V168-Y168*V168/X168)</f>
        <v/>
      </c>
      <c r="AA168" s="19">
        <f>IF(X168=0,0,W168-Y168*W168/X168)</f>
        <v/>
      </c>
      <c r="AC168" s="18">
        <f>DATA!A168</f>
        <v/>
      </c>
      <c r="AD168">
        <f>DATA!B168</f>
        <v/>
      </c>
      <c r="AE168" s="19">
        <f>AN167</f>
        <v/>
      </c>
      <c r="AF168" s="19">
        <f>AO167</f>
        <v/>
      </c>
      <c r="AG168" s="19">
        <f>AE168+AF168</f>
        <v/>
      </c>
      <c r="AH168" s="20">
        <f>DATA!E168</f>
        <v/>
      </c>
      <c r="AI168" s="20">
        <f>DATA!G168</f>
        <v/>
      </c>
      <c r="AJ168" s="19">
        <f>AE168*(1+AH168)</f>
        <v/>
      </c>
      <c r="AK168" s="19">
        <f>AF168*(1+AI168)</f>
        <v/>
      </c>
      <c r="AL168" s="19">
        <f>AJ168+AK168</f>
        <v/>
      </c>
      <c r="AM168" s="19">
        <f>IF(AND(CONFIG!$B$11="Annual",MONTH(AC168)=7),AL168*CONFIG!$B$6/12,AM167)</f>
        <v/>
      </c>
      <c r="AN168" s="19">
        <f>IF(AL168=0,0,AJ168-AM168*AJ168/AL168)</f>
        <v/>
      </c>
      <c r="AO168" s="19">
        <f>IF(AL168=0,0,AK168-AM168*AK168/AL168)</f>
        <v/>
      </c>
    </row>
    <row r="169">
      <c r="A169" s="18">
        <f>DATA!A169</f>
        <v/>
      </c>
      <c r="B169">
        <f>DATA!B169</f>
        <v/>
      </c>
      <c r="C169" s="19">
        <f>L168</f>
        <v/>
      </c>
      <c r="D169" s="19">
        <f>M168</f>
        <v/>
      </c>
      <c r="E169" s="19">
        <f>C169+D169</f>
        <v/>
      </c>
      <c r="F169" s="20">
        <f>DATA!C169</f>
        <v/>
      </c>
      <c r="G169" s="20">
        <f>DATA!G169</f>
        <v/>
      </c>
      <c r="H169" s="19">
        <f>C169*(1+F169)</f>
        <v/>
      </c>
      <c r="I169" s="19">
        <f>D169*(1+G169)</f>
        <v/>
      </c>
      <c r="J169" s="19">
        <f>H169+I169</f>
        <v/>
      </c>
      <c r="K169" s="19">
        <f>IF(AND(CONFIG!$B$11="Annual",MONTH(A169)=7),J169*CONFIG!$B$6/12,K168)</f>
        <v/>
      </c>
      <c r="L169" s="19">
        <f>IF(J169=0,0,H169-K169*H169/J169)</f>
        <v/>
      </c>
      <c r="M169" s="19">
        <f>IF(J169=0,0,I169-K169*I169/J169)</f>
        <v/>
      </c>
      <c r="O169" s="18">
        <f>DATA!A169</f>
        <v/>
      </c>
      <c r="P169">
        <f>DATA!B169</f>
        <v/>
      </c>
      <c r="Q169" s="19">
        <f>Z168</f>
        <v/>
      </c>
      <c r="R169" s="19">
        <f>AA168</f>
        <v/>
      </c>
      <c r="S169" s="19">
        <f>Q169+R169</f>
        <v/>
      </c>
      <c r="T169" s="20">
        <f>DATA!D169</f>
        <v/>
      </c>
      <c r="U169" s="20">
        <f>DATA!G169</f>
        <v/>
      </c>
      <c r="V169" s="19">
        <f>Q169*(1+T169)</f>
        <v/>
      </c>
      <c r="W169" s="19">
        <f>R169*(1+U169)</f>
        <v/>
      </c>
      <c r="X169" s="19">
        <f>V169+W169</f>
        <v/>
      </c>
      <c r="Y169" s="19">
        <f>IF(AND(CONFIG!$B$11="Annual",MONTH(O169)=7),X169*CONFIG!$B$6/12,Y168)</f>
        <v/>
      </c>
      <c r="Z169" s="19">
        <f>IF(X169=0,0,V169-Y169*V169/X169)</f>
        <v/>
      </c>
      <c r="AA169" s="19">
        <f>IF(X169=0,0,W169-Y169*W169/X169)</f>
        <v/>
      </c>
      <c r="AC169" s="18">
        <f>DATA!A169</f>
        <v/>
      </c>
      <c r="AD169">
        <f>DATA!B169</f>
        <v/>
      </c>
      <c r="AE169" s="19">
        <f>AN168</f>
        <v/>
      </c>
      <c r="AF169" s="19">
        <f>AO168</f>
        <v/>
      </c>
      <c r="AG169" s="19">
        <f>AE169+AF169</f>
        <v/>
      </c>
      <c r="AH169" s="20">
        <f>DATA!E169</f>
        <v/>
      </c>
      <c r="AI169" s="20">
        <f>DATA!G169</f>
        <v/>
      </c>
      <c r="AJ169" s="19">
        <f>AE169*(1+AH169)</f>
        <v/>
      </c>
      <c r="AK169" s="19">
        <f>AF169*(1+AI169)</f>
        <v/>
      </c>
      <c r="AL169" s="19">
        <f>AJ169+AK169</f>
        <v/>
      </c>
      <c r="AM169" s="19">
        <f>IF(AND(CONFIG!$B$11="Annual",MONTH(AC169)=7),AL169*CONFIG!$B$6/12,AM168)</f>
        <v/>
      </c>
      <c r="AN169" s="19">
        <f>IF(AL169=0,0,AJ169-AM169*AJ169/AL169)</f>
        <v/>
      </c>
      <c r="AO169" s="19">
        <f>IF(AL169=0,0,AK169-AM169*AK169/AL169)</f>
        <v/>
      </c>
    </row>
    <row r="170">
      <c r="A170" s="18">
        <f>DATA!A170</f>
        <v/>
      </c>
      <c r="B170">
        <f>DATA!B170</f>
        <v/>
      </c>
      <c r="C170" s="19">
        <f>L169</f>
        <v/>
      </c>
      <c r="D170" s="19">
        <f>M169</f>
        <v/>
      </c>
      <c r="E170" s="19">
        <f>C170+D170</f>
        <v/>
      </c>
      <c r="F170" s="20">
        <f>DATA!C170</f>
        <v/>
      </c>
      <c r="G170" s="20">
        <f>DATA!G170</f>
        <v/>
      </c>
      <c r="H170" s="19">
        <f>C170*(1+F170)</f>
        <v/>
      </c>
      <c r="I170" s="19">
        <f>D170*(1+G170)</f>
        <v/>
      </c>
      <c r="J170" s="19">
        <f>H170+I170</f>
        <v/>
      </c>
      <c r="K170" s="19">
        <f>IF(AND(CONFIG!$B$11="Annual",MONTH(A170)=7),J170*CONFIG!$B$6/12,K169)</f>
        <v/>
      </c>
      <c r="L170" s="19">
        <f>IF(J170=0,0,H170-K170*H170/J170)</f>
        <v/>
      </c>
      <c r="M170" s="19">
        <f>IF(J170=0,0,I170-K170*I170/J170)</f>
        <v/>
      </c>
      <c r="O170" s="18">
        <f>DATA!A170</f>
        <v/>
      </c>
      <c r="P170">
        <f>DATA!B170</f>
        <v/>
      </c>
      <c r="Q170" s="19">
        <f>Z169</f>
        <v/>
      </c>
      <c r="R170" s="19">
        <f>AA169</f>
        <v/>
      </c>
      <c r="S170" s="19">
        <f>Q170+R170</f>
        <v/>
      </c>
      <c r="T170" s="20">
        <f>DATA!D170</f>
        <v/>
      </c>
      <c r="U170" s="20">
        <f>DATA!G170</f>
        <v/>
      </c>
      <c r="V170" s="19">
        <f>Q170*(1+T170)</f>
        <v/>
      </c>
      <c r="W170" s="19">
        <f>R170*(1+U170)</f>
        <v/>
      </c>
      <c r="X170" s="19">
        <f>V170+W170</f>
        <v/>
      </c>
      <c r="Y170" s="19">
        <f>IF(AND(CONFIG!$B$11="Annual",MONTH(O170)=7),X170*CONFIG!$B$6/12,Y169)</f>
        <v/>
      </c>
      <c r="Z170" s="19">
        <f>IF(X170=0,0,V170-Y170*V170/X170)</f>
        <v/>
      </c>
      <c r="AA170" s="19">
        <f>IF(X170=0,0,W170-Y170*W170/X170)</f>
        <v/>
      </c>
      <c r="AC170" s="18">
        <f>DATA!A170</f>
        <v/>
      </c>
      <c r="AD170">
        <f>DATA!B170</f>
        <v/>
      </c>
      <c r="AE170" s="19">
        <f>AN169</f>
        <v/>
      </c>
      <c r="AF170" s="19">
        <f>AO169</f>
        <v/>
      </c>
      <c r="AG170" s="19">
        <f>AE170+AF170</f>
        <v/>
      </c>
      <c r="AH170" s="20">
        <f>DATA!E170</f>
        <v/>
      </c>
      <c r="AI170" s="20">
        <f>DATA!G170</f>
        <v/>
      </c>
      <c r="AJ170" s="19">
        <f>AE170*(1+AH170)</f>
        <v/>
      </c>
      <c r="AK170" s="19">
        <f>AF170*(1+AI170)</f>
        <v/>
      </c>
      <c r="AL170" s="19">
        <f>AJ170+AK170</f>
        <v/>
      </c>
      <c r="AM170" s="19">
        <f>IF(AND(CONFIG!$B$11="Annual",MONTH(AC170)=7),AL170*CONFIG!$B$6/12,AM169)</f>
        <v/>
      </c>
      <c r="AN170" s="19">
        <f>IF(AL170=0,0,AJ170-AM170*AJ170/AL170)</f>
        <v/>
      </c>
      <c r="AO170" s="19">
        <f>IF(AL170=0,0,AK170-AM170*AK170/AL170)</f>
        <v/>
      </c>
    </row>
    <row r="171">
      <c r="A171" s="18">
        <f>DATA!A171</f>
        <v/>
      </c>
      <c r="B171">
        <f>DATA!B171</f>
        <v/>
      </c>
      <c r="C171" s="19">
        <f>L170</f>
        <v/>
      </c>
      <c r="D171" s="19">
        <f>M170</f>
        <v/>
      </c>
      <c r="E171" s="19">
        <f>C171+D171</f>
        <v/>
      </c>
      <c r="F171" s="20">
        <f>DATA!C171</f>
        <v/>
      </c>
      <c r="G171" s="20">
        <f>DATA!G171</f>
        <v/>
      </c>
      <c r="H171" s="19">
        <f>C171*(1+F171)</f>
        <v/>
      </c>
      <c r="I171" s="19">
        <f>D171*(1+G171)</f>
        <v/>
      </c>
      <c r="J171" s="19">
        <f>H171+I171</f>
        <v/>
      </c>
      <c r="K171" s="19">
        <f>IF(AND(CONFIG!$B$11="Annual",MONTH(A171)=7),J171*CONFIG!$B$6/12,K170)</f>
        <v/>
      </c>
      <c r="L171" s="19">
        <f>IF(J171=0,0,H171-K171*H171/J171)</f>
        <v/>
      </c>
      <c r="M171" s="19">
        <f>IF(J171=0,0,I171-K171*I171/J171)</f>
        <v/>
      </c>
      <c r="O171" s="18">
        <f>DATA!A171</f>
        <v/>
      </c>
      <c r="P171">
        <f>DATA!B171</f>
        <v/>
      </c>
      <c r="Q171" s="19">
        <f>Z170</f>
        <v/>
      </c>
      <c r="R171" s="19">
        <f>AA170</f>
        <v/>
      </c>
      <c r="S171" s="19">
        <f>Q171+R171</f>
        <v/>
      </c>
      <c r="T171" s="20">
        <f>DATA!D171</f>
        <v/>
      </c>
      <c r="U171" s="20">
        <f>DATA!G171</f>
        <v/>
      </c>
      <c r="V171" s="19">
        <f>Q171*(1+T171)</f>
        <v/>
      </c>
      <c r="W171" s="19">
        <f>R171*(1+U171)</f>
        <v/>
      </c>
      <c r="X171" s="19">
        <f>V171+W171</f>
        <v/>
      </c>
      <c r="Y171" s="19">
        <f>IF(AND(CONFIG!$B$11="Annual",MONTH(O171)=7),X171*CONFIG!$B$6/12,Y170)</f>
        <v/>
      </c>
      <c r="Z171" s="19">
        <f>IF(X171=0,0,V171-Y171*V171/X171)</f>
        <v/>
      </c>
      <c r="AA171" s="19">
        <f>IF(X171=0,0,W171-Y171*W171/X171)</f>
        <v/>
      </c>
      <c r="AC171" s="18">
        <f>DATA!A171</f>
        <v/>
      </c>
      <c r="AD171">
        <f>DATA!B171</f>
        <v/>
      </c>
      <c r="AE171" s="19">
        <f>AN170</f>
        <v/>
      </c>
      <c r="AF171" s="19">
        <f>AO170</f>
        <v/>
      </c>
      <c r="AG171" s="19">
        <f>AE171+AF171</f>
        <v/>
      </c>
      <c r="AH171" s="20">
        <f>DATA!E171</f>
        <v/>
      </c>
      <c r="AI171" s="20">
        <f>DATA!G171</f>
        <v/>
      </c>
      <c r="AJ171" s="19">
        <f>AE171*(1+AH171)</f>
        <v/>
      </c>
      <c r="AK171" s="19">
        <f>AF171*(1+AI171)</f>
        <v/>
      </c>
      <c r="AL171" s="19">
        <f>AJ171+AK171</f>
        <v/>
      </c>
      <c r="AM171" s="19">
        <f>IF(AND(CONFIG!$B$11="Annual",MONTH(AC171)=7),AL171*CONFIG!$B$6/12,AM170)</f>
        <v/>
      </c>
      <c r="AN171" s="19">
        <f>IF(AL171=0,0,AJ171-AM171*AJ171/AL171)</f>
        <v/>
      </c>
      <c r="AO171" s="19">
        <f>IF(AL171=0,0,AK171-AM171*AK171/AL171)</f>
        <v/>
      </c>
    </row>
    <row r="172">
      <c r="A172" s="18">
        <f>DATA!A172</f>
        <v/>
      </c>
      <c r="B172">
        <f>DATA!B172</f>
        <v/>
      </c>
      <c r="C172" s="19">
        <f>L171</f>
        <v/>
      </c>
      <c r="D172" s="19">
        <f>M171</f>
        <v/>
      </c>
      <c r="E172" s="19">
        <f>C172+D172</f>
        <v/>
      </c>
      <c r="F172" s="20">
        <f>DATA!C172</f>
        <v/>
      </c>
      <c r="G172" s="20">
        <f>DATA!G172</f>
        <v/>
      </c>
      <c r="H172" s="19">
        <f>C172*(1+F172)</f>
        <v/>
      </c>
      <c r="I172" s="19">
        <f>D172*(1+G172)</f>
        <v/>
      </c>
      <c r="J172" s="19">
        <f>H172+I172</f>
        <v/>
      </c>
      <c r="K172" s="19">
        <f>IF(AND(CONFIG!$B$11="Annual",MONTH(A172)=7),J172*CONFIG!$B$6/12,K171)</f>
        <v/>
      </c>
      <c r="L172" s="19">
        <f>IF(J172=0,0,H172-K172*H172/J172)</f>
        <v/>
      </c>
      <c r="M172" s="19">
        <f>IF(J172=0,0,I172-K172*I172/J172)</f>
        <v/>
      </c>
      <c r="O172" s="18">
        <f>DATA!A172</f>
        <v/>
      </c>
      <c r="P172">
        <f>DATA!B172</f>
        <v/>
      </c>
      <c r="Q172" s="19">
        <f>Z171</f>
        <v/>
      </c>
      <c r="R172" s="19">
        <f>AA171</f>
        <v/>
      </c>
      <c r="S172" s="19">
        <f>Q172+R172</f>
        <v/>
      </c>
      <c r="T172" s="20">
        <f>DATA!D172</f>
        <v/>
      </c>
      <c r="U172" s="20">
        <f>DATA!G172</f>
        <v/>
      </c>
      <c r="V172" s="19">
        <f>Q172*(1+T172)</f>
        <v/>
      </c>
      <c r="W172" s="19">
        <f>R172*(1+U172)</f>
        <v/>
      </c>
      <c r="X172" s="19">
        <f>V172+W172</f>
        <v/>
      </c>
      <c r="Y172" s="19">
        <f>IF(AND(CONFIG!$B$11="Annual",MONTH(O172)=7),X172*CONFIG!$B$6/12,Y171)</f>
        <v/>
      </c>
      <c r="Z172" s="19">
        <f>IF(X172=0,0,V172-Y172*V172/X172)</f>
        <v/>
      </c>
      <c r="AA172" s="19">
        <f>IF(X172=0,0,W172-Y172*W172/X172)</f>
        <v/>
      </c>
      <c r="AC172" s="18">
        <f>DATA!A172</f>
        <v/>
      </c>
      <c r="AD172">
        <f>DATA!B172</f>
        <v/>
      </c>
      <c r="AE172" s="19">
        <f>AN171</f>
        <v/>
      </c>
      <c r="AF172" s="19">
        <f>AO171</f>
        <v/>
      </c>
      <c r="AG172" s="19">
        <f>AE172+AF172</f>
        <v/>
      </c>
      <c r="AH172" s="20">
        <f>DATA!E172</f>
        <v/>
      </c>
      <c r="AI172" s="20">
        <f>DATA!G172</f>
        <v/>
      </c>
      <c r="AJ172" s="19">
        <f>AE172*(1+AH172)</f>
        <v/>
      </c>
      <c r="AK172" s="19">
        <f>AF172*(1+AI172)</f>
        <v/>
      </c>
      <c r="AL172" s="19">
        <f>AJ172+AK172</f>
        <v/>
      </c>
      <c r="AM172" s="19">
        <f>IF(AND(CONFIG!$B$11="Annual",MONTH(AC172)=7),AL172*CONFIG!$B$6/12,AM171)</f>
        <v/>
      </c>
      <c r="AN172" s="19">
        <f>IF(AL172=0,0,AJ172-AM172*AJ172/AL172)</f>
        <v/>
      </c>
      <c r="AO172" s="19">
        <f>IF(AL172=0,0,AK172-AM172*AK172/AL172)</f>
        <v/>
      </c>
    </row>
    <row r="173">
      <c r="A173" s="18">
        <f>DATA!A173</f>
        <v/>
      </c>
      <c r="B173">
        <f>DATA!B173</f>
        <v/>
      </c>
      <c r="C173" s="19">
        <f>L172</f>
        <v/>
      </c>
      <c r="D173" s="19">
        <f>M172</f>
        <v/>
      </c>
      <c r="E173" s="19">
        <f>C173+D173</f>
        <v/>
      </c>
      <c r="F173" s="20">
        <f>DATA!C173</f>
        <v/>
      </c>
      <c r="G173" s="20">
        <f>DATA!G173</f>
        <v/>
      </c>
      <c r="H173" s="19">
        <f>C173*(1+F173)</f>
        <v/>
      </c>
      <c r="I173" s="19">
        <f>D173*(1+G173)</f>
        <v/>
      </c>
      <c r="J173" s="19">
        <f>H173+I173</f>
        <v/>
      </c>
      <c r="K173" s="19">
        <f>IF(AND(CONFIG!$B$11="Annual",MONTH(A173)=7),J173*CONFIG!$B$6/12,K172)</f>
        <v/>
      </c>
      <c r="L173" s="19">
        <f>IF(J173=0,0,H173-K173*H173/J173)</f>
        <v/>
      </c>
      <c r="M173" s="19">
        <f>IF(J173=0,0,I173-K173*I173/J173)</f>
        <v/>
      </c>
      <c r="O173" s="18">
        <f>DATA!A173</f>
        <v/>
      </c>
      <c r="P173">
        <f>DATA!B173</f>
        <v/>
      </c>
      <c r="Q173" s="19">
        <f>Z172</f>
        <v/>
      </c>
      <c r="R173" s="19">
        <f>AA172</f>
        <v/>
      </c>
      <c r="S173" s="19">
        <f>Q173+R173</f>
        <v/>
      </c>
      <c r="T173" s="20">
        <f>DATA!D173</f>
        <v/>
      </c>
      <c r="U173" s="20">
        <f>DATA!G173</f>
        <v/>
      </c>
      <c r="V173" s="19">
        <f>Q173*(1+T173)</f>
        <v/>
      </c>
      <c r="W173" s="19">
        <f>R173*(1+U173)</f>
        <v/>
      </c>
      <c r="X173" s="19">
        <f>V173+W173</f>
        <v/>
      </c>
      <c r="Y173" s="19">
        <f>IF(AND(CONFIG!$B$11="Annual",MONTH(O173)=7),X173*CONFIG!$B$6/12,Y172)</f>
        <v/>
      </c>
      <c r="Z173" s="19">
        <f>IF(X173=0,0,V173-Y173*V173/X173)</f>
        <v/>
      </c>
      <c r="AA173" s="19">
        <f>IF(X173=0,0,W173-Y173*W173/X173)</f>
        <v/>
      </c>
      <c r="AC173" s="18">
        <f>DATA!A173</f>
        <v/>
      </c>
      <c r="AD173">
        <f>DATA!B173</f>
        <v/>
      </c>
      <c r="AE173" s="19">
        <f>AN172</f>
        <v/>
      </c>
      <c r="AF173" s="19">
        <f>AO172</f>
        <v/>
      </c>
      <c r="AG173" s="19">
        <f>AE173+AF173</f>
        <v/>
      </c>
      <c r="AH173" s="20">
        <f>DATA!E173</f>
        <v/>
      </c>
      <c r="AI173" s="20">
        <f>DATA!G173</f>
        <v/>
      </c>
      <c r="AJ173" s="19">
        <f>AE173*(1+AH173)</f>
        <v/>
      </c>
      <c r="AK173" s="19">
        <f>AF173*(1+AI173)</f>
        <v/>
      </c>
      <c r="AL173" s="19">
        <f>AJ173+AK173</f>
        <v/>
      </c>
      <c r="AM173" s="19">
        <f>IF(AND(CONFIG!$B$11="Annual",MONTH(AC173)=7),AL173*CONFIG!$B$6/12,AM172)</f>
        <v/>
      </c>
      <c r="AN173" s="19">
        <f>IF(AL173=0,0,AJ173-AM173*AJ173/AL173)</f>
        <v/>
      </c>
      <c r="AO173" s="19">
        <f>IF(AL173=0,0,AK173-AM173*AK173/AL173)</f>
        <v/>
      </c>
    </row>
    <row r="174">
      <c r="A174" s="18">
        <f>DATA!A174</f>
        <v/>
      </c>
      <c r="B174">
        <f>DATA!B174</f>
        <v/>
      </c>
      <c r="C174" s="19">
        <f>L173</f>
        <v/>
      </c>
      <c r="D174" s="19">
        <f>M173</f>
        <v/>
      </c>
      <c r="E174" s="19">
        <f>C174+D174</f>
        <v/>
      </c>
      <c r="F174" s="20">
        <f>DATA!C174</f>
        <v/>
      </c>
      <c r="G174" s="20">
        <f>DATA!G174</f>
        <v/>
      </c>
      <c r="H174" s="19">
        <f>C174*(1+F174)</f>
        <v/>
      </c>
      <c r="I174" s="19">
        <f>D174*(1+G174)</f>
        <v/>
      </c>
      <c r="J174" s="19">
        <f>H174+I174</f>
        <v/>
      </c>
      <c r="K174" s="19">
        <f>IF(AND(CONFIG!$B$11="Annual",MONTH(A174)=7),J174*CONFIG!$B$6/12,K173)</f>
        <v/>
      </c>
      <c r="L174" s="19">
        <f>IF(J174=0,0,H174-K174*H174/J174)</f>
        <v/>
      </c>
      <c r="M174" s="19">
        <f>IF(J174=0,0,I174-K174*I174/J174)</f>
        <v/>
      </c>
      <c r="O174" s="18">
        <f>DATA!A174</f>
        <v/>
      </c>
      <c r="P174">
        <f>DATA!B174</f>
        <v/>
      </c>
      <c r="Q174" s="19">
        <f>Z173</f>
        <v/>
      </c>
      <c r="R174" s="19">
        <f>AA173</f>
        <v/>
      </c>
      <c r="S174" s="19">
        <f>Q174+R174</f>
        <v/>
      </c>
      <c r="T174" s="20">
        <f>DATA!D174</f>
        <v/>
      </c>
      <c r="U174" s="20">
        <f>DATA!G174</f>
        <v/>
      </c>
      <c r="V174" s="19">
        <f>Q174*(1+T174)</f>
        <v/>
      </c>
      <c r="W174" s="19">
        <f>R174*(1+U174)</f>
        <v/>
      </c>
      <c r="X174" s="19">
        <f>V174+W174</f>
        <v/>
      </c>
      <c r="Y174" s="19">
        <f>IF(AND(CONFIG!$B$11="Annual",MONTH(O174)=7),X174*CONFIG!$B$6/12,Y173)</f>
        <v/>
      </c>
      <c r="Z174" s="19">
        <f>IF(X174=0,0,V174-Y174*V174/X174)</f>
        <v/>
      </c>
      <c r="AA174" s="19">
        <f>IF(X174=0,0,W174-Y174*W174/X174)</f>
        <v/>
      </c>
      <c r="AC174" s="18">
        <f>DATA!A174</f>
        <v/>
      </c>
      <c r="AD174">
        <f>DATA!B174</f>
        <v/>
      </c>
      <c r="AE174" s="19">
        <f>AN173</f>
        <v/>
      </c>
      <c r="AF174" s="19">
        <f>AO173</f>
        <v/>
      </c>
      <c r="AG174" s="19">
        <f>AE174+AF174</f>
        <v/>
      </c>
      <c r="AH174" s="20">
        <f>DATA!E174</f>
        <v/>
      </c>
      <c r="AI174" s="20">
        <f>DATA!G174</f>
        <v/>
      </c>
      <c r="AJ174" s="19">
        <f>AE174*(1+AH174)</f>
        <v/>
      </c>
      <c r="AK174" s="19">
        <f>AF174*(1+AI174)</f>
        <v/>
      </c>
      <c r="AL174" s="19">
        <f>AJ174+AK174</f>
        <v/>
      </c>
      <c r="AM174" s="19">
        <f>IF(AND(CONFIG!$B$11="Annual",MONTH(AC174)=7),AL174*CONFIG!$B$6/12,AM173)</f>
        <v/>
      </c>
      <c r="AN174" s="19">
        <f>IF(AL174=0,0,AJ174-AM174*AJ174/AL174)</f>
        <v/>
      </c>
      <c r="AO174" s="19">
        <f>IF(AL174=0,0,AK174-AM174*AK174/AL174)</f>
        <v/>
      </c>
    </row>
    <row r="175">
      <c r="A175" s="18">
        <f>DATA!A175</f>
        <v/>
      </c>
      <c r="B175">
        <f>DATA!B175</f>
        <v/>
      </c>
      <c r="C175" s="19">
        <f>L174</f>
        <v/>
      </c>
      <c r="D175" s="19">
        <f>M174</f>
        <v/>
      </c>
      <c r="E175" s="19">
        <f>C175+D175</f>
        <v/>
      </c>
      <c r="F175" s="20">
        <f>DATA!C175</f>
        <v/>
      </c>
      <c r="G175" s="20">
        <f>DATA!G175</f>
        <v/>
      </c>
      <c r="H175" s="19">
        <f>C175*(1+F175)</f>
        <v/>
      </c>
      <c r="I175" s="19">
        <f>D175*(1+G175)</f>
        <v/>
      </c>
      <c r="J175" s="19">
        <f>H175+I175</f>
        <v/>
      </c>
      <c r="K175" s="19">
        <f>IF(AND(CONFIG!$B$11="Annual",MONTH(A175)=7),J175*CONFIG!$B$6/12,K174)</f>
        <v/>
      </c>
      <c r="L175" s="19">
        <f>IF(J175=0,0,H175-K175*H175/J175)</f>
        <v/>
      </c>
      <c r="M175" s="19">
        <f>IF(J175=0,0,I175-K175*I175/J175)</f>
        <v/>
      </c>
      <c r="O175" s="18">
        <f>DATA!A175</f>
        <v/>
      </c>
      <c r="P175">
        <f>DATA!B175</f>
        <v/>
      </c>
      <c r="Q175" s="19">
        <f>Z174</f>
        <v/>
      </c>
      <c r="R175" s="19">
        <f>AA174</f>
        <v/>
      </c>
      <c r="S175" s="19">
        <f>Q175+R175</f>
        <v/>
      </c>
      <c r="T175" s="20">
        <f>DATA!D175</f>
        <v/>
      </c>
      <c r="U175" s="20">
        <f>DATA!G175</f>
        <v/>
      </c>
      <c r="V175" s="19">
        <f>Q175*(1+T175)</f>
        <v/>
      </c>
      <c r="W175" s="19">
        <f>R175*(1+U175)</f>
        <v/>
      </c>
      <c r="X175" s="19">
        <f>V175+W175</f>
        <v/>
      </c>
      <c r="Y175" s="19">
        <f>IF(AND(CONFIG!$B$11="Annual",MONTH(O175)=7),X175*CONFIG!$B$6/12,Y174)</f>
        <v/>
      </c>
      <c r="Z175" s="19">
        <f>IF(X175=0,0,V175-Y175*V175/X175)</f>
        <v/>
      </c>
      <c r="AA175" s="19">
        <f>IF(X175=0,0,W175-Y175*W175/X175)</f>
        <v/>
      </c>
      <c r="AC175" s="18">
        <f>DATA!A175</f>
        <v/>
      </c>
      <c r="AD175">
        <f>DATA!B175</f>
        <v/>
      </c>
      <c r="AE175" s="19">
        <f>AN174</f>
        <v/>
      </c>
      <c r="AF175" s="19">
        <f>AO174</f>
        <v/>
      </c>
      <c r="AG175" s="19">
        <f>AE175+AF175</f>
        <v/>
      </c>
      <c r="AH175" s="20">
        <f>DATA!E175</f>
        <v/>
      </c>
      <c r="AI175" s="20">
        <f>DATA!G175</f>
        <v/>
      </c>
      <c r="AJ175" s="19">
        <f>AE175*(1+AH175)</f>
        <v/>
      </c>
      <c r="AK175" s="19">
        <f>AF175*(1+AI175)</f>
        <v/>
      </c>
      <c r="AL175" s="19">
        <f>AJ175+AK175</f>
        <v/>
      </c>
      <c r="AM175" s="19">
        <f>IF(AND(CONFIG!$B$11="Annual",MONTH(AC175)=7),AL175*CONFIG!$B$6/12,AM174)</f>
        <v/>
      </c>
      <c r="AN175" s="19">
        <f>IF(AL175=0,0,AJ175-AM175*AJ175/AL175)</f>
        <v/>
      </c>
      <c r="AO175" s="19">
        <f>IF(AL175=0,0,AK175-AM175*AK175/AL175)</f>
        <v/>
      </c>
    </row>
    <row r="176">
      <c r="A176" s="18">
        <f>DATA!A176</f>
        <v/>
      </c>
      <c r="B176">
        <f>DATA!B176</f>
        <v/>
      </c>
      <c r="C176" s="19">
        <f>L175</f>
        <v/>
      </c>
      <c r="D176" s="19">
        <f>M175</f>
        <v/>
      </c>
      <c r="E176" s="19">
        <f>C176+D176</f>
        <v/>
      </c>
      <c r="F176" s="20">
        <f>DATA!C176</f>
        <v/>
      </c>
      <c r="G176" s="20">
        <f>DATA!G176</f>
        <v/>
      </c>
      <c r="H176" s="19">
        <f>C176*(1+F176)</f>
        <v/>
      </c>
      <c r="I176" s="19">
        <f>D176*(1+G176)</f>
        <v/>
      </c>
      <c r="J176" s="19">
        <f>H176+I176</f>
        <v/>
      </c>
      <c r="K176" s="19">
        <f>IF(AND(CONFIG!$B$11="Annual",MONTH(A176)=7),J176*CONFIG!$B$6/12,K175)</f>
        <v/>
      </c>
      <c r="L176" s="19">
        <f>IF(J176=0,0,H176-K176*H176/J176)</f>
        <v/>
      </c>
      <c r="M176" s="19">
        <f>IF(J176=0,0,I176-K176*I176/J176)</f>
        <v/>
      </c>
      <c r="O176" s="18">
        <f>DATA!A176</f>
        <v/>
      </c>
      <c r="P176">
        <f>DATA!B176</f>
        <v/>
      </c>
      <c r="Q176" s="19">
        <f>Z175</f>
        <v/>
      </c>
      <c r="R176" s="19">
        <f>AA175</f>
        <v/>
      </c>
      <c r="S176" s="19">
        <f>Q176+R176</f>
        <v/>
      </c>
      <c r="T176" s="20">
        <f>DATA!D176</f>
        <v/>
      </c>
      <c r="U176" s="20">
        <f>DATA!G176</f>
        <v/>
      </c>
      <c r="V176" s="19">
        <f>Q176*(1+T176)</f>
        <v/>
      </c>
      <c r="W176" s="19">
        <f>R176*(1+U176)</f>
        <v/>
      </c>
      <c r="X176" s="19">
        <f>V176+W176</f>
        <v/>
      </c>
      <c r="Y176" s="19">
        <f>IF(AND(CONFIG!$B$11="Annual",MONTH(O176)=7),X176*CONFIG!$B$6/12,Y175)</f>
        <v/>
      </c>
      <c r="Z176" s="19">
        <f>IF(X176=0,0,V176-Y176*V176/X176)</f>
        <v/>
      </c>
      <c r="AA176" s="19">
        <f>IF(X176=0,0,W176-Y176*W176/X176)</f>
        <v/>
      </c>
      <c r="AC176" s="18">
        <f>DATA!A176</f>
        <v/>
      </c>
      <c r="AD176">
        <f>DATA!B176</f>
        <v/>
      </c>
      <c r="AE176" s="19">
        <f>AN175</f>
        <v/>
      </c>
      <c r="AF176" s="19">
        <f>AO175</f>
        <v/>
      </c>
      <c r="AG176" s="19">
        <f>AE176+AF176</f>
        <v/>
      </c>
      <c r="AH176" s="20">
        <f>DATA!E176</f>
        <v/>
      </c>
      <c r="AI176" s="20">
        <f>DATA!G176</f>
        <v/>
      </c>
      <c r="AJ176" s="19">
        <f>AE176*(1+AH176)</f>
        <v/>
      </c>
      <c r="AK176" s="19">
        <f>AF176*(1+AI176)</f>
        <v/>
      </c>
      <c r="AL176" s="19">
        <f>AJ176+AK176</f>
        <v/>
      </c>
      <c r="AM176" s="19">
        <f>IF(AND(CONFIG!$B$11="Annual",MONTH(AC176)=7),AL176*CONFIG!$B$6/12,AM175)</f>
        <v/>
      </c>
      <c r="AN176" s="19">
        <f>IF(AL176=0,0,AJ176-AM176*AJ176/AL176)</f>
        <v/>
      </c>
      <c r="AO176" s="19">
        <f>IF(AL176=0,0,AK176-AM176*AK176/AL176)</f>
        <v/>
      </c>
    </row>
    <row r="177">
      <c r="A177" s="18">
        <f>DATA!A177</f>
        <v/>
      </c>
      <c r="B177">
        <f>DATA!B177</f>
        <v/>
      </c>
      <c r="C177" s="19">
        <f>L176</f>
        <v/>
      </c>
      <c r="D177" s="19">
        <f>M176</f>
        <v/>
      </c>
      <c r="E177" s="19">
        <f>C177+D177</f>
        <v/>
      </c>
      <c r="F177" s="20">
        <f>DATA!C177</f>
        <v/>
      </c>
      <c r="G177" s="20">
        <f>DATA!G177</f>
        <v/>
      </c>
      <c r="H177" s="19">
        <f>C177*(1+F177)</f>
        <v/>
      </c>
      <c r="I177" s="19">
        <f>D177*(1+G177)</f>
        <v/>
      </c>
      <c r="J177" s="19">
        <f>H177+I177</f>
        <v/>
      </c>
      <c r="K177" s="19">
        <f>IF(AND(CONFIG!$B$11="Annual",MONTH(A177)=7),J177*CONFIG!$B$6/12,K176)</f>
        <v/>
      </c>
      <c r="L177" s="19">
        <f>IF(J177=0,0,H177-K177*H177/J177)</f>
        <v/>
      </c>
      <c r="M177" s="19">
        <f>IF(J177=0,0,I177-K177*I177/J177)</f>
        <v/>
      </c>
      <c r="O177" s="18">
        <f>DATA!A177</f>
        <v/>
      </c>
      <c r="P177">
        <f>DATA!B177</f>
        <v/>
      </c>
      <c r="Q177" s="19">
        <f>Z176</f>
        <v/>
      </c>
      <c r="R177" s="19">
        <f>AA176</f>
        <v/>
      </c>
      <c r="S177" s="19">
        <f>Q177+R177</f>
        <v/>
      </c>
      <c r="T177" s="20">
        <f>DATA!D177</f>
        <v/>
      </c>
      <c r="U177" s="20">
        <f>DATA!G177</f>
        <v/>
      </c>
      <c r="V177" s="19">
        <f>Q177*(1+T177)</f>
        <v/>
      </c>
      <c r="W177" s="19">
        <f>R177*(1+U177)</f>
        <v/>
      </c>
      <c r="X177" s="19">
        <f>V177+W177</f>
        <v/>
      </c>
      <c r="Y177" s="19">
        <f>IF(AND(CONFIG!$B$11="Annual",MONTH(O177)=7),X177*CONFIG!$B$6/12,Y176)</f>
        <v/>
      </c>
      <c r="Z177" s="19">
        <f>IF(X177=0,0,V177-Y177*V177/X177)</f>
        <v/>
      </c>
      <c r="AA177" s="19">
        <f>IF(X177=0,0,W177-Y177*W177/X177)</f>
        <v/>
      </c>
      <c r="AC177" s="18">
        <f>DATA!A177</f>
        <v/>
      </c>
      <c r="AD177">
        <f>DATA!B177</f>
        <v/>
      </c>
      <c r="AE177" s="19">
        <f>AN176</f>
        <v/>
      </c>
      <c r="AF177" s="19">
        <f>AO176</f>
        <v/>
      </c>
      <c r="AG177" s="19">
        <f>AE177+AF177</f>
        <v/>
      </c>
      <c r="AH177" s="20">
        <f>DATA!E177</f>
        <v/>
      </c>
      <c r="AI177" s="20">
        <f>DATA!G177</f>
        <v/>
      </c>
      <c r="AJ177" s="19">
        <f>AE177*(1+AH177)</f>
        <v/>
      </c>
      <c r="AK177" s="19">
        <f>AF177*(1+AI177)</f>
        <v/>
      </c>
      <c r="AL177" s="19">
        <f>AJ177+AK177</f>
        <v/>
      </c>
      <c r="AM177" s="19">
        <f>IF(AND(CONFIG!$B$11="Annual",MONTH(AC177)=7),AL177*CONFIG!$B$6/12,AM176)</f>
        <v/>
      </c>
      <c r="AN177" s="19">
        <f>IF(AL177=0,0,AJ177-AM177*AJ177/AL177)</f>
        <v/>
      </c>
      <c r="AO177" s="19">
        <f>IF(AL177=0,0,AK177-AM177*AK177/AL177)</f>
        <v/>
      </c>
    </row>
    <row r="178">
      <c r="A178" s="18">
        <f>DATA!A178</f>
        <v/>
      </c>
      <c r="B178">
        <f>DATA!B178</f>
        <v/>
      </c>
      <c r="C178" s="19">
        <f>L177</f>
        <v/>
      </c>
      <c r="D178" s="19">
        <f>M177</f>
        <v/>
      </c>
      <c r="E178" s="19">
        <f>C178+D178</f>
        <v/>
      </c>
      <c r="F178" s="20">
        <f>DATA!C178</f>
        <v/>
      </c>
      <c r="G178" s="20">
        <f>DATA!G178</f>
        <v/>
      </c>
      <c r="H178" s="19">
        <f>C178*(1+F178)</f>
        <v/>
      </c>
      <c r="I178" s="19">
        <f>D178*(1+G178)</f>
        <v/>
      </c>
      <c r="J178" s="19">
        <f>H178+I178</f>
        <v/>
      </c>
      <c r="K178" s="19">
        <f>IF(AND(CONFIG!$B$11="Annual",MONTH(A178)=7),J178*CONFIG!$B$6/12,K177)</f>
        <v/>
      </c>
      <c r="L178" s="19">
        <f>IF(J178=0,0,H178-K178*H178/J178)</f>
        <v/>
      </c>
      <c r="M178" s="19">
        <f>IF(J178=0,0,I178-K178*I178/J178)</f>
        <v/>
      </c>
      <c r="O178" s="18">
        <f>DATA!A178</f>
        <v/>
      </c>
      <c r="P178">
        <f>DATA!B178</f>
        <v/>
      </c>
      <c r="Q178" s="19">
        <f>Z177</f>
        <v/>
      </c>
      <c r="R178" s="19">
        <f>AA177</f>
        <v/>
      </c>
      <c r="S178" s="19">
        <f>Q178+R178</f>
        <v/>
      </c>
      <c r="T178" s="20">
        <f>DATA!D178</f>
        <v/>
      </c>
      <c r="U178" s="20">
        <f>DATA!G178</f>
        <v/>
      </c>
      <c r="V178" s="19">
        <f>Q178*(1+T178)</f>
        <v/>
      </c>
      <c r="W178" s="19">
        <f>R178*(1+U178)</f>
        <v/>
      </c>
      <c r="X178" s="19">
        <f>V178+W178</f>
        <v/>
      </c>
      <c r="Y178" s="19">
        <f>IF(AND(CONFIG!$B$11="Annual",MONTH(O178)=7),X178*CONFIG!$B$6/12,Y177)</f>
        <v/>
      </c>
      <c r="Z178" s="19">
        <f>IF(X178=0,0,V178-Y178*V178/X178)</f>
        <v/>
      </c>
      <c r="AA178" s="19">
        <f>IF(X178=0,0,W178-Y178*W178/X178)</f>
        <v/>
      </c>
      <c r="AC178" s="18">
        <f>DATA!A178</f>
        <v/>
      </c>
      <c r="AD178">
        <f>DATA!B178</f>
        <v/>
      </c>
      <c r="AE178" s="19">
        <f>AN177</f>
        <v/>
      </c>
      <c r="AF178" s="19">
        <f>AO177</f>
        <v/>
      </c>
      <c r="AG178" s="19">
        <f>AE178+AF178</f>
        <v/>
      </c>
      <c r="AH178" s="20">
        <f>DATA!E178</f>
        <v/>
      </c>
      <c r="AI178" s="20">
        <f>DATA!G178</f>
        <v/>
      </c>
      <c r="AJ178" s="19">
        <f>AE178*(1+AH178)</f>
        <v/>
      </c>
      <c r="AK178" s="19">
        <f>AF178*(1+AI178)</f>
        <v/>
      </c>
      <c r="AL178" s="19">
        <f>AJ178+AK178</f>
        <v/>
      </c>
      <c r="AM178" s="19">
        <f>IF(AND(CONFIG!$B$11="Annual",MONTH(AC178)=7),AL178*CONFIG!$B$6/12,AM177)</f>
        <v/>
      </c>
      <c r="AN178" s="19">
        <f>IF(AL178=0,0,AJ178-AM178*AJ178/AL178)</f>
        <v/>
      </c>
      <c r="AO178" s="19">
        <f>IF(AL178=0,0,AK178-AM178*AK178/AL178)</f>
        <v/>
      </c>
    </row>
    <row r="179">
      <c r="A179" s="18">
        <f>DATA!A179</f>
        <v/>
      </c>
      <c r="B179">
        <f>DATA!B179</f>
        <v/>
      </c>
      <c r="C179" s="19">
        <f>L178</f>
        <v/>
      </c>
      <c r="D179" s="19">
        <f>M178</f>
        <v/>
      </c>
      <c r="E179" s="19">
        <f>C179+D179</f>
        <v/>
      </c>
      <c r="F179" s="20">
        <f>DATA!C179</f>
        <v/>
      </c>
      <c r="G179" s="20">
        <f>DATA!G179</f>
        <v/>
      </c>
      <c r="H179" s="19">
        <f>C179*(1+F179)</f>
        <v/>
      </c>
      <c r="I179" s="19">
        <f>D179*(1+G179)</f>
        <v/>
      </c>
      <c r="J179" s="19">
        <f>H179+I179</f>
        <v/>
      </c>
      <c r="K179" s="19">
        <f>IF(AND(CONFIG!$B$11="Annual",MONTH(A179)=7),J179*CONFIG!$B$6/12,K178)</f>
        <v/>
      </c>
      <c r="L179" s="19">
        <f>IF(J179=0,0,H179-K179*H179/J179)</f>
        <v/>
      </c>
      <c r="M179" s="19">
        <f>IF(J179=0,0,I179-K179*I179/J179)</f>
        <v/>
      </c>
      <c r="O179" s="18">
        <f>DATA!A179</f>
        <v/>
      </c>
      <c r="P179">
        <f>DATA!B179</f>
        <v/>
      </c>
      <c r="Q179" s="19">
        <f>Z178</f>
        <v/>
      </c>
      <c r="R179" s="19">
        <f>AA178</f>
        <v/>
      </c>
      <c r="S179" s="19">
        <f>Q179+R179</f>
        <v/>
      </c>
      <c r="T179" s="20">
        <f>DATA!D179</f>
        <v/>
      </c>
      <c r="U179" s="20">
        <f>DATA!G179</f>
        <v/>
      </c>
      <c r="V179" s="19">
        <f>Q179*(1+T179)</f>
        <v/>
      </c>
      <c r="W179" s="19">
        <f>R179*(1+U179)</f>
        <v/>
      </c>
      <c r="X179" s="19">
        <f>V179+W179</f>
        <v/>
      </c>
      <c r="Y179" s="19">
        <f>IF(AND(CONFIG!$B$11="Annual",MONTH(O179)=7),X179*CONFIG!$B$6/12,Y178)</f>
        <v/>
      </c>
      <c r="Z179" s="19">
        <f>IF(X179=0,0,V179-Y179*V179/X179)</f>
        <v/>
      </c>
      <c r="AA179" s="19">
        <f>IF(X179=0,0,W179-Y179*W179/X179)</f>
        <v/>
      </c>
      <c r="AC179" s="18">
        <f>DATA!A179</f>
        <v/>
      </c>
      <c r="AD179">
        <f>DATA!B179</f>
        <v/>
      </c>
      <c r="AE179" s="19">
        <f>AN178</f>
        <v/>
      </c>
      <c r="AF179" s="19">
        <f>AO178</f>
        <v/>
      </c>
      <c r="AG179" s="19">
        <f>AE179+AF179</f>
        <v/>
      </c>
      <c r="AH179" s="20">
        <f>DATA!E179</f>
        <v/>
      </c>
      <c r="AI179" s="20">
        <f>DATA!G179</f>
        <v/>
      </c>
      <c r="AJ179" s="19">
        <f>AE179*(1+AH179)</f>
        <v/>
      </c>
      <c r="AK179" s="19">
        <f>AF179*(1+AI179)</f>
        <v/>
      </c>
      <c r="AL179" s="19">
        <f>AJ179+AK179</f>
        <v/>
      </c>
      <c r="AM179" s="19">
        <f>IF(AND(CONFIG!$B$11="Annual",MONTH(AC179)=7),AL179*CONFIG!$B$6/12,AM178)</f>
        <v/>
      </c>
      <c r="AN179" s="19">
        <f>IF(AL179=0,0,AJ179-AM179*AJ179/AL179)</f>
        <v/>
      </c>
      <c r="AO179" s="19">
        <f>IF(AL179=0,0,AK179-AM179*AK179/AL179)</f>
        <v/>
      </c>
    </row>
    <row r="180">
      <c r="A180" s="18">
        <f>DATA!A180</f>
        <v/>
      </c>
      <c r="B180">
        <f>DATA!B180</f>
        <v/>
      </c>
      <c r="C180" s="19">
        <f>L179</f>
        <v/>
      </c>
      <c r="D180" s="19">
        <f>M179</f>
        <v/>
      </c>
      <c r="E180" s="19">
        <f>C180+D180</f>
        <v/>
      </c>
      <c r="F180" s="20">
        <f>DATA!C180</f>
        <v/>
      </c>
      <c r="G180" s="20">
        <f>DATA!G180</f>
        <v/>
      </c>
      <c r="H180" s="19">
        <f>C180*(1+F180)</f>
        <v/>
      </c>
      <c r="I180" s="19">
        <f>D180*(1+G180)</f>
        <v/>
      </c>
      <c r="J180" s="19">
        <f>H180+I180</f>
        <v/>
      </c>
      <c r="K180" s="19">
        <f>IF(AND(CONFIG!$B$11="Annual",MONTH(A180)=7),J180*CONFIG!$B$6/12,K179)</f>
        <v/>
      </c>
      <c r="L180" s="19">
        <f>IF(J180=0,0,H180-K180*H180/J180)</f>
        <v/>
      </c>
      <c r="M180" s="19">
        <f>IF(J180=0,0,I180-K180*I180/J180)</f>
        <v/>
      </c>
      <c r="O180" s="18">
        <f>DATA!A180</f>
        <v/>
      </c>
      <c r="P180">
        <f>DATA!B180</f>
        <v/>
      </c>
      <c r="Q180" s="19">
        <f>Z179</f>
        <v/>
      </c>
      <c r="R180" s="19">
        <f>AA179</f>
        <v/>
      </c>
      <c r="S180" s="19">
        <f>Q180+R180</f>
        <v/>
      </c>
      <c r="T180" s="20">
        <f>DATA!D180</f>
        <v/>
      </c>
      <c r="U180" s="20">
        <f>DATA!G180</f>
        <v/>
      </c>
      <c r="V180" s="19">
        <f>Q180*(1+T180)</f>
        <v/>
      </c>
      <c r="W180" s="19">
        <f>R180*(1+U180)</f>
        <v/>
      </c>
      <c r="X180" s="19">
        <f>V180+W180</f>
        <v/>
      </c>
      <c r="Y180" s="19">
        <f>IF(AND(CONFIG!$B$11="Annual",MONTH(O180)=7),X180*CONFIG!$B$6/12,Y179)</f>
        <v/>
      </c>
      <c r="Z180" s="19">
        <f>IF(X180=0,0,V180-Y180*V180/X180)</f>
        <v/>
      </c>
      <c r="AA180" s="19">
        <f>IF(X180=0,0,W180-Y180*W180/X180)</f>
        <v/>
      </c>
      <c r="AC180" s="18">
        <f>DATA!A180</f>
        <v/>
      </c>
      <c r="AD180">
        <f>DATA!B180</f>
        <v/>
      </c>
      <c r="AE180" s="19">
        <f>AN179</f>
        <v/>
      </c>
      <c r="AF180" s="19">
        <f>AO179</f>
        <v/>
      </c>
      <c r="AG180" s="19">
        <f>AE180+AF180</f>
        <v/>
      </c>
      <c r="AH180" s="20">
        <f>DATA!E180</f>
        <v/>
      </c>
      <c r="AI180" s="20">
        <f>DATA!G180</f>
        <v/>
      </c>
      <c r="AJ180" s="19">
        <f>AE180*(1+AH180)</f>
        <v/>
      </c>
      <c r="AK180" s="19">
        <f>AF180*(1+AI180)</f>
        <v/>
      </c>
      <c r="AL180" s="19">
        <f>AJ180+AK180</f>
        <v/>
      </c>
      <c r="AM180" s="19">
        <f>IF(AND(CONFIG!$B$11="Annual",MONTH(AC180)=7),AL180*CONFIG!$B$6/12,AM179)</f>
        <v/>
      </c>
      <c r="AN180" s="19">
        <f>IF(AL180=0,0,AJ180-AM180*AJ180/AL180)</f>
        <v/>
      </c>
      <c r="AO180" s="19">
        <f>IF(AL180=0,0,AK180-AM180*AK180/AL180)</f>
        <v/>
      </c>
    </row>
    <row r="181">
      <c r="A181" s="18">
        <f>DATA!A181</f>
        <v/>
      </c>
      <c r="B181">
        <f>DATA!B181</f>
        <v/>
      </c>
      <c r="C181" s="19">
        <f>L180</f>
        <v/>
      </c>
      <c r="D181" s="19">
        <f>M180</f>
        <v/>
      </c>
      <c r="E181" s="19">
        <f>C181+D181</f>
        <v/>
      </c>
      <c r="F181" s="20">
        <f>DATA!C181</f>
        <v/>
      </c>
      <c r="G181" s="20">
        <f>DATA!G181</f>
        <v/>
      </c>
      <c r="H181" s="19">
        <f>C181*(1+F181)</f>
        <v/>
      </c>
      <c r="I181" s="19">
        <f>D181*(1+G181)</f>
        <v/>
      </c>
      <c r="J181" s="19">
        <f>H181+I181</f>
        <v/>
      </c>
      <c r="K181" s="19">
        <f>IF(AND(CONFIG!$B$11="Annual",MONTH(A181)=7),J181*CONFIG!$B$6/12,K180)</f>
        <v/>
      </c>
      <c r="L181" s="19">
        <f>IF(J181=0,0,H181-K181*H181/J181)</f>
        <v/>
      </c>
      <c r="M181" s="19">
        <f>IF(J181=0,0,I181-K181*I181/J181)</f>
        <v/>
      </c>
      <c r="O181" s="18">
        <f>DATA!A181</f>
        <v/>
      </c>
      <c r="P181">
        <f>DATA!B181</f>
        <v/>
      </c>
      <c r="Q181" s="19">
        <f>Z180</f>
        <v/>
      </c>
      <c r="R181" s="19">
        <f>AA180</f>
        <v/>
      </c>
      <c r="S181" s="19">
        <f>Q181+R181</f>
        <v/>
      </c>
      <c r="T181" s="20">
        <f>DATA!D181</f>
        <v/>
      </c>
      <c r="U181" s="20">
        <f>DATA!G181</f>
        <v/>
      </c>
      <c r="V181" s="19">
        <f>Q181*(1+T181)</f>
        <v/>
      </c>
      <c r="W181" s="19">
        <f>R181*(1+U181)</f>
        <v/>
      </c>
      <c r="X181" s="19">
        <f>V181+W181</f>
        <v/>
      </c>
      <c r="Y181" s="19">
        <f>IF(AND(CONFIG!$B$11="Annual",MONTH(O181)=7),X181*CONFIG!$B$6/12,Y180)</f>
        <v/>
      </c>
      <c r="Z181" s="19">
        <f>IF(X181=0,0,V181-Y181*V181/X181)</f>
        <v/>
      </c>
      <c r="AA181" s="19">
        <f>IF(X181=0,0,W181-Y181*W181/X181)</f>
        <v/>
      </c>
      <c r="AC181" s="18">
        <f>DATA!A181</f>
        <v/>
      </c>
      <c r="AD181">
        <f>DATA!B181</f>
        <v/>
      </c>
      <c r="AE181" s="19">
        <f>AN180</f>
        <v/>
      </c>
      <c r="AF181" s="19">
        <f>AO180</f>
        <v/>
      </c>
      <c r="AG181" s="19">
        <f>AE181+AF181</f>
        <v/>
      </c>
      <c r="AH181" s="20">
        <f>DATA!E181</f>
        <v/>
      </c>
      <c r="AI181" s="20">
        <f>DATA!G181</f>
        <v/>
      </c>
      <c r="AJ181" s="19">
        <f>AE181*(1+AH181)</f>
        <v/>
      </c>
      <c r="AK181" s="19">
        <f>AF181*(1+AI181)</f>
        <v/>
      </c>
      <c r="AL181" s="19">
        <f>AJ181+AK181</f>
        <v/>
      </c>
      <c r="AM181" s="19">
        <f>IF(AND(CONFIG!$B$11="Annual",MONTH(AC181)=7),AL181*CONFIG!$B$6/12,AM180)</f>
        <v/>
      </c>
      <c r="AN181" s="19">
        <f>IF(AL181=0,0,AJ181-AM181*AJ181/AL181)</f>
        <v/>
      </c>
      <c r="AO181" s="19">
        <f>IF(AL181=0,0,AK181-AM181*AK181/AL181)</f>
        <v/>
      </c>
    </row>
    <row r="182">
      <c r="A182" s="18">
        <f>DATA!A182</f>
        <v/>
      </c>
      <c r="B182">
        <f>DATA!B182</f>
        <v/>
      </c>
      <c r="C182" s="19">
        <f>L181</f>
        <v/>
      </c>
      <c r="D182" s="19">
        <f>M181</f>
        <v/>
      </c>
      <c r="E182" s="19">
        <f>C182+D182</f>
        <v/>
      </c>
      <c r="F182" s="20">
        <f>DATA!C182</f>
        <v/>
      </c>
      <c r="G182" s="20">
        <f>DATA!G182</f>
        <v/>
      </c>
      <c r="H182" s="19">
        <f>C182*(1+F182)</f>
        <v/>
      </c>
      <c r="I182" s="19">
        <f>D182*(1+G182)</f>
        <v/>
      </c>
      <c r="J182" s="19">
        <f>H182+I182</f>
        <v/>
      </c>
      <c r="K182" s="19">
        <f>IF(AND(CONFIG!$B$11="Annual",MONTH(A182)=7),J182*CONFIG!$B$6/12,K181)</f>
        <v/>
      </c>
      <c r="L182" s="19">
        <f>IF(J182=0,0,H182-K182*H182/J182)</f>
        <v/>
      </c>
      <c r="M182" s="19">
        <f>IF(J182=0,0,I182-K182*I182/J182)</f>
        <v/>
      </c>
      <c r="O182" s="18">
        <f>DATA!A182</f>
        <v/>
      </c>
      <c r="P182">
        <f>DATA!B182</f>
        <v/>
      </c>
      <c r="Q182" s="19">
        <f>Z181</f>
        <v/>
      </c>
      <c r="R182" s="19">
        <f>AA181</f>
        <v/>
      </c>
      <c r="S182" s="19">
        <f>Q182+R182</f>
        <v/>
      </c>
      <c r="T182" s="20">
        <f>DATA!D182</f>
        <v/>
      </c>
      <c r="U182" s="20">
        <f>DATA!G182</f>
        <v/>
      </c>
      <c r="V182" s="19">
        <f>Q182*(1+T182)</f>
        <v/>
      </c>
      <c r="W182" s="19">
        <f>R182*(1+U182)</f>
        <v/>
      </c>
      <c r="X182" s="19">
        <f>V182+W182</f>
        <v/>
      </c>
      <c r="Y182" s="19">
        <f>IF(AND(CONFIG!$B$11="Annual",MONTH(O182)=7),X182*CONFIG!$B$6/12,Y181)</f>
        <v/>
      </c>
      <c r="Z182" s="19">
        <f>IF(X182=0,0,V182-Y182*V182/X182)</f>
        <v/>
      </c>
      <c r="AA182" s="19">
        <f>IF(X182=0,0,W182-Y182*W182/X182)</f>
        <v/>
      </c>
      <c r="AC182" s="18">
        <f>DATA!A182</f>
        <v/>
      </c>
      <c r="AD182">
        <f>DATA!B182</f>
        <v/>
      </c>
      <c r="AE182" s="19">
        <f>AN181</f>
        <v/>
      </c>
      <c r="AF182" s="19">
        <f>AO181</f>
        <v/>
      </c>
      <c r="AG182" s="19">
        <f>AE182+AF182</f>
        <v/>
      </c>
      <c r="AH182" s="20">
        <f>DATA!E182</f>
        <v/>
      </c>
      <c r="AI182" s="20">
        <f>DATA!G182</f>
        <v/>
      </c>
      <c r="AJ182" s="19">
        <f>AE182*(1+AH182)</f>
        <v/>
      </c>
      <c r="AK182" s="19">
        <f>AF182*(1+AI182)</f>
        <v/>
      </c>
      <c r="AL182" s="19">
        <f>AJ182+AK182</f>
        <v/>
      </c>
      <c r="AM182" s="19">
        <f>IF(AND(CONFIG!$B$11="Annual",MONTH(AC182)=7),AL182*CONFIG!$B$6/12,AM181)</f>
        <v/>
      </c>
      <c r="AN182" s="19">
        <f>IF(AL182=0,0,AJ182-AM182*AJ182/AL182)</f>
        <v/>
      </c>
      <c r="AO182" s="19">
        <f>IF(AL182=0,0,AK182-AM182*AK182/AL182)</f>
        <v/>
      </c>
    </row>
    <row r="183">
      <c r="A183" s="18">
        <f>DATA!A183</f>
        <v/>
      </c>
      <c r="B183">
        <f>DATA!B183</f>
        <v/>
      </c>
      <c r="C183" s="19">
        <f>L182</f>
        <v/>
      </c>
      <c r="D183" s="19">
        <f>M182</f>
        <v/>
      </c>
      <c r="E183" s="19">
        <f>C183+D183</f>
        <v/>
      </c>
      <c r="F183" s="20">
        <f>DATA!C183</f>
        <v/>
      </c>
      <c r="G183" s="20">
        <f>DATA!G183</f>
        <v/>
      </c>
      <c r="H183" s="19">
        <f>C183*(1+F183)</f>
        <v/>
      </c>
      <c r="I183" s="19">
        <f>D183*(1+G183)</f>
        <v/>
      </c>
      <c r="J183" s="19">
        <f>H183+I183</f>
        <v/>
      </c>
      <c r="K183" s="19">
        <f>IF(AND(CONFIG!$B$11="Annual",MONTH(A183)=7),J183*CONFIG!$B$6/12,K182)</f>
        <v/>
      </c>
      <c r="L183" s="19">
        <f>IF(J183=0,0,H183-K183*H183/J183)</f>
        <v/>
      </c>
      <c r="M183" s="19">
        <f>IF(J183=0,0,I183-K183*I183/J183)</f>
        <v/>
      </c>
      <c r="O183" s="18">
        <f>DATA!A183</f>
        <v/>
      </c>
      <c r="P183">
        <f>DATA!B183</f>
        <v/>
      </c>
      <c r="Q183" s="19">
        <f>Z182</f>
        <v/>
      </c>
      <c r="R183" s="19">
        <f>AA182</f>
        <v/>
      </c>
      <c r="S183" s="19">
        <f>Q183+R183</f>
        <v/>
      </c>
      <c r="T183" s="20">
        <f>DATA!D183</f>
        <v/>
      </c>
      <c r="U183" s="20">
        <f>DATA!G183</f>
        <v/>
      </c>
      <c r="V183" s="19">
        <f>Q183*(1+T183)</f>
        <v/>
      </c>
      <c r="W183" s="19">
        <f>R183*(1+U183)</f>
        <v/>
      </c>
      <c r="X183" s="19">
        <f>V183+W183</f>
        <v/>
      </c>
      <c r="Y183" s="19">
        <f>IF(AND(CONFIG!$B$11="Annual",MONTH(O183)=7),X183*CONFIG!$B$6/12,Y182)</f>
        <v/>
      </c>
      <c r="Z183" s="19">
        <f>IF(X183=0,0,V183-Y183*V183/X183)</f>
        <v/>
      </c>
      <c r="AA183" s="19">
        <f>IF(X183=0,0,W183-Y183*W183/X183)</f>
        <v/>
      </c>
      <c r="AC183" s="18">
        <f>DATA!A183</f>
        <v/>
      </c>
      <c r="AD183">
        <f>DATA!B183</f>
        <v/>
      </c>
      <c r="AE183" s="19">
        <f>AN182</f>
        <v/>
      </c>
      <c r="AF183" s="19">
        <f>AO182</f>
        <v/>
      </c>
      <c r="AG183" s="19">
        <f>AE183+AF183</f>
        <v/>
      </c>
      <c r="AH183" s="20">
        <f>DATA!E183</f>
        <v/>
      </c>
      <c r="AI183" s="20">
        <f>DATA!G183</f>
        <v/>
      </c>
      <c r="AJ183" s="19">
        <f>AE183*(1+AH183)</f>
        <v/>
      </c>
      <c r="AK183" s="19">
        <f>AF183*(1+AI183)</f>
        <v/>
      </c>
      <c r="AL183" s="19">
        <f>AJ183+AK183</f>
        <v/>
      </c>
      <c r="AM183" s="19">
        <f>IF(AND(CONFIG!$B$11="Annual",MONTH(AC183)=7),AL183*CONFIG!$B$6/12,AM182)</f>
        <v/>
      </c>
      <c r="AN183" s="19">
        <f>IF(AL183=0,0,AJ183-AM183*AJ183/AL183)</f>
        <v/>
      </c>
      <c r="AO183" s="19">
        <f>IF(AL183=0,0,AK183-AM183*AK183/AL183)</f>
        <v/>
      </c>
    </row>
    <row r="184">
      <c r="A184" s="18">
        <f>DATA!A184</f>
        <v/>
      </c>
      <c r="B184">
        <f>DATA!B184</f>
        <v/>
      </c>
      <c r="C184" s="19">
        <f>L183</f>
        <v/>
      </c>
      <c r="D184" s="19">
        <f>M183</f>
        <v/>
      </c>
      <c r="E184" s="19">
        <f>C184+D184</f>
        <v/>
      </c>
      <c r="F184" s="20">
        <f>DATA!C184</f>
        <v/>
      </c>
      <c r="G184" s="20">
        <f>DATA!G184</f>
        <v/>
      </c>
      <c r="H184" s="19">
        <f>C184*(1+F184)</f>
        <v/>
      </c>
      <c r="I184" s="19">
        <f>D184*(1+G184)</f>
        <v/>
      </c>
      <c r="J184" s="19">
        <f>H184+I184</f>
        <v/>
      </c>
      <c r="K184" s="19">
        <f>IF(AND(CONFIG!$B$11="Annual",MONTH(A184)=7),J184*CONFIG!$B$6/12,K183)</f>
        <v/>
      </c>
      <c r="L184" s="19">
        <f>IF(J184=0,0,H184-K184*H184/J184)</f>
        <v/>
      </c>
      <c r="M184" s="19">
        <f>IF(J184=0,0,I184-K184*I184/J184)</f>
        <v/>
      </c>
      <c r="O184" s="18">
        <f>DATA!A184</f>
        <v/>
      </c>
      <c r="P184">
        <f>DATA!B184</f>
        <v/>
      </c>
      <c r="Q184" s="19">
        <f>Z183</f>
        <v/>
      </c>
      <c r="R184" s="19">
        <f>AA183</f>
        <v/>
      </c>
      <c r="S184" s="19">
        <f>Q184+R184</f>
        <v/>
      </c>
      <c r="T184" s="20">
        <f>DATA!D184</f>
        <v/>
      </c>
      <c r="U184" s="20">
        <f>DATA!G184</f>
        <v/>
      </c>
      <c r="V184" s="19">
        <f>Q184*(1+T184)</f>
        <v/>
      </c>
      <c r="W184" s="19">
        <f>R184*(1+U184)</f>
        <v/>
      </c>
      <c r="X184" s="19">
        <f>V184+W184</f>
        <v/>
      </c>
      <c r="Y184" s="19">
        <f>IF(AND(CONFIG!$B$11="Annual",MONTH(O184)=7),X184*CONFIG!$B$6/12,Y183)</f>
        <v/>
      </c>
      <c r="Z184" s="19">
        <f>IF(X184=0,0,V184-Y184*V184/X184)</f>
        <v/>
      </c>
      <c r="AA184" s="19">
        <f>IF(X184=0,0,W184-Y184*W184/X184)</f>
        <v/>
      </c>
      <c r="AC184" s="18">
        <f>DATA!A184</f>
        <v/>
      </c>
      <c r="AD184">
        <f>DATA!B184</f>
        <v/>
      </c>
      <c r="AE184" s="19">
        <f>AN183</f>
        <v/>
      </c>
      <c r="AF184" s="19">
        <f>AO183</f>
        <v/>
      </c>
      <c r="AG184" s="19">
        <f>AE184+AF184</f>
        <v/>
      </c>
      <c r="AH184" s="20">
        <f>DATA!E184</f>
        <v/>
      </c>
      <c r="AI184" s="20">
        <f>DATA!G184</f>
        <v/>
      </c>
      <c r="AJ184" s="19">
        <f>AE184*(1+AH184)</f>
        <v/>
      </c>
      <c r="AK184" s="19">
        <f>AF184*(1+AI184)</f>
        <v/>
      </c>
      <c r="AL184" s="19">
        <f>AJ184+AK184</f>
        <v/>
      </c>
      <c r="AM184" s="19">
        <f>IF(AND(CONFIG!$B$11="Annual",MONTH(AC184)=7),AL184*CONFIG!$B$6/12,AM183)</f>
        <v/>
      </c>
      <c r="AN184" s="19">
        <f>IF(AL184=0,0,AJ184-AM184*AJ184/AL184)</f>
        <v/>
      </c>
      <c r="AO184" s="19">
        <f>IF(AL184=0,0,AK184-AM184*AK184/AL184)</f>
        <v/>
      </c>
    </row>
    <row r="185">
      <c r="A185" s="18">
        <f>DATA!A185</f>
        <v/>
      </c>
      <c r="B185">
        <f>DATA!B185</f>
        <v/>
      </c>
      <c r="C185" s="19">
        <f>L184</f>
        <v/>
      </c>
      <c r="D185" s="19">
        <f>M184</f>
        <v/>
      </c>
      <c r="E185" s="19">
        <f>C185+D185</f>
        <v/>
      </c>
      <c r="F185" s="20">
        <f>DATA!C185</f>
        <v/>
      </c>
      <c r="G185" s="20">
        <f>DATA!G185</f>
        <v/>
      </c>
      <c r="H185" s="19">
        <f>C185*(1+F185)</f>
        <v/>
      </c>
      <c r="I185" s="19">
        <f>D185*(1+G185)</f>
        <v/>
      </c>
      <c r="J185" s="19">
        <f>H185+I185</f>
        <v/>
      </c>
      <c r="K185" s="19">
        <f>IF(AND(CONFIG!$B$11="Annual",MONTH(A185)=7),J185*CONFIG!$B$6/12,K184)</f>
        <v/>
      </c>
      <c r="L185" s="19">
        <f>IF(J185=0,0,H185-K185*H185/J185)</f>
        <v/>
      </c>
      <c r="M185" s="19">
        <f>IF(J185=0,0,I185-K185*I185/J185)</f>
        <v/>
      </c>
      <c r="O185" s="18">
        <f>DATA!A185</f>
        <v/>
      </c>
      <c r="P185">
        <f>DATA!B185</f>
        <v/>
      </c>
      <c r="Q185" s="19">
        <f>Z184</f>
        <v/>
      </c>
      <c r="R185" s="19">
        <f>AA184</f>
        <v/>
      </c>
      <c r="S185" s="19">
        <f>Q185+R185</f>
        <v/>
      </c>
      <c r="T185" s="20">
        <f>DATA!D185</f>
        <v/>
      </c>
      <c r="U185" s="20">
        <f>DATA!G185</f>
        <v/>
      </c>
      <c r="V185" s="19">
        <f>Q185*(1+T185)</f>
        <v/>
      </c>
      <c r="W185" s="19">
        <f>R185*(1+U185)</f>
        <v/>
      </c>
      <c r="X185" s="19">
        <f>V185+W185</f>
        <v/>
      </c>
      <c r="Y185" s="19">
        <f>IF(AND(CONFIG!$B$11="Annual",MONTH(O185)=7),X185*CONFIG!$B$6/12,Y184)</f>
        <v/>
      </c>
      <c r="Z185" s="19">
        <f>IF(X185=0,0,V185-Y185*V185/X185)</f>
        <v/>
      </c>
      <c r="AA185" s="19">
        <f>IF(X185=0,0,W185-Y185*W185/X185)</f>
        <v/>
      </c>
      <c r="AC185" s="18">
        <f>DATA!A185</f>
        <v/>
      </c>
      <c r="AD185">
        <f>DATA!B185</f>
        <v/>
      </c>
      <c r="AE185" s="19">
        <f>AN184</f>
        <v/>
      </c>
      <c r="AF185" s="19">
        <f>AO184</f>
        <v/>
      </c>
      <c r="AG185" s="19">
        <f>AE185+AF185</f>
        <v/>
      </c>
      <c r="AH185" s="20">
        <f>DATA!E185</f>
        <v/>
      </c>
      <c r="AI185" s="20">
        <f>DATA!G185</f>
        <v/>
      </c>
      <c r="AJ185" s="19">
        <f>AE185*(1+AH185)</f>
        <v/>
      </c>
      <c r="AK185" s="19">
        <f>AF185*(1+AI185)</f>
        <v/>
      </c>
      <c r="AL185" s="19">
        <f>AJ185+AK185</f>
        <v/>
      </c>
      <c r="AM185" s="19">
        <f>IF(AND(CONFIG!$B$11="Annual",MONTH(AC185)=7),AL185*CONFIG!$B$6/12,AM184)</f>
        <v/>
      </c>
      <c r="AN185" s="19">
        <f>IF(AL185=0,0,AJ185-AM185*AJ185/AL185)</f>
        <v/>
      </c>
      <c r="AO185" s="19">
        <f>IF(AL185=0,0,AK185-AM185*AK185/AL185)</f>
        <v/>
      </c>
    </row>
    <row r="186">
      <c r="A186" s="18">
        <f>DATA!A186</f>
        <v/>
      </c>
      <c r="B186">
        <f>DATA!B186</f>
        <v/>
      </c>
      <c r="C186" s="19">
        <f>L185</f>
        <v/>
      </c>
      <c r="D186" s="19">
        <f>M185</f>
        <v/>
      </c>
      <c r="E186" s="19">
        <f>C186+D186</f>
        <v/>
      </c>
      <c r="F186" s="20">
        <f>DATA!C186</f>
        <v/>
      </c>
      <c r="G186" s="20">
        <f>DATA!G186</f>
        <v/>
      </c>
      <c r="H186" s="19">
        <f>C186*(1+F186)</f>
        <v/>
      </c>
      <c r="I186" s="19">
        <f>D186*(1+G186)</f>
        <v/>
      </c>
      <c r="J186" s="19">
        <f>H186+I186</f>
        <v/>
      </c>
      <c r="K186" s="19">
        <f>IF(AND(CONFIG!$B$11="Annual",MONTH(A186)=7),J186*CONFIG!$B$6/12,K185)</f>
        <v/>
      </c>
      <c r="L186" s="19">
        <f>IF(J186=0,0,H186-K186*H186/J186)</f>
        <v/>
      </c>
      <c r="M186" s="19">
        <f>IF(J186=0,0,I186-K186*I186/J186)</f>
        <v/>
      </c>
      <c r="O186" s="18">
        <f>DATA!A186</f>
        <v/>
      </c>
      <c r="P186">
        <f>DATA!B186</f>
        <v/>
      </c>
      <c r="Q186" s="19">
        <f>Z185</f>
        <v/>
      </c>
      <c r="R186" s="19">
        <f>AA185</f>
        <v/>
      </c>
      <c r="S186" s="19">
        <f>Q186+R186</f>
        <v/>
      </c>
      <c r="T186" s="20">
        <f>DATA!D186</f>
        <v/>
      </c>
      <c r="U186" s="20">
        <f>DATA!G186</f>
        <v/>
      </c>
      <c r="V186" s="19">
        <f>Q186*(1+T186)</f>
        <v/>
      </c>
      <c r="W186" s="19">
        <f>R186*(1+U186)</f>
        <v/>
      </c>
      <c r="X186" s="19">
        <f>V186+W186</f>
        <v/>
      </c>
      <c r="Y186" s="19">
        <f>IF(AND(CONFIG!$B$11="Annual",MONTH(O186)=7),X186*CONFIG!$B$6/12,Y185)</f>
        <v/>
      </c>
      <c r="Z186" s="19">
        <f>IF(X186=0,0,V186-Y186*V186/X186)</f>
        <v/>
      </c>
      <c r="AA186" s="19">
        <f>IF(X186=0,0,W186-Y186*W186/X186)</f>
        <v/>
      </c>
      <c r="AC186" s="18">
        <f>DATA!A186</f>
        <v/>
      </c>
      <c r="AD186">
        <f>DATA!B186</f>
        <v/>
      </c>
      <c r="AE186" s="19">
        <f>AN185</f>
        <v/>
      </c>
      <c r="AF186" s="19">
        <f>AO185</f>
        <v/>
      </c>
      <c r="AG186" s="19">
        <f>AE186+AF186</f>
        <v/>
      </c>
      <c r="AH186" s="20">
        <f>DATA!E186</f>
        <v/>
      </c>
      <c r="AI186" s="20">
        <f>DATA!G186</f>
        <v/>
      </c>
      <c r="AJ186" s="19">
        <f>AE186*(1+AH186)</f>
        <v/>
      </c>
      <c r="AK186" s="19">
        <f>AF186*(1+AI186)</f>
        <v/>
      </c>
      <c r="AL186" s="19">
        <f>AJ186+AK186</f>
        <v/>
      </c>
      <c r="AM186" s="19">
        <f>IF(AND(CONFIG!$B$11="Annual",MONTH(AC186)=7),AL186*CONFIG!$B$6/12,AM185)</f>
        <v/>
      </c>
      <c r="AN186" s="19">
        <f>IF(AL186=0,0,AJ186-AM186*AJ186/AL186)</f>
        <v/>
      </c>
      <c r="AO186" s="19">
        <f>IF(AL186=0,0,AK186-AM186*AK186/AL186)</f>
        <v/>
      </c>
    </row>
    <row r="187">
      <c r="A187" s="18">
        <f>DATA!A187</f>
        <v/>
      </c>
      <c r="B187">
        <f>DATA!B187</f>
        <v/>
      </c>
      <c r="C187" s="19">
        <f>L186</f>
        <v/>
      </c>
      <c r="D187" s="19">
        <f>M186</f>
        <v/>
      </c>
      <c r="E187" s="19">
        <f>C187+D187</f>
        <v/>
      </c>
      <c r="F187" s="20">
        <f>DATA!C187</f>
        <v/>
      </c>
      <c r="G187" s="20">
        <f>DATA!G187</f>
        <v/>
      </c>
      <c r="H187" s="19">
        <f>C187*(1+F187)</f>
        <v/>
      </c>
      <c r="I187" s="19">
        <f>D187*(1+G187)</f>
        <v/>
      </c>
      <c r="J187" s="19">
        <f>H187+I187</f>
        <v/>
      </c>
      <c r="K187" s="19">
        <f>IF(AND(CONFIG!$B$11="Annual",MONTH(A187)=7),J187*CONFIG!$B$6/12,K186)</f>
        <v/>
      </c>
      <c r="L187" s="19">
        <f>IF(J187=0,0,H187-K187*H187/J187)</f>
        <v/>
      </c>
      <c r="M187" s="19">
        <f>IF(J187=0,0,I187-K187*I187/J187)</f>
        <v/>
      </c>
      <c r="O187" s="18">
        <f>DATA!A187</f>
        <v/>
      </c>
      <c r="P187">
        <f>DATA!B187</f>
        <v/>
      </c>
      <c r="Q187" s="19">
        <f>Z186</f>
        <v/>
      </c>
      <c r="R187" s="19">
        <f>AA186</f>
        <v/>
      </c>
      <c r="S187" s="19">
        <f>Q187+R187</f>
        <v/>
      </c>
      <c r="T187" s="20">
        <f>DATA!D187</f>
        <v/>
      </c>
      <c r="U187" s="20">
        <f>DATA!G187</f>
        <v/>
      </c>
      <c r="V187" s="19">
        <f>Q187*(1+T187)</f>
        <v/>
      </c>
      <c r="W187" s="19">
        <f>R187*(1+U187)</f>
        <v/>
      </c>
      <c r="X187" s="19">
        <f>V187+W187</f>
        <v/>
      </c>
      <c r="Y187" s="19">
        <f>IF(AND(CONFIG!$B$11="Annual",MONTH(O187)=7),X187*CONFIG!$B$6/12,Y186)</f>
        <v/>
      </c>
      <c r="Z187" s="19">
        <f>IF(X187=0,0,V187-Y187*V187/X187)</f>
        <v/>
      </c>
      <c r="AA187" s="19">
        <f>IF(X187=0,0,W187-Y187*W187/X187)</f>
        <v/>
      </c>
      <c r="AC187" s="18">
        <f>DATA!A187</f>
        <v/>
      </c>
      <c r="AD187">
        <f>DATA!B187</f>
        <v/>
      </c>
      <c r="AE187" s="19">
        <f>AN186</f>
        <v/>
      </c>
      <c r="AF187" s="19">
        <f>AO186</f>
        <v/>
      </c>
      <c r="AG187" s="19">
        <f>AE187+AF187</f>
        <v/>
      </c>
      <c r="AH187" s="20">
        <f>DATA!E187</f>
        <v/>
      </c>
      <c r="AI187" s="20">
        <f>DATA!G187</f>
        <v/>
      </c>
      <c r="AJ187" s="19">
        <f>AE187*(1+AH187)</f>
        <v/>
      </c>
      <c r="AK187" s="19">
        <f>AF187*(1+AI187)</f>
        <v/>
      </c>
      <c r="AL187" s="19">
        <f>AJ187+AK187</f>
        <v/>
      </c>
      <c r="AM187" s="19">
        <f>IF(AND(CONFIG!$B$11="Annual",MONTH(AC187)=7),AL187*CONFIG!$B$6/12,AM186)</f>
        <v/>
      </c>
      <c r="AN187" s="19">
        <f>IF(AL187=0,0,AJ187-AM187*AJ187/AL187)</f>
        <v/>
      </c>
      <c r="AO187" s="19">
        <f>IF(AL187=0,0,AK187-AM187*AK187/AL187)</f>
        <v/>
      </c>
    </row>
    <row r="188">
      <c r="A188" s="18">
        <f>DATA!A188</f>
        <v/>
      </c>
      <c r="B188">
        <f>DATA!B188</f>
        <v/>
      </c>
      <c r="C188" s="19">
        <f>L187</f>
        <v/>
      </c>
      <c r="D188" s="19">
        <f>M187</f>
        <v/>
      </c>
      <c r="E188" s="19">
        <f>C188+D188</f>
        <v/>
      </c>
      <c r="F188" s="20">
        <f>DATA!C188</f>
        <v/>
      </c>
      <c r="G188" s="20">
        <f>DATA!G188</f>
        <v/>
      </c>
      <c r="H188" s="19">
        <f>C188*(1+F188)</f>
        <v/>
      </c>
      <c r="I188" s="19">
        <f>D188*(1+G188)</f>
        <v/>
      </c>
      <c r="J188" s="19">
        <f>H188+I188</f>
        <v/>
      </c>
      <c r="K188" s="19">
        <f>IF(AND(CONFIG!$B$11="Annual",MONTH(A188)=7),J188*CONFIG!$B$6/12,K187)</f>
        <v/>
      </c>
      <c r="L188" s="19">
        <f>IF(J188=0,0,H188-K188*H188/J188)</f>
        <v/>
      </c>
      <c r="M188" s="19">
        <f>IF(J188=0,0,I188-K188*I188/J188)</f>
        <v/>
      </c>
      <c r="O188" s="18">
        <f>DATA!A188</f>
        <v/>
      </c>
      <c r="P188">
        <f>DATA!B188</f>
        <v/>
      </c>
      <c r="Q188" s="19">
        <f>Z187</f>
        <v/>
      </c>
      <c r="R188" s="19">
        <f>AA187</f>
        <v/>
      </c>
      <c r="S188" s="19">
        <f>Q188+R188</f>
        <v/>
      </c>
      <c r="T188" s="20">
        <f>DATA!D188</f>
        <v/>
      </c>
      <c r="U188" s="20">
        <f>DATA!G188</f>
        <v/>
      </c>
      <c r="V188" s="19">
        <f>Q188*(1+T188)</f>
        <v/>
      </c>
      <c r="W188" s="19">
        <f>R188*(1+U188)</f>
        <v/>
      </c>
      <c r="X188" s="19">
        <f>V188+W188</f>
        <v/>
      </c>
      <c r="Y188" s="19">
        <f>IF(AND(CONFIG!$B$11="Annual",MONTH(O188)=7),X188*CONFIG!$B$6/12,Y187)</f>
        <v/>
      </c>
      <c r="Z188" s="19">
        <f>IF(X188=0,0,V188-Y188*V188/X188)</f>
        <v/>
      </c>
      <c r="AA188" s="19">
        <f>IF(X188=0,0,W188-Y188*W188/X188)</f>
        <v/>
      </c>
      <c r="AC188" s="18">
        <f>DATA!A188</f>
        <v/>
      </c>
      <c r="AD188">
        <f>DATA!B188</f>
        <v/>
      </c>
      <c r="AE188" s="19">
        <f>AN187</f>
        <v/>
      </c>
      <c r="AF188" s="19">
        <f>AO187</f>
        <v/>
      </c>
      <c r="AG188" s="19">
        <f>AE188+AF188</f>
        <v/>
      </c>
      <c r="AH188" s="20">
        <f>DATA!E188</f>
        <v/>
      </c>
      <c r="AI188" s="20">
        <f>DATA!G188</f>
        <v/>
      </c>
      <c r="AJ188" s="19">
        <f>AE188*(1+AH188)</f>
        <v/>
      </c>
      <c r="AK188" s="19">
        <f>AF188*(1+AI188)</f>
        <v/>
      </c>
      <c r="AL188" s="19">
        <f>AJ188+AK188</f>
        <v/>
      </c>
      <c r="AM188" s="19">
        <f>IF(AND(CONFIG!$B$11="Annual",MONTH(AC188)=7),AL188*CONFIG!$B$6/12,AM187)</f>
        <v/>
      </c>
      <c r="AN188" s="19">
        <f>IF(AL188=0,0,AJ188-AM188*AJ188/AL188)</f>
        <v/>
      </c>
      <c r="AO188" s="19">
        <f>IF(AL188=0,0,AK188-AM188*AK188/AL188)</f>
        <v/>
      </c>
    </row>
    <row r="189">
      <c r="A189" s="18">
        <f>DATA!A189</f>
        <v/>
      </c>
      <c r="B189">
        <f>DATA!B189</f>
        <v/>
      </c>
      <c r="C189" s="19">
        <f>L188</f>
        <v/>
      </c>
      <c r="D189" s="19">
        <f>M188</f>
        <v/>
      </c>
      <c r="E189" s="19">
        <f>C189+D189</f>
        <v/>
      </c>
      <c r="F189" s="20">
        <f>DATA!C189</f>
        <v/>
      </c>
      <c r="G189" s="20">
        <f>DATA!G189</f>
        <v/>
      </c>
      <c r="H189" s="19">
        <f>C189*(1+F189)</f>
        <v/>
      </c>
      <c r="I189" s="19">
        <f>D189*(1+G189)</f>
        <v/>
      </c>
      <c r="J189" s="19">
        <f>H189+I189</f>
        <v/>
      </c>
      <c r="K189" s="19">
        <f>IF(AND(CONFIG!$B$11="Annual",MONTH(A189)=7),J189*CONFIG!$B$6/12,K188)</f>
        <v/>
      </c>
      <c r="L189" s="19">
        <f>IF(J189=0,0,H189-K189*H189/J189)</f>
        <v/>
      </c>
      <c r="M189" s="19">
        <f>IF(J189=0,0,I189-K189*I189/J189)</f>
        <v/>
      </c>
      <c r="O189" s="18">
        <f>DATA!A189</f>
        <v/>
      </c>
      <c r="P189">
        <f>DATA!B189</f>
        <v/>
      </c>
      <c r="Q189" s="19">
        <f>Z188</f>
        <v/>
      </c>
      <c r="R189" s="19">
        <f>AA188</f>
        <v/>
      </c>
      <c r="S189" s="19">
        <f>Q189+R189</f>
        <v/>
      </c>
      <c r="T189" s="20">
        <f>DATA!D189</f>
        <v/>
      </c>
      <c r="U189" s="20">
        <f>DATA!G189</f>
        <v/>
      </c>
      <c r="V189" s="19">
        <f>Q189*(1+T189)</f>
        <v/>
      </c>
      <c r="W189" s="19">
        <f>R189*(1+U189)</f>
        <v/>
      </c>
      <c r="X189" s="19">
        <f>V189+W189</f>
        <v/>
      </c>
      <c r="Y189" s="19">
        <f>IF(AND(CONFIG!$B$11="Annual",MONTH(O189)=7),X189*CONFIG!$B$6/12,Y188)</f>
        <v/>
      </c>
      <c r="Z189" s="19">
        <f>IF(X189=0,0,V189-Y189*V189/X189)</f>
        <v/>
      </c>
      <c r="AA189" s="19">
        <f>IF(X189=0,0,W189-Y189*W189/X189)</f>
        <v/>
      </c>
      <c r="AC189" s="18">
        <f>DATA!A189</f>
        <v/>
      </c>
      <c r="AD189">
        <f>DATA!B189</f>
        <v/>
      </c>
      <c r="AE189" s="19">
        <f>AN188</f>
        <v/>
      </c>
      <c r="AF189" s="19">
        <f>AO188</f>
        <v/>
      </c>
      <c r="AG189" s="19">
        <f>AE189+AF189</f>
        <v/>
      </c>
      <c r="AH189" s="20">
        <f>DATA!E189</f>
        <v/>
      </c>
      <c r="AI189" s="20">
        <f>DATA!G189</f>
        <v/>
      </c>
      <c r="AJ189" s="19">
        <f>AE189*(1+AH189)</f>
        <v/>
      </c>
      <c r="AK189" s="19">
        <f>AF189*(1+AI189)</f>
        <v/>
      </c>
      <c r="AL189" s="19">
        <f>AJ189+AK189</f>
        <v/>
      </c>
      <c r="AM189" s="19">
        <f>IF(AND(CONFIG!$B$11="Annual",MONTH(AC189)=7),AL189*CONFIG!$B$6/12,AM188)</f>
        <v/>
      </c>
      <c r="AN189" s="19">
        <f>IF(AL189=0,0,AJ189-AM189*AJ189/AL189)</f>
        <v/>
      </c>
      <c r="AO189" s="19">
        <f>IF(AL189=0,0,AK189-AM189*AK189/AL189)</f>
        <v/>
      </c>
    </row>
    <row r="190">
      <c r="A190" s="18">
        <f>DATA!A190</f>
        <v/>
      </c>
      <c r="B190">
        <f>DATA!B190</f>
        <v/>
      </c>
      <c r="C190" s="19">
        <f>L189</f>
        <v/>
      </c>
      <c r="D190" s="19">
        <f>M189</f>
        <v/>
      </c>
      <c r="E190" s="19">
        <f>C190+D190</f>
        <v/>
      </c>
      <c r="F190" s="20">
        <f>DATA!C190</f>
        <v/>
      </c>
      <c r="G190" s="20">
        <f>DATA!G190</f>
        <v/>
      </c>
      <c r="H190" s="19">
        <f>C190*(1+F190)</f>
        <v/>
      </c>
      <c r="I190" s="19">
        <f>D190*(1+G190)</f>
        <v/>
      </c>
      <c r="J190" s="19">
        <f>H190+I190</f>
        <v/>
      </c>
      <c r="K190" s="19">
        <f>IF(AND(CONFIG!$B$11="Annual",MONTH(A190)=7),J190*CONFIG!$B$6/12,K189)</f>
        <v/>
      </c>
      <c r="L190" s="19">
        <f>IF(J190=0,0,H190-K190*H190/J190)</f>
        <v/>
      </c>
      <c r="M190" s="19">
        <f>IF(J190=0,0,I190-K190*I190/J190)</f>
        <v/>
      </c>
      <c r="O190" s="18">
        <f>DATA!A190</f>
        <v/>
      </c>
      <c r="P190">
        <f>DATA!B190</f>
        <v/>
      </c>
      <c r="Q190" s="19">
        <f>Z189</f>
        <v/>
      </c>
      <c r="R190" s="19">
        <f>AA189</f>
        <v/>
      </c>
      <c r="S190" s="19">
        <f>Q190+R190</f>
        <v/>
      </c>
      <c r="T190" s="20">
        <f>DATA!D190</f>
        <v/>
      </c>
      <c r="U190" s="20">
        <f>DATA!G190</f>
        <v/>
      </c>
      <c r="V190" s="19">
        <f>Q190*(1+T190)</f>
        <v/>
      </c>
      <c r="W190" s="19">
        <f>R190*(1+U190)</f>
        <v/>
      </c>
      <c r="X190" s="19">
        <f>V190+W190</f>
        <v/>
      </c>
      <c r="Y190" s="19">
        <f>IF(AND(CONFIG!$B$11="Annual",MONTH(O190)=7),X190*CONFIG!$B$6/12,Y189)</f>
        <v/>
      </c>
      <c r="Z190" s="19">
        <f>IF(X190=0,0,V190-Y190*V190/X190)</f>
        <v/>
      </c>
      <c r="AA190" s="19">
        <f>IF(X190=0,0,W190-Y190*W190/X190)</f>
        <v/>
      </c>
      <c r="AC190" s="18">
        <f>DATA!A190</f>
        <v/>
      </c>
      <c r="AD190">
        <f>DATA!B190</f>
        <v/>
      </c>
      <c r="AE190" s="19">
        <f>AN189</f>
        <v/>
      </c>
      <c r="AF190" s="19">
        <f>AO189</f>
        <v/>
      </c>
      <c r="AG190" s="19">
        <f>AE190+AF190</f>
        <v/>
      </c>
      <c r="AH190" s="20">
        <f>DATA!E190</f>
        <v/>
      </c>
      <c r="AI190" s="20">
        <f>DATA!G190</f>
        <v/>
      </c>
      <c r="AJ190" s="19">
        <f>AE190*(1+AH190)</f>
        <v/>
      </c>
      <c r="AK190" s="19">
        <f>AF190*(1+AI190)</f>
        <v/>
      </c>
      <c r="AL190" s="19">
        <f>AJ190+AK190</f>
        <v/>
      </c>
      <c r="AM190" s="19">
        <f>IF(AND(CONFIG!$B$11="Annual",MONTH(AC190)=7),AL190*CONFIG!$B$6/12,AM189)</f>
        <v/>
      </c>
      <c r="AN190" s="19">
        <f>IF(AL190=0,0,AJ190-AM190*AJ190/AL190)</f>
        <v/>
      </c>
      <c r="AO190" s="19">
        <f>IF(AL190=0,0,AK190-AM190*AK190/AL190)</f>
        <v/>
      </c>
    </row>
    <row r="191">
      <c r="A191" s="18">
        <f>DATA!A191</f>
        <v/>
      </c>
      <c r="B191">
        <f>DATA!B191</f>
        <v/>
      </c>
      <c r="C191" s="19">
        <f>L190</f>
        <v/>
      </c>
      <c r="D191" s="19">
        <f>M190</f>
        <v/>
      </c>
      <c r="E191" s="19">
        <f>C191+D191</f>
        <v/>
      </c>
      <c r="F191" s="20">
        <f>DATA!C191</f>
        <v/>
      </c>
      <c r="G191" s="20">
        <f>DATA!G191</f>
        <v/>
      </c>
      <c r="H191" s="19">
        <f>C191*(1+F191)</f>
        <v/>
      </c>
      <c r="I191" s="19">
        <f>D191*(1+G191)</f>
        <v/>
      </c>
      <c r="J191" s="19">
        <f>H191+I191</f>
        <v/>
      </c>
      <c r="K191" s="19">
        <f>IF(AND(CONFIG!$B$11="Annual",MONTH(A191)=7),J191*CONFIG!$B$6/12,K190)</f>
        <v/>
      </c>
      <c r="L191" s="19">
        <f>IF(J191=0,0,H191-K191*H191/J191)</f>
        <v/>
      </c>
      <c r="M191" s="19">
        <f>IF(J191=0,0,I191-K191*I191/J191)</f>
        <v/>
      </c>
      <c r="O191" s="18">
        <f>DATA!A191</f>
        <v/>
      </c>
      <c r="P191">
        <f>DATA!B191</f>
        <v/>
      </c>
      <c r="Q191" s="19">
        <f>Z190</f>
        <v/>
      </c>
      <c r="R191" s="19">
        <f>AA190</f>
        <v/>
      </c>
      <c r="S191" s="19">
        <f>Q191+R191</f>
        <v/>
      </c>
      <c r="T191" s="20">
        <f>DATA!D191</f>
        <v/>
      </c>
      <c r="U191" s="20">
        <f>DATA!G191</f>
        <v/>
      </c>
      <c r="V191" s="19">
        <f>Q191*(1+T191)</f>
        <v/>
      </c>
      <c r="W191" s="19">
        <f>R191*(1+U191)</f>
        <v/>
      </c>
      <c r="X191" s="19">
        <f>V191+W191</f>
        <v/>
      </c>
      <c r="Y191" s="19">
        <f>IF(AND(CONFIG!$B$11="Annual",MONTH(O191)=7),X191*CONFIG!$B$6/12,Y190)</f>
        <v/>
      </c>
      <c r="Z191" s="19">
        <f>IF(X191=0,0,V191-Y191*V191/X191)</f>
        <v/>
      </c>
      <c r="AA191" s="19">
        <f>IF(X191=0,0,W191-Y191*W191/X191)</f>
        <v/>
      </c>
      <c r="AC191" s="18">
        <f>DATA!A191</f>
        <v/>
      </c>
      <c r="AD191">
        <f>DATA!B191</f>
        <v/>
      </c>
      <c r="AE191" s="19">
        <f>AN190</f>
        <v/>
      </c>
      <c r="AF191" s="19">
        <f>AO190</f>
        <v/>
      </c>
      <c r="AG191" s="19">
        <f>AE191+AF191</f>
        <v/>
      </c>
      <c r="AH191" s="20">
        <f>DATA!E191</f>
        <v/>
      </c>
      <c r="AI191" s="20">
        <f>DATA!G191</f>
        <v/>
      </c>
      <c r="AJ191" s="19">
        <f>AE191*(1+AH191)</f>
        <v/>
      </c>
      <c r="AK191" s="19">
        <f>AF191*(1+AI191)</f>
        <v/>
      </c>
      <c r="AL191" s="19">
        <f>AJ191+AK191</f>
        <v/>
      </c>
      <c r="AM191" s="19">
        <f>IF(AND(CONFIG!$B$11="Annual",MONTH(AC191)=7),AL191*CONFIG!$B$6/12,AM190)</f>
        <v/>
      </c>
      <c r="AN191" s="19">
        <f>IF(AL191=0,0,AJ191-AM191*AJ191/AL191)</f>
        <v/>
      </c>
      <c r="AO191" s="19">
        <f>IF(AL191=0,0,AK191-AM191*AK191/AL191)</f>
        <v/>
      </c>
    </row>
    <row r="192">
      <c r="A192" s="18">
        <f>DATA!A192</f>
        <v/>
      </c>
      <c r="B192">
        <f>DATA!B192</f>
        <v/>
      </c>
      <c r="C192" s="19">
        <f>L191</f>
        <v/>
      </c>
      <c r="D192" s="19">
        <f>M191</f>
        <v/>
      </c>
      <c r="E192" s="19">
        <f>C192+D192</f>
        <v/>
      </c>
      <c r="F192" s="20">
        <f>DATA!C192</f>
        <v/>
      </c>
      <c r="G192" s="20">
        <f>DATA!G192</f>
        <v/>
      </c>
      <c r="H192" s="19">
        <f>C192*(1+F192)</f>
        <v/>
      </c>
      <c r="I192" s="19">
        <f>D192*(1+G192)</f>
        <v/>
      </c>
      <c r="J192" s="19">
        <f>H192+I192</f>
        <v/>
      </c>
      <c r="K192" s="19">
        <f>IF(AND(CONFIG!$B$11="Annual",MONTH(A192)=7),J192*CONFIG!$B$6/12,K191)</f>
        <v/>
      </c>
      <c r="L192" s="19">
        <f>IF(J192=0,0,H192-K192*H192/J192)</f>
        <v/>
      </c>
      <c r="M192" s="19">
        <f>IF(J192=0,0,I192-K192*I192/J192)</f>
        <v/>
      </c>
      <c r="O192" s="18">
        <f>DATA!A192</f>
        <v/>
      </c>
      <c r="P192">
        <f>DATA!B192</f>
        <v/>
      </c>
      <c r="Q192" s="19">
        <f>Z191</f>
        <v/>
      </c>
      <c r="R192" s="19">
        <f>AA191</f>
        <v/>
      </c>
      <c r="S192" s="19">
        <f>Q192+R192</f>
        <v/>
      </c>
      <c r="T192" s="20">
        <f>DATA!D192</f>
        <v/>
      </c>
      <c r="U192" s="20">
        <f>DATA!G192</f>
        <v/>
      </c>
      <c r="V192" s="19">
        <f>Q192*(1+T192)</f>
        <v/>
      </c>
      <c r="W192" s="19">
        <f>R192*(1+U192)</f>
        <v/>
      </c>
      <c r="X192" s="19">
        <f>V192+W192</f>
        <v/>
      </c>
      <c r="Y192" s="19">
        <f>IF(AND(CONFIG!$B$11="Annual",MONTH(O192)=7),X192*CONFIG!$B$6/12,Y191)</f>
        <v/>
      </c>
      <c r="Z192" s="19">
        <f>IF(X192=0,0,V192-Y192*V192/X192)</f>
        <v/>
      </c>
      <c r="AA192" s="19">
        <f>IF(X192=0,0,W192-Y192*W192/X192)</f>
        <v/>
      </c>
      <c r="AC192" s="18">
        <f>DATA!A192</f>
        <v/>
      </c>
      <c r="AD192">
        <f>DATA!B192</f>
        <v/>
      </c>
      <c r="AE192" s="19">
        <f>AN191</f>
        <v/>
      </c>
      <c r="AF192" s="19">
        <f>AO191</f>
        <v/>
      </c>
      <c r="AG192" s="19">
        <f>AE192+AF192</f>
        <v/>
      </c>
      <c r="AH192" s="20">
        <f>DATA!E192</f>
        <v/>
      </c>
      <c r="AI192" s="20">
        <f>DATA!G192</f>
        <v/>
      </c>
      <c r="AJ192" s="19">
        <f>AE192*(1+AH192)</f>
        <v/>
      </c>
      <c r="AK192" s="19">
        <f>AF192*(1+AI192)</f>
        <v/>
      </c>
      <c r="AL192" s="19">
        <f>AJ192+AK192</f>
        <v/>
      </c>
      <c r="AM192" s="19">
        <f>IF(AND(CONFIG!$B$11="Annual",MONTH(AC192)=7),AL192*CONFIG!$B$6/12,AM191)</f>
        <v/>
      </c>
      <c r="AN192" s="19">
        <f>IF(AL192=0,0,AJ192-AM192*AJ192/AL192)</f>
        <v/>
      </c>
      <c r="AO192" s="19">
        <f>IF(AL192=0,0,AK192-AM192*AK192/AL192)</f>
        <v/>
      </c>
    </row>
    <row r="193">
      <c r="A193" s="18">
        <f>DATA!A193</f>
        <v/>
      </c>
      <c r="B193">
        <f>DATA!B193</f>
        <v/>
      </c>
      <c r="C193" s="19">
        <f>L192</f>
        <v/>
      </c>
      <c r="D193" s="19">
        <f>M192</f>
        <v/>
      </c>
      <c r="E193" s="19">
        <f>C193+D193</f>
        <v/>
      </c>
      <c r="F193" s="20">
        <f>DATA!C193</f>
        <v/>
      </c>
      <c r="G193" s="20">
        <f>DATA!G193</f>
        <v/>
      </c>
      <c r="H193" s="19">
        <f>C193*(1+F193)</f>
        <v/>
      </c>
      <c r="I193" s="19">
        <f>D193*(1+G193)</f>
        <v/>
      </c>
      <c r="J193" s="19">
        <f>H193+I193</f>
        <v/>
      </c>
      <c r="K193" s="19">
        <f>IF(AND(CONFIG!$B$11="Annual",MONTH(A193)=7),J193*CONFIG!$B$6/12,K192)</f>
        <v/>
      </c>
      <c r="L193" s="19">
        <f>IF(J193=0,0,H193-K193*H193/J193)</f>
        <v/>
      </c>
      <c r="M193" s="19">
        <f>IF(J193=0,0,I193-K193*I193/J193)</f>
        <v/>
      </c>
      <c r="O193" s="18">
        <f>DATA!A193</f>
        <v/>
      </c>
      <c r="P193">
        <f>DATA!B193</f>
        <v/>
      </c>
      <c r="Q193" s="19">
        <f>Z192</f>
        <v/>
      </c>
      <c r="R193" s="19">
        <f>AA192</f>
        <v/>
      </c>
      <c r="S193" s="19">
        <f>Q193+R193</f>
        <v/>
      </c>
      <c r="T193" s="20">
        <f>DATA!D193</f>
        <v/>
      </c>
      <c r="U193" s="20">
        <f>DATA!G193</f>
        <v/>
      </c>
      <c r="V193" s="19">
        <f>Q193*(1+T193)</f>
        <v/>
      </c>
      <c r="W193" s="19">
        <f>R193*(1+U193)</f>
        <v/>
      </c>
      <c r="X193" s="19">
        <f>V193+W193</f>
        <v/>
      </c>
      <c r="Y193" s="19">
        <f>IF(AND(CONFIG!$B$11="Annual",MONTH(O193)=7),X193*CONFIG!$B$6/12,Y192)</f>
        <v/>
      </c>
      <c r="Z193" s="19">
        <f>IF(X193=0,0,V193-Y193*V193/X193)</f>
        <v/>
      </c>
      <c r="AA193" s="19">
        <f>IF(X193=0,0,W193-Y193*W193/X193)</f>
        <v/>
      </c>
      <c r="AC193" s="18">
        <f>DATA!A193</f>
        <v/>
      </c>
      <c r="AD193">
        <f>DATA!B193</f>
        <v/>
      </c>
      <c r="AE193" s="19">
        <f>AN192</f>
        <v/>
      </c>
      <c r="AF193" s="19">
        <f>AO192</f>
        <v/>
      </c>
      <c r="AG193" s="19">
        <f>AE193+AF193</f>
        <v/>
      </c>
      <c r="AH193" s="20">
        <f>DATA!E193</f>
        <v/>
      </c>
      <c r="AI193" s="20">
        <f>DATA!G193</f>
        <v/>
      </c>
      <c r="AJ193" s="19">
        <f>AE193*(1+AH193)</f>
        <v/>
      </c>
      <c r="AK193" s="19">
        <f>AF193*(1+AI193)</f>
        <v/>
      </c>
      <c r="AL193" s="19">
        <f>AJ193+AK193</f>
        <v/>
      </c>
      <c r="AM193" s="19">
        <f>IF(AND(CONFIG!$B$11="Annual",MONTH(AC193)=7),AL193*CONFIG!$B$6/12,AM192)</f>
        <v/>
      </c>
      <c r="AN193" s="19">
        <f>IF(AL193=0,0,AJ193-AM193*AJ193/AL193)</f>
        <v/>
      </c>
      <c r="AO193" s="19">
        <f>IF(AL193=0,0,AK193-AM193*AK193/AL193)</f>
        <v/>
      </c>
    </row>
    <row r="194">
      <c r="A194" s="18">
        <f>DATA!A194</f>
        <v/>
      </c>
      <c r="B194">
        <f>DATA!B194</f>
        <v/>
      </c>
      <c r="C194" s="19">
        <f>L193</f>
        <v/>
      </c>
      <c r="D194" s="19">
        <f>M193</f>
        <v/>
      </c>
      <c r="E194" s="19">
        <f>C194+D194</f>
        <v/>
      </c>
      <c r="F194" s="20">
        <f>DATA!C194</f>
        <v/>
      </c>
      <c r="G194" s="20">
        <f>DATA!G194</f>
        <v/>
      </c>
      <c r="H194" s="19">
        <f>C194*(1+F194)</f>
        <v/>
      </c>
      <c r="I194" s="19">
        <f>D194*(1+G194)</f>
        <v/>
      </c>
      <c r="J194" s="19">
        <f>H194+I194</f>
        <v/>
      </c>
      <c r="K194" s="19">
        <f>IF(AND(CONFIG!$B$11="Annual",MONTH(A194)=7),J194*CONFIG!$B$6/12,K193)</f>
        <v/>
      </c>
      <c r="L194" s="19">
        <f>IF(J194=0,0,H194-K194*H194/J194)</f>
        <v/>
      </c>
      <c r="M194" s="19">
        <f>IF(J194=0,0,I194-K194*I194/J194)</f>
        <v/>
      </c>
      <c r="O194" s="18">
        <f>DATA!A194</f>
        <v/>
      </c>
      <c r="P194">
        <f>DATA!B194</f>
        <v/>
      </c>
      <c r="Q194" s="19">
        <f>Z193</f>
        <v/>
      </c>
      <c r="R194" s="19">
        <f>AA193</f>
        <v/>
      </c>
      <c r="S194" s="19">
        <f>Q194+R194</f>
        <v/>
      </c>
      <c r="T194" s="20">
        <f>DATA!D194</f>
        <v/>
      </c>
      <c r="U194" s="20">
        <f>DATA!G194</f>
        <v/>
      </c>
      <c r="V194" s="19">
        <f>Q194*(1+T194)</f>
        <v/>
      </c>
      <c r="W194" s="19">
        <f>R194*(1+U194)</f>
        <v/>
      </c>
      <c r="X194" s="19">
        <f>V194+W194</f>
        <v/>
      </c>
      <c r="Y194" s="19">
        <f>IF(AND(CONFIG!$B$11="Annual",MONTH(O194)=7),X194*CONFIG!$B$6/12,Y193)</f>
        <v/>
      </c>
      <c r="Z194" s="19">
        <f>IF(X194=0,0,V194-Y194*V194/X194)</f>
        <v/>
      </c>
      <c r="AA194" s="19">
        <f>IF(X194=0,0,W194-Y194*W194/X194)</f>
        <v/>
      </c>
      <c r="AC194" s="18">
        <f>DATA!A194</f>
        <v/>
      </c>
      <c r="AD194">
        <f>DATA!B194</f>
        <v/>
      </c>
      <c r="AE194" s="19">
        <f>AN193</f>
        <v/>
      </c>
      <c r="AF194" s="19">
        <f>AO193</f>
        <v/>
      </c>
      <c r="AG194" s="19">
        <f>AE194+AF194</f>
        <v/>
      </c>
      <c r="AH194" s="20">
        <f>DATA!E194</f>
        <v/>
      </c>
      <c r="AI194" s="20">
        <f>DATA!G194</f>
        <v/>
      </c>
      <c r="AJ194" s="19">
        <f>AE194*(1+AH194)</f>
        <v/>
      </c>
      <c r="AK194" s="19">
        <f>AF194*(1+AI194)</f>
        <v/>
      </c>
      <c r="AL194" s="19">
        <f>AJ194+AK194</f>
        <v/>
      </c>
      <c r="AM194" s="19">
        <f>IF(AND(CONFIG!$B$11="Annual",MONTH(AC194)=7),AL194*CONFIG!$B$6/12,AM193)</f>
        <v/>
      </c>
      <c r="AN194" s="19">
        <f>IF(AL194=0,0,AJ194-AM194*AJ194/AL194)</f>
        <v/>
      </c>
      <c r="AO194" s="19">
        <f>IF(AL194=0,0,AK194-AM194*AK194/AL194)</f>
        <v/>
      </c>
    </row>
    <row r="195">
      <c r="A195" s="18">
        <f>DATA!A195</f>
        <v/>
      </c>
      <c r="B195">
        <f>DATA!B195</f>
        <v/>
      </c>
      <c r="C195" s="19">
        <f>L194</f>
        <v/>
      </c>
      <c r="D195" s="19">
        <f>M194</f>
        <v/>
      </c>
      <c r="E195" s="19">
        <f>C195+D195</f>
        <v/>
      </c>
      <c r="F195" s="20">
        <f>DATA!C195</f>
        <v/>
      </c>
      <c r="G195" s="20">
        <f>DATA!G195</f>
        <v/>
      </c>
      <c r="H195" s="19">
        <f>C195*(1+F195)</f>
        <v/>
      </c>
      <c r="I195" s="19">
        <f>D195*(1+G195)</f>
        <v/>
      </c>
      <c r="J195" s="19">
        <f>H195+I195</f>
        <v/>
      </c>
      <c r="K195" s="19">
        <f>IF(AND(CONFIG!$B$11="Annual",MONTH(A195)=7),J195*CONFIG!$B$6/12,K194)</f>
        <v/>
      </c>
      <c r="L195" s="19">
        <f>IF(J195=0,0,H195-K195*H195/J195)</f>
        <v/>
      </c>
      <c r="M195" s="19">
        <f>IF(J195=0,0,I195-K195*I195/J195)</f>
        <v/>
      </c>
      <c r="O195" s="18">
        <f>DATA!A195</f>
        <v/>
      </c>
      <c r="P195">
        <f>DATA!B195</f>
        <v/>
      </c>
      <c r="Q195" s="19">
        <f>Z194</f>
        <v/>
      </c>
      <c r="R195" s="19">
        <f>AA194</f>
        <v/>
      </c>
      <c r="S195" s="19">
        <f>Q195+R195</f>
        <v/>
      </c>
      <c r="T195" s="20">
        <f>DATA!D195</f>
        <v/>
      </c>
      <c r="U195" s="20">
        <f>DATA!G195</f>
        <v/>
      </c>
      <c r="V195" s="19">
        <f>Q195*(1+T195)</f>
        <v/>
      </c>
      <c r="W195" s="19">
        <f>R195*(1+U195)</f>
        <v/>
      </c>
      <c r="X195" s="19">
        <f>V195+W195</f>
        <v/>
      </c>
      <c r="Y195" s="19">
        <f>IF(AND(CONFIG!$B$11="Annual",MONTH(O195)=7),X195*CONFIG!$B$6/12,Y194)</f>
        <v/>
      </c>
      <c r="Z195" s="19">
        <f>IF(X195=0,0,V195-Y195*V195/X195)</f>
        <v/>
      </c>
      <c r="AA195" s="19">
        <f>IF(X195=0,0,W195-Y195*W195/X195)</f>
        <v/>
      </c>
      <c r="AC195" s="18">
        <f>DATA!A195</f>
        <v/>
      </c>
      <c r="AD195">
        <f>DATA!B195</f>
        <v/>
      </c>
      <c r="AE195" s="19">
        <f>AN194</f>
        <v/>
      </c>
      <c r="AF195" s="19">
        <f>AO194</f>
        <v/>
      </c>
      <c r="AG195" s="19">
        <f>AE195+AF195</f>
        <v/>
      </c>
      <c r="AH195" s="20">
        <f>DATA!E195</f>
        <v/>
      </c>
      <c r="AI195" s="20">
        <f>DATA!G195</f>
        <v/>
      </c>
      <c r="AJ195" s="19">
        <f>AE195*(1+AH195)</f>
        <v/>
      </c>
      <c r="AK195" s="19">
        <f>AF195*(1+AI195)</f>
        <v/>
      </c>
      <c r="AL195" s="19">
        <f>AJ195+AK195</f>
        <v/>
      </c>
      <c r="AM195" s="19">
        <f>IF(AND(CONFIG!$B$11="Annual",MONTH(AC195)=7),AL195*CONFIG!$B$6/12,AM194)</f>
        <v/>
      </c>
      <c r="AN195" s="19">
        <f>IF(AL195=0,0,AJ195-AM195*AJ195/AL195)</f>
        <v/>
      </c>
      <c r="AO195" s="19">
        <f>IF(AL195=0,0,AK195-AM195*AK195/AL195)</f>
        <v/>
      </c>
    </row>
    <row r="196">
      <c r="A196" s="18">
        <f>DATA!A196</f>
        <v/>
      </c>
      <c r="B196">
        <f>DATA!B196</f>
        <v/>
      </c>
      <c r="C196" s="19">
        <f>L195</f>
        <v/>
      </c>
      <c r="D196" s="19">
        <f>M195</f>
        <v/>
      </c>
      <c r="E196" s="19">
        <f>C196+D196</f>
        <v/>
      </c>
      <c r="F196" s="20">
        <f>DATA!C196</f>
        <v/>
      </c>
      <c r="G196" s="20">
        <f>DATA!G196</f>
        <v/>
      </c>
      <c r="H196" s="19">
        <f>C196*(1+F196)</f>
        <v/>
      </c>
      <c r="I196" s="19">
        <f>D196*(1+G196)</f>
        <v/>
      </c>
      <c r="J196" s="19">
        <f>H196+I196</f>
        <v/>
      </c>
      <c r="K196" s="19">
        <f>IF(AND(CONFIG!$B$11="Annual",MONTH(A196)=7),J196*CONFIG!$B$6/12,K195)</f>
        <v/>
      </c>
      <c r="L196" s="19">
        <f>IF(J196=0,0,H196-K196*H196/J196)</f>
        <v/>
      </c>
      <c r="M196" s="19">
        <f>IF(J196=0,0,I196-K196*I196/J196)</f>
        <v/>
      </c>
      <c r="O196" s="18">
        <f>DATA!A196</f>
        <v/>
      </c>
      <c r="P196">
        <f>DATA!B196</f>
        <v/>
      </c>
      <c r="Q196" s="19">
        <f>Z195</f>
        <v/>
      </c>
      <c r="R196" s="19">
        <f>AA195</f>
        <v/>
      </c>
      <c r="S196" s="19">
        <f>Q196+R196</f>
        <v/>
      </c>
      <c r="T196" s="20">
        <f>DATA!D196</f>
        <v/>
      </c>
      <c r="U196" s="20">
        <f>DATA!G196</f>
        <v/>
      </c>
      <c r="V196" s="19">
        <f>Q196*(1+T196)</f>
        <v/>
      </c>
      <c r="W196" s="19">
        <f>R196*(1+U196)</f>
        <v/>
      </c>
      <c r="X196" s="19">
        <f>V196+W196</f>
        <v/>
      </c>
      <c r="Y196" s="19">
        <f>IF(AND(CONFIG!$B$11="Annual",MONTH(O196)=7),X196*CONFIG!$B$6/12,Y195)</f>
        <v/>
      </c>
      <c r="Z196" s="19">
        <f>IF(X196=0,0,V196-Y196*V196/X196)</f>
        <v/>
      </c>
      <c r="AA196" s="19">
        <f>IF(X196=0,0,W196-Y196*W196/X196)</f>
        <v/>
      </c>
      <c r="AC196" s="18">
        <f>DATA!A196</f>
        <v/>
      </c>
      <c r="AD196">
        <f>DATA!B196</f>
        <v/>
      </c>
      <c r="AE196" s="19">
        <f>AN195</f>
        <v/>
      </c>
      <c r="AF196" s="19">
        <f>AO195</f>
        <v/>
      </c>
      <c r="AG196" s="19">
        <f>AE196+AF196</f>
        <v/>
      </c>
      <c r="AH196" s="20">
        <f>DATA!E196</f>
        <v/>
      </c>
      <c r="AI196" s="20">
        <f>DATA!G196</f>
        <v/>
      </c>
      <c r="AJ196" s="19">
        <f>AE196*(1+AH196)</f>
        <v/>
      </c>
      <c r="AK196" s="19">
        <f>AF196*(1+AI196)</f>
        <v/>
      </c>
      <c r="AL196" s="19">
        <f>AJ196+AK196</f>
        <v/>
      </c>
      <c r="AM196" s="19">
        <f>IF(AND(CONFIG!$B$11="Annual",MONTH(AC196)=7),AL196*CONFIG!$B$6/12,AM195)</f>
        <v/>
      </c>
      <c r="AN196" s="19">
        <f>IF(AL196=0,0,AJ196-AM196*AJ196/AL196)</f>
        <v/>
      </c>
      <c r="AO196" s="19">
        <f>IF(AL196=0,0,AK196-AM196*AK196/AL196)</f>
        <v/>
      </c>
    </row>
    <row r="197">
      <c r="A197" s="18">
        <f>DATA!A197</f>
        <v/>
      </c>
      <c r="B197">
        <f>DATA!B197</f>
        <v/>
      </c>
      <c r="C197" s="19">
        <f>L196</f>
        <v/>
      </c>
      <c r="D197" s="19">
        <f>M196</f>
        <v/>
      </c>
      <c r="E197" s="19">
        <f>C197+D197</f>
        <v/>
      </c>
      <c r="F197" s="20">
        <f>DATA!C197</f>
        <v/>
      </c>
      <c r="G197" s="20">
        <f>DATA!G197</f>
        <v/>
      </c>
      <c r="H197" s="19">
        <f>C197*(1+F197)</f>
        <v/>
      </c>
      <c r="I197" s="19">
        <f>D197*(1+G197)</f>
        <v/>
      </c>
      <c r="J197" s="19">
        <f>H197+I197</f>
        <v/>
      </c>
      <c r="K197" s="19">
        <f>IF(AND(CONFIG!$B$11="Annual",MONTH(A197)=7),J197*CONFIG!$B$6/12,K196)</f>
        <v/>
      </c>
      <c r="L197" s="19">
        <f>IF(J197=0,0,H197-K197*H197/J197)</f>
        <v/>
      </c>
      <c r="M197" s="19">
        <f>IF(J197=0,0,I197-K197*I197/J197)</f>
        <v/>
      </c>
      <c r="O197" s="18">
        <f>DATA!A197</f>
        <v/>
      </c>
      <c r="P197">
        <f>DATA!B197</f>
        <v/>
      </c>
      <c r="Q197" s="19">
        <f>Z196</f>
        <v/>
      </c>
      <c r="R197" s="19">
        <f>AA196</f>
        <v/>
      </c>
      <c r="S197" s="19">
        <f>Q197+R197</f>
        <v/>
      </c>
      <c r="T197" s="20">
        <f>DATA!D197</f>
        <v/>
      </c>
      <c r="U197" s="20">
        <f>DATA!G197</f>
        <v/>
      </c>
      <c r="V197" s="19">
        <f>Q197*(1+T197)</f>
        <v/>
      </c>
      <c r="W197" s="19">
        <f>R197*(1+U197)</f>
        <v/>
      </c>
      <c r="X197" s="19">
        <f>V197+W197</f>
        <v/>
      </c>
      <c r="Y197" s="19">
        <f>IF(AND(CONFIG!$B$11="Annual",MONTH(O197)=7),X197*CONFIG!$B$6/12,Y196)</f>
        <v/>
      </c>
      <c r="Z197" s="19">
        <f>IF(X197=0,0,V197-Y197*V197/X197)</f>
        <v/>
      </c>
      <c r="AA197" s="19">
        <f>IF(X197=0,0,W197-Y197*W197/X197)</f>
        <v/>
      </c>
      <c r="AC197" s="18">
        <f>DATA!A197</f>
        <v/>
      </c>
      <c r="AD197">
        <f>DATA!B197</f>
        <v/>
      </c>
      <c r="AE197" s="19">
        <f>AN196</f>
        <v/>
      </c>
      <c r="AF197" s="19">
        <f>AO196</f>
        <v/>
      </c>
      <c r="AG197" s="19">
        <f>AE197+AF197</f>
        <v/>
      </c>
      <c r="AH197" s="20">
        <f>DATA!E197</f>
        <v/>
      </c>
      <c r="AI197" s="20">
        <f>DATA!G197</f>
        <v/>
      </c>
      <c r="AJ197" s="19">
        <f>AE197*(1+AH197)</f>
        <v/>
      </c>
      <c r="AK197" s="19">
        <f>AF197*(1+AI197)</f>
        <v/>
      </c>
      <c r="AL197" s="19">
        <f>AJ197+AK197</f>
        <v/>
      </c>
      <c r="AM197" s="19">
        <f>IF(AND(CONFIG!$B$11="Annual",MONTH(AC197)=7),AL197*CONFIG!$B$6/12,AM196)</f>
        <v/>
      </c>
      <c r="AN197" s="19">
        <f>IF(AL197=0,0,AJ197-AM197*AJ197/AL197)</f>
        <v/>
      </c>
      <c r="AO197" s="19">
        <f>IF(AL197=0,0,AK197-AM197*AK197/AL197)</f>
        <v/>
      </c>
    </row>
    <row r="198">
      <c r="A198" s="18">
        <f>DATA!A198</f>
        <v/>
      </c>
      <c r="B198">
        <f>DATA!B198</f>
        <v/>
      </c>
      <c r="C198" s="19">
        <f>L197</f>
        <v/>
      </c>
      <c r="D198" s="19">
        <f>M197</f>
        <v/>
      </c>
      <c r="E198" s="19">
        <f>C198+D198</f>
        <v/>
      </c>
      <c r="F198" s="20">
        <f>DATA!C198</f>
        <v/>
      </c>
      <c r="G198" s="20">
        <f>DATA!G198</f>
        <v/>
      </c>
      <c r="H198" s="19">
        <f>C198*(1+F198)</f>
        <v/>
      </c>
      <c r="I198" s="19">
        <f>D198*(1+G198)</f>
        <v/>
      </c>
      <c r="J198" s="19">
        <f>H198+I198</f>
        <v/>
      </c>
      <c r="K198" s="19">
        <f>IF(AND(CONFIG!$B$11="Annual",MONTH(A198)=7),J198*CONFIG!$B$6/12,K197)</f>
        <v/>
      </c>
      <c r="L198" s="19">
        <f>IF(J198=0,0,H198-K198*H198/J198)</f>
        <v/>
      </c>
      <c r="M198" s="19">
        <f>IF(J198=0,0,I198-K198*I198/J198)</f>
        <v/>
      </c>
      <c r="O198" s="18">
        <f>DATA!A198</f>
        <v/>
      </c>
      <c r="P198">
        <f>DATA!B198</f>
        <v/>
      </c>
      <c r="Q198" s="19">
        <f>Z197</f>
        <v/>
      </c>
      <c r="R198" s="19">
        <f>AA197</f>
        <v/>
      </c>
      <c r="S198" s="19">
        <f>Q198+R198</f>
        <v/>
      </c>
      <c r="T198" s="20">
        <f>DATA!D198</f>
        <v/>
      </c>
      <c r="U198" s="20">
        <f>DATA!G198</f>
        <v/>
      </c>
      <c r="V198" s="19">
        <f>Q198*(1+T198)</f>
        <v/>
      </c>
      <c r="W198" s="19">
        <f>R198*(1+U198)</f>
        <v/>
      </c>
      <c r="X198" s="19">
        <f>V198+W198</f>
        <v/>
      </c>
      <c r="Y198" s="19">
        <f>IF(AND(CONFIG!$B$11="Annual",MONTH(O198)=7),X198*CONFIG!$B$6/12,Y197)</f>
        <v/>
      </c>
      <c r="Z198" s="19">
        <f>IF(X198=0,0,V198-Y198*V198/X198)</f>
        <v/>
      </c>
      <c r="AA198" s="19">
        <f>IF(X198=0,0,W198-Y198*W198/X198)</f>
        <v/>
      </c>
      <c r="AC198" s="18">
        <f>DATA!A198</f>
        <v/>
      </c>
      <c r="AD198">
        <f>DATA!B198</f>
        <v/>
      </c>
      <c r="AE198" s="19">
        <f>AN197</f>
        <v/>
      </c>
      <c r="AF198" s="19">
        <f>AO197</f>
        <v/>
      </c>
      <c r="AG198" s="19">
        <f>AE198+AF198</f>
        <v/>
      </c>
      <c r="AH198" s="20">
        <f>DATA!E198</f>
        <v/>
      </c>
      <c r="AI198" s="20">
        <f>DATA!G198</f>
        <v/>
      </c>
      <c r="AJ198" s="19">
        <f>AE198*(1+AH198)</f>
        <v/>
      </c>
      <c r="AK198" s="19">
        <f>AF198*(1+AI198)</f>
        <v/>
      </c>
      <c r="AL198" s="19">
        <f>AJ198+AK198</f>
        <v/>
      </c>
      <c r="AM198" s="19">
        <f>IF(AND(CONFIG!$B$11="Annual",MONTH(AC198)=7),AL198*CONFIG!$B$6/12,AM197)</f>
        <v/>
      </c>
      <c r="AN198" s="19">
        <f>IF(AL198=0,0,AJ198-AM198*AJ198/AL198)</f>
        <v/>
      </c>
      <c r="AO198" s="19">
        <f>IF(AL198=0,0,AK198-AM198*AK198/AL198)</f>
        <v/>
      </c>
    </row>
    <row r="199">
      <c r="A199" s="18">
        <f>DATA!A199</f>
        <v/>
      </c>
      <c r="B199">
        <f>DATA!B199</f>
        <v/>
      </c>
      <c r="C199" s="19">
        <f>L198</f>
        <v/>
      </c>
      <c r="D199" s="19">
        <f>M198</f>
        <v/>
      </c>
      <c r="E199" s="19">
        <f>C199+D199</f>
        <v/>
      </c>
      <c r="F199" s="20">
        <f>DATA!C199</f>
        <v/>
      </c>
      <c r="G199" s="20">
        <f>DATA!G199</f>
        <v/>
      </c>
      <c r="H199" s="19">
        <f>C199*(1+F199)</f>
        <v/>
      </c>
      <c r="I199" s="19">
        <f>D199*(1+G199)</f>
        <v/>
      </c>
      <c r="J199" s="19">
        <f>H199+I199</f>
        <v/>
      </c>
      <c r="K199" s="19">
        <f>IF(AND(CONFIG!$B$11="Annual",MONTH(A199)=7),J199*CONFIG!$B$6/12,K198)</f>
        <v/>
      </c>
      <c r="L199" s="19">
        <f>IF(J199=0,0,H199-K199*H199/J199)</f>
        <v/>
      </c>
      <c r="M199" s="19">
        <f>IF(J199=0,0,I199-K199*I199/J199)</f>
        <v/>
      </c>
      <c r="O199" s="18">
        <f>DATA!A199</f>
        <v/>
      </c>
      <c r="P199">
        <f>DATA!B199</f>
        <v/>
      </c>
      <c r="Q199" s="19">
        <f>Z198</f>
        <v/>
      </c>
      <c r="R199" s="19">
        <f>AA198</f>
        <v/>
      </c>
      <c r="S199" s="19">
        <f>Q199+R199</f>
        <v/>
      </c>
      <c r="T199" s="20">
        <f>DATA!D199</f>
        <v/>
      </c>
      <c r="U199" s="20">
        <f>DATA!G199</f>
        <v/>
      </c>
      <c r="V199" s="19">
        <f>Q199*(1+T199)</f>
        <v/>
      </c>
      <c r="W199" s="19">
        <f>R199*(1+U199)</f>
        <v/>
      </c>
      <c r="X199" s="19">
        <f>V199+W199</f>
        <v/>
      </c>
      <c r="Y199" s="19">
        <f>IF(AND(CONFIG!$B$11="Annual",MONTH(O199)=7),X199*CONFIG!$B$6/12,Y198)</f>
        <v/>
      </c>
      <c r="Z199" s="19">
        <f>IF(X199=0,0,V199-Y199*V199/X199)</f>
        <v/>
      </c>
      <c r="AA199" s="19">
        <f>IF(X199=0,0,W199-Y199*W199/X199)</f>
        <v/>
      </c>
      <c r="AC199" s="18">
        <f>DATA!A199</f>
        <v/>
      </c>
      <c r="AD199">
        <f>DATA!B199</f>
        <v/>
      </c>
      <c r="AE199" s="19">
        <f>AN198</f>
        <v/>
      </c>
      <c r="AF199" s="19">
        <f>AO198</f>
        <v/>
      </c>
      <c r="AG199" s="19">
        <f>AE199+AF199</f>
        <v/>
      </c>
      <c r="AH199" s="20">
        <f>DATA!E199</f>
        <v/>
      </c>
      <c r="AI199" s="20">
        <f>DATA!G199</f>
        <v/>
      </c>
      <c r="AJ199" s="19">
        <f>AE199*(1+AH199)</f>
        <v/>
      </c>
      <c r="AK199" s="19">
        <f>AF199*(1+AI199)</f>
        <v/>
      </c>
      <c r="AL199" s="19">
        <f>AJ199+AK199</f>
        <v/>
      </c>
      <c r="AM199" s="19">
        <f>IF(AND(CONFIG!$B$11="Annual",MONTH(AC199)=7),AL199*CONFIG!$B$6/12,AM198)</f>
        <v/>
      </c>
      <c r="AN199" s="19">
        <f>IF(AL199=0,0,AJ199-AM199*AJ199/AL199)</f>
        <v/>
      </c>
      <c r="AO199" s="19">
        <f>IF(AL199=0,0,AK199-AM199*AK199/AL199)</f>
        <v/>
      </c>
    </row>
    <row r="200">
      <c r="A200" s="18">
        <f>DATA!A200</f>
        <v/>
      </c>
      <c r="B200">
        <f>DATA!B200</f>
        <v/>
      </c>
      <c r="C200" s="19">
        <f>L199</f>
        <v/>
      </c>
      <c r="D200" s="19">
        <f>M199</f>
        <v/>
      </c>
      <c r="E200" s="19">
        <f>C200+D200</f>
        <v/>
      </c>
      <c r="F200" s="20">
        <f>DATA!C200</f>
        <v/>
      </c>
      <c r="G200" s="20">
        <f>DATA!G200</f>
        <v/>
      </c>
      <c r="H200" s="19">
        <f>C200*(1+F200)</f>
        <v/>
      </c>
      <c r="I200" s="19">
        <f>D200*(1+G200)</f>
        <v/>
      </c>
      <c r="J200" s="19">
        <f>H200+I200</f>
        <v/>
      </c>
      <c r="K200" s="19">
        <f>IF(AND(CONFIG!$B$11="Annual",MONTH(A200)=7),J200*CONFIG!$B$6/12,K199)</f>
        <v/>
      </c>
      <c r="L200" s="19">
        <f>IF(J200=0,0,H200-K200*H200/J200)</f>
        <v/>
      </c>
      <c r="M200" s="19">
        <f>IF(J200=0,0,I200-K200*I200/J200)</f>
        <v/>
      </c>
      <c r="O200" s="18">
        <f>DATA!A200</f>
        <v/>
      </c>
      <c r="P200">
        <f>DATA!B200</f>
        <v/>
      </c>
      <c r="Q200" s="19">
        <f>Z199</f>
        <v/>
      </c>
      <c r="R200" s="19">
        <f>AA199</f>
        <v/>
      </c>
      <c r="S200" s="19">
        <f>Q200+R200</f>
        <v/>
      </c>
      <c r="T200" s="20">
        <f>DATA!D200</f>
        <v/>
      </c>
      <c r="U200" s="20">
        <f>DATA!G200</f>
        <v/>
      </c>
      <c r="V200" s="19">
        <f>Q200*(1+T200)</f>
        <v/>
      </c>
      <c r="W200" s="19">
        <f>R200*(1+U200)</f>
        <v/>
      </c>
      <c r="X200" s="19">
        <f>V200+W200</f>
        <v/>
      </c>
      <c r="Y200" s="19">
        <f>IF(AND(CONFIG!$B$11="Annual",MONTH(O200)=7),X200*CONFIG!$B$6/12,Y199)</f>
        <v/>
      </c>
      <c r="Z200" s="19">
        <f>IF(X200=0,0,V200-Y200*V200/X200)</f>
        <v/>
      </c>
      <c r="AA200" s="19">
        <f>IF(X200=0,0,W200-Y200*W200/X200)</f>
        <v/>
      </c>
      <c r="AC200" s="18">
        <f>DATA!A200</f>
        <v/>
      </c>
      <c r="AD200">
        <f>DATA!B200</f>
        <v/>
      </c>
      <c r="AE200" s="19">
        <f>AN199</f>
        <v/>
      </c>
      <c r="AF200" s="19">
        <f>AO199</f>
        <v/>
      </c>
      <c r="AG200" s="19">
        <f>AE200+AF200</f>
        <v/>
      </c>
      <c r="AH200" s="20">
        <f>DATA!E200</f>
        <v/>
      </c>
      <c r="AI200" s="20">
        <f>DATA!G200</f>
        <v/>
      </c>
      <c r="AJ200" s="19">
        <f>AE200*(1+AH200)</f>
        <v/>
      </c>
      <c r="AK200" s="19">
        <f>AF200*(1+AI200)</f>
        <v/>
      </c>
      <c r="AL200" s="19">
        <f>AJ200+AK200</f>
        <v/>
      </c>
      <c r="AM200" s="19">
        <f>IF(AND(CONFIG!$B$11="Annual",MONTH(AC200)=7),AL200*CONFIG!$B$6/12,AM199)</f>
        <v/>
      </c>
      <c r="AN200" s="19">
        <f>IF(AL200=0,0,AJ200-AM200*AJ200/AL200)</f>
        <v/>
      </c>
      <c r="AO200" s="19">
        <f>IF(AL200=0,0,AK200-AM200*AK200/AL200)</f>
        <v/>
      </c>
    </row>
    <row r="201">
      <c r="A201" s="18">
        <f>DATA!A201</f>
        <v/>
      </c>
      <c r="B201">
        <f>DATA!B201</f>
        <v/>
      </c>
      <c r="C201" s="19">
        <f>L200</f>
        <v/>
      </c>
      <c r="D201" s="19">
        <f>M200</f>
        <v/>
      </c>
      <c r="E201" s="19">
        <f>C201+D201</f>
        <v/>
      </c>
      <c r="F201" s="20">
        <f>DATA!C201</f>
        <v/>
      </c>
      <c r="G201" s="20">
        <f>DATA!G201</f>
        <v/>
      </c>
      <c r="H201" s="19">
        <f>C201*(1+F201)</f>
        <v/>
      </c>
      <c r="I201" s="19">
        <f>D201*(1+G201)</f>
        <v/>
      </c>
      <c r="J201" s="19">
        <f>H201+I201</f>
        <v/>
      </c>
      <c r="K201" s="19">
        <f>IF(AND(CONFIG!$B$11="Annual",MONTH(A201)=7),J201*CONFIG!$B$6/12,K200)</f>
        <v/>
      </c>
      <c r="L201" s="19">
        <f>IF(J201=0,0,H201-K201*H201/J201)</f>
        <v/>
      </c>
      <c r="M201" s="19">
        <f>IF(J201=0,0,I201-K201*I201/J201)</f>
        <v/>
      </c>
      <c r="O201" s="18">
        <f>DATA!A201</f>
        <v/>
      </c>
      <c r="P201">
        <f>DATA!B201</f>
        <v/>
      </c>
      <c r="Q201" s="19">
        <f>Z200</f>
        <v/>
      </c>
      <c r="R201" s="19">
        <f>AA200</f>
        <v/>
      </c>
      <c r="S201" s="19">
        <f>Q201+R201</f>
        <v/>
      </c>
      <c r="T201" s="20">
        <f>DATA!D201</f>
        <v/>
      </c>
      <c r="U201" s="20">
        <f>DATA!G201</f>
        <v/>
      </c>
      <c r="V201" s="19">
        <f>Q201*(1+T201)</f>
        <v/>
      </c>
      <c r="W201" s="19">
        <f>R201*(1+U201)</f>
        <v/>
      </c>
      <c r="X201" s="19">
        <f>V201+W201</f>
        <v/>
      </c>
      <c r="Y201" s="19">
        <f>IF(AND(CONFIG!$B$11="Annual",MONTH(O201)=7),X201*CONFIG!$B$6/12,Y200)</f>
        <v/>
      </c>
      <c r="Z201" s="19">
        <f>IF(X201=0,0,V201-Y201*V201/X201)</f>
        <v/>
      </c>
      <c r="AA201" s="19">
        <f>IF(X201=0,0,W201-Y201*W201/X201)</f>
        <v/>
      </c>
      <c r="AC201" s="18">
        <f>DATA!A201</f>
        <v/>
      </c>
      <c r="AD201">
        <f>DATA!B201</f>
        <v/>
      </c>
      <c r="AE201" s="19">
        <f>AN200</f>
        <v/>
      </c>
      <c r="AF201" s="19">
        <f>AO200</f>
        <v/>
      </c>
      <c r="AG201" s="19">
        <f>AE201+AF201</f>
        <v/>
      </c>
      <c r="AH201" s="20">
        <f>DATA!E201</f>
        <v/>
      </c>
      <c r="AI201" s="20">
        <f>DATA!G201</f>
        <v/>
      </c>
      <c r="AJ201" s="19">
        <f>AE201*(1+AH201)</f>
        <v/>
      </c>
      <c r="AK201" s="19">
        <f>AF201*(1+AI201)</f>
        <v/>
      </c>
      <c r="AL201" s="19">
        <f>AJ201+AK201</f>
        <v/>
      </c>
      <c r="AM201" s="19">
        <f>IF(AND(CONFIG!$B$11="Annual",MONTH(AC201)=7),AL201*CONFIG!$B$6/12,AM200)</f>
        <v/>
      </c>
      <c r="AN201" s="19">
        <f>IF(AL201=0,0,AJ201-AM201*AJ201/AL201)</f>
        <v/>
      </c>
      <c r="AO201" s="19">
        <f>IF(AL201=0,0,AK201-AM201*AK201/AL201)</f>
        <v/>
      </c>
    </row>
    <row r="202">
      <c r="A202" s="18">
        <f>DATA!A202</f>
        <v/>
      </c>
      <c r="B202">
        <f>DATA!B202</f>
        <v/>
      </c>
      <c r="C202" s="19">
        <f>L201</f>
        <v/>
      </c>
      <c r="D202" s="19">
        <f>M201</f>
        <v/>
      </c>
      <c r="E202" s="19">
        <f>C202+D202</f>
        <v/>
      </c>
      <c r="F202" s="20">
        <f>DATA!C202</f>
        <v/>
      </c>
      <c r="G202" s="20">
        <f>DATA!G202</f>
        <v/>
      </c>
      <c r="H202" s="19">
        <f>C202*(1+F202)</f>
        <v/>
      </c>
      <c r="I202" s="19">
        <f>D202*(1+G202)</f>
        <v/>
      </c>
      <c r="J202" s="19">
        <f>H202+I202</f>
        <v/>
      </c>
      <c r="K202" s="19">
        <f>IF(AND(CONFIG!$B$11="Annual",MONTH(A202)=7),J202*CONFIG!$B$6/12,K201)</f>
        <v/>
      </c>
      <c r="L202" s="19">
        <f>IF(J202=0,0,H202-K202*H202/J202)</f>
        <v/>
      </c>
      <c r="M202" s="19">
        <f>IF(J202=0,0,I202-K202*I202/J202)</f>
        <v/>
      </c>
      <c r="O202" s="18">
        <f>DATA!A202</f>
        <v/>
      </c>
      <c r="P202">
        <f>DATA!B202</f>
        <v/>
      </c>
      <c r="Q202" s="19">
        <f>Z201</f>
        <v/>
      </c>
      <c r="R202" s="19">
        <f>AA201</f>
        <v/>
      </c>
      <c r="S202" s="19">
        <f>Q202+R202</f>
        <v/>
      </c>
      <c r="T202" s="20">
        <f>DATA!D202</f>
        <v/>
      </c>
      <c r="U202" s="20">
        <f>DATA!G202</f>
        <v/>
      </c>
      <c r="V202" s="19">
        <f>Q202*(1+T202)</f>
        <v/>
      </c>
      <c r="W202" s="19">
        <f>R202*(1+U202)</f>
        <v/>
      </c>
      <c r="X202" s="19">
        <f>V202+W202</f>
        <v/>
      </c>
      <c r="Y202" s="19">
        <f>IF(AND(CONFIG!$B$11="Annual",MONTH(O202)=7),X202*CONFIG!$B$6/12,Y201)</f>
        <v/>
      </c>
      <c r="Z202" s="19">
        <f>IF(X202=0,0,V202-Y202*V202/X202)</f>
        <v/>
      </c>
      <c r="AA202" s="19">
        <f>IF(X202=0,0,W202-Y202*W202/X202)</f>
        <v/>
      </c>
      <c r="AC202" s="18">
        <f>DATA!A202</f>
        <v/>
      </c>
      <c r="AD202">
        <f>DATA!B202</f>
        <v/>
      </c>
      <c r="AE202" s="19">
        <f>AN201</f>
        <v/>
      </c>
      <c r="AF202" s="19">
        <f>AO201</f>
        <v/>
      </c>
      <c r="AG202" s="19">
        <f>AE202+AF202</f>
        <v/>
      </c>
      <c r="AH202" s="20">
        <f>DATA!E202</f>
        <v/>
      </c>
      <c r="AI202" s="20">
        <f>DATA!G202</f>
        <v/>
      </c>
      <c r="AJ202" s="19">
        <f>AE202*(1+AH202)</f>
        <v/>
      </c>
      <c r="AK202" s="19">
        <f>AF202*(1+AI202)</f>
        <v/>
      </c>
      <c r="AL202" s="19">
        <f>AJ202+AK202</f>
        <v/>
      </c>
      <c r="AM202" s="19">
        <f>IF(AND(CONFIG!$B$11="Annual",MONTH(AC202)=7),AL202*CONFIG!$B$6/12,AM201)</f>
        <v/>
      </c>
      <c r="AN202" s="19">
        <f>IF(AL202=0,0,AJ202-AM202*AJ202/AL202)</f>
        <v/>
      </c>
      <c r="AO202" s="19">
        <f>IF(AL202=0,0,AK202-AM202*AK202/AL202)</f>
        <v/>
      </c>
    </row>
    <row r="203">
      <c r="A203" s="18">
        <f>DATA!A203</f>
        <v/>
      </c>
      <c r="B203">
        <f>DATA!B203</f>
        <v/>
      </c>
      <c r="C203" s="19">
        <f>L202</f>
        <v/>
      </c>
      <c r="D203" s="19">
        <f>M202</f>
        <v/>
      </c>
      <c r="E203" s="19">
        <f>C203+D203</f>
        <v/>
      </c>
      <c r="F203" s="20">
        <f>DATA!C203</f>
        <v/>
      </c>
      <c r="G203" s="20">
        <f>DATA!G203</f>
        <v/>
      </c>
      <c r="H203" s="19">
        <f>C203*(1+F203)</f>
        <v/>
      </c>
      <c r="I203" s="19">
        <f>D203*(1+G203)</f>
        <v/>
      </c>
      <c r="J203" s="19">
        <f>H203+I203</f>
        <v/>
      </c>
      <c r="K203" s="19">
        <f>IF(AND(CONFIG!$B$11="Annual",MONTH(A203)=7),J203*CONFIG!$B$6/12,K202)</f>
        <v/>
      </c>
      <c r="L203" s="19">
        <f>IF(J203=0,0,H203-K203*H203/J203)</f>
        <v/>
      </c>
      <c r="M203" s="19">
        <f>IF(J203=0,0,I203-K203*I203/J203)</f>
        <v/>
      </c>
      <c r="O203" s="18">
        <f>DATA!A203</f>
        <v/>
      </c>
      <c r="P203">
        <f>DATA!B203</f>
        <v/>
      </c>
      <c r="Q203" s="19">
        <f>Z202</f>
        <v/>
      </c>
      <c r="R203" s="19">
        <f>AA202</f>
        <v/>
      </c>
      <c r="S203" s="19">
        <f>Q203+R203</f>
        <v/>
      </c>
      <c r="T203" s="20">
        <f>DATA!D203</f>
        <v/>
      </c>
      <c r="U203" s="20">
        <f>DATA!G203</f>
        <v/>
      </c>
      <c r="V203" s="19">
        <f>Q203*(1+T203)</f>
        <v/>
      </c>
      <c r="W203" s="19">
        <f>R203*(1+U203)</f>
        <v/>
      </c>
      <c r="X203" s="19">
        <f>V203+W203</f>
        <v/>
      </c>
      <c r="Y203" s="19">
        <f>IF(AND(CONFIG!$B$11="Annual",MONTH(O203)=7),X203*CONFIG!$B$6/12,Y202)</f>
        <v/>
      </c>
      <c r="Z203" s="19">
        <f>IF(X203=0,0,V203-Y203*V203/X203)</f>
        <v/>
      </c>
      <c r="AA203" s="19">
        <f>IF(X203=0,0,W203-Y203*W203/X203)</f>
        <v/>
      </c>
      <c r="AC203" s="18">
        <f>DATA!A203</f>
        <v/>
      </c>
      <c r="AD203">
        <f>DATA!B203</f>
        <v/>
      </c>
      <c r="AE203" s="19">
        <f>AN202</f>
        <v/>
      </c>
      <c r="AF203" s="19">
        <f>AO202</f>
        <v/>
      </c>
      <c r="AG203" s="19">
        <f>AE203+AF203</f>
        <v/>
      </c>
      <c r="AH203" s="20">
        <f>DATA!E203</f>
        <v/>
      </c>
      <c r="AI203" s="20">
        <f>DATA!G203</f>
        <v/>
      </c>
      <c r="AJ203" s="19">
        <f>AE203*(1+AH203)</f>
        <v/>
      </c>
      <c r="AK203" s="19">
        <f>AF203*(1+AI203)</f>
        <v/>
      </c>
      <c r="AL203" s="19">
        <f>AJ203+AK203</f>
        <v/>
      </c>
      <c r="AM203" s="19">
        <f>IF(AND(CONFIG!$B$11="Annual",MONTH(AC203)=7),AL203*CONFIG!$B$6/12,AM202)</f>
        <v/>
      </c>
      <c r="AN203" s="19">
        <f>IF(AL203=0,0,AJ203-AM203*AJ203/AL203)</f>
        <v/>
      </c>
      <c r="AO203" s="19">
        <f>IF(AL203=0,0,AK203-AM203*AK203/AL203)</f>
        <v/>
      </c>
    </row>
    <row r="204">
      <c r="A204" s="18">
        <f>DATA!A204</f>
        <v/>
      </c>
      <c r="B204">
        <f>DATA!B204</f>
        <v/>
      </c>
      <c r="C204" s="19">
        <f>L203</f>
        <v/>
      </c>
      <c r="D204" s="19">
        <f>M203</f>
        <v/>
      </c>
      <c r="E204" s="19">
        <f>C204+D204</f>
        <v/>
      </c>
      <c r="F204" s="20">
        <f>DATA!C204</f>
        <v/>
      </c>
      <c r="G204" s="20">
        <f>DATA!G204</f>
        <v/>
      </c>
      <c r="H204" s="19">
        <f>C204*(1+F204)</f>
        <v/>
      </c>
      <c r="I204" s="19">
        <f>D204*(1+G204)</f>
        <v/>
      </c>
      <c r="J204" s="19">
        <f>H204+I204</f>
        <v/>
      </c>
      <c r="K204" s="19">
        <f>IF(AND(CONFIG!$B$11="Annual",MONTH(A204)=7),J204*CONFIG!$B$6/12,K203)</f>
        <v/>
      </c>
      <c r="L204" s="19">
        <f>IF(J204=0,0,H204-K204*H204/J204)</f>
        <v/>
      </c>
      <c r="M204" s="19">
        <f>IF(J204=0,0,I204-K204*I204/J204)</f>
        <v/>
      </c>
      <c r="O204" s="18">
        <f>DATA!A204</f>
        <v/>
      </c>
      <c r="P204">
        <f>DATA!B204</f>
        <v/>
      </c>
      <c r="Q204" s="19">
        <f>Z203</f>
        <v/>
      </c>
      <c r="R204" s="19">
        <f>AA203</f>
        <v/>
      </c>
      <c r="S204" s="19">
        <f>Q204+R204</f>
        <v/>
      </c>
      <c r="T204" s="20">
        <f>DATA!D204</f>
        <v/>
      </c>
      <c r="U204" s="20">
        <f>DATA!G204</f>
        <v/>
      </c>
      <c r="V204" s="19">
        <f>Q204*(1+T204)</f>
        <v/>
      </c>
      <c r="W204" s="19">
        <f>R204*(1+U204)</f>
        <v/>
      </c>
      <c r="X204" s="19">
        <f>V204+W204</f>
        <v/>
      </c>
      <c r="Y204" s="19">
        <f>IF(AND(CONFIG!$B$11="Annual",MONTH(O204)=7),X204*CONFIG!$B$6/12,Y203)</f>
        <v/>
      </c>
      <c r="Z204" s="19">
        <f>IF(X204=0,0,V204-Y204*V204/X204)</f>
        <v/>
      </c>
      <c r="AA204" s="19">
        <f>IF(X204=0,0,W204-Y204*W204/X204)</f>
        <v/>
      </c>
      <c r="AC204" s="18">
        <f>DATA!A204</f>
        <v/>
      </c>
      <c r="AD204">
        <f>DATA!B204</f>
        <v/>
      </c>
      <c r="AE204" s="19">
        <f>AN203</f>
        <v/>
      </c>
      <c r="AF204" s="19">
        <f>AO203</f>
        <v/>
      </c>
      <c r="AG204" s="19">
        <f>AE204+AF204</f>
        <v/>
      </c>
      <c r="AH204" s="20">
        <f>DATA!E204</f>
        <v/>
      </c>
      <c r="AI204" s="20">
        <f>DATA!G204</f>
        <v/>
      </c>
      <c r="AJ204" s="19">
        <f>AE204*(1+AH204)</f>
        <v/>
      </c>
      <c r="AK204" s="19">
        <f>AF204*(1+AI204)</f>
        <v/>
      </c>
      <c r="AL204" s="19">
        <f>AJ204+AK204</f>
        <v/>
      </c>
      <c r="AM204" s="19">
        <f>IF(AND(CONFIG!$B$11="Annual",MONTH(AC204)=7),AL204*CONFIG!$B$6/12,AM203)</f>
        <v/>
      </c>
      <c r="AN204" s="19">
        <f>IF(AL204=0,0,AJ204-AM204*AJ204/AL204)</f>
        <v/>
      </c>
      <c r="AO204" s="19">
        <f>IF(AL204=0,0,AK204-AM204*AK204/AL204)</f>
        <v/>
      </c>
    </row>
    <row r="205">
      <c r="A205" s="18">
        <f>DATA!A205</f>
        <v/>
      </c>
      <c r="B205">
        <f>DATA!B205</f>
        <v/>
      </c>
      <c r="C205" s="19">
        <f>L204</f>
        <v/>
      </c>
      <c r="D205" s="19">
        <f>M204</f>
        <v/>
      </c>
      <c r="E205" s="19">
        <f>C205+D205</f>
        <v/>
      </c>
      <c r="F205" s="20">
        <f>DATA!C205</f>
        <v/>
      </c>
      <c r="G205" s="20">
        <f>DATA!G205</f>
        <v/>
      </c>
      <c r="H205" s="19">
        <f>C205*(1+F205)</f>
        <v/>
      </c>
      <c r="I205" s="19">
        <f>D205*(1+G205)</f>
        <v/>
      </c>
      <c r="J205" s="19">
        <f>H205+I205</f>
        <v/>
      </c>
      <c r="K205" s="19">
        <f>IF(AND(CONFIG!$B$11="Annual",MONTH(A205)=7),J205*CONFIG!$B$6/12,K204)</f>
        <v/>
      </c>
      <c r="L205" s="19">
        <f>IF(J205=0,0,H205-K205*H205/J205)</f>
        <v/>
      </c>
      <c r="M205" s="19">
        <f>IF(J205=0,0,I205-K205*I205/J205)</f>
        <v/>
      </c>
      <c r="O205" s="18">
        <f>DATA!A205</f>
        <v/>
      </c>
      <c r="P205">
        <f>DATA!B205</f>
        <v/>
      </c>
      <c r="Q205" s="19">
        <f>Z204</f>
        <v/>
      </c>
      <c r="R205" s="19">
        <f>AA204</f>
        <v/>
      </c>
      <c r="S205" s="19">
        <f>Q205+R205</f>
        <v/>
      </c>
      <c r="T205" s="20">
        <f>DATA!D205</f>
        <v/>
      </c>
      <c r="U205" s="20">
        <f>DATA!G205</f>
        <v/>
      </c>
      <c r="V205" s="19">
        <f>Q205*(1+T205)</f>
        <v/>
      </c>
      <c r="W205" s="19">
        <f>R205*(1+U205)</f>
        <v/>
      </c>
      <c r="X205" s="19">
        <f>V205+W205</f>
        <v/>
      </c>
      <c r="Y205" s="19">
        <f>IF(AND(CONFIG!$B$11="Annual",MONTH(O205)=7),X205*CONFIG!$B$6/12,Y204)</f>
        <v/>
      </c>
      <c r="Z205" s="19">
        <f>IF(X205=0,0,V205-Y205*V205/X205)</f>
        <v/>
      </c>
      <c r="AA205" s="19">
        <f>IF(X205=0,0,W205-Y205*W205/X205)</f>
        <v/>
      </c>
      <c r="AC205" s="18">
        <f>DATA!A205</f>
        <v/>
      </c>
      <c r="AD205">
        <f>DATA!B205</f>
        <v/>
      </c>
      <c r="AE205" s="19">
        <f>AN204</f>
        <v/>
      </c>
      <c r="AF205" s="19">
        <f>AO204</f>
        <v/>
      </c>
      <c r="AG205" s="19">
        <f>AE205+AF205</f>
        <v/>
      </c>
      <c r="AH205" s="20">
        <f>DATA!E205</f>
        <v/>
      </c>
      <c r="AI205" s="20">
        <f>DATA!G205</f>
        <v/>
      </c>
      <c r="AJ205" s="19">
        <f>AE205*(1+AH205)</f>
        <v/>
      </c>
      <c r="AK205" s="19">
        <f>AF205*(1+AI205)</f>
        <v/>
      </c>
      <c r="AL205" s="19">
        <f>AJ205+AK205</f>
        <v/>
      </c>
      <c r="AM205" s="19">
        <f>IF(AND(CONFIG!$B$11="Annual",MONTH(AC205)=7),AL205*CONFIG!$B$6/12,AM204)</f>
        <v/>
      </c>
      <c r="AN205" s="19">
        <f>IF(AL205=0,0,AJ205-AM205*AJ205/AL205)</f>
        <v/>
      </c>
      <c r="AO205" s="19">
        <f>IF(AL205=0,0,AK205-AM205*AK205/AL205)</f>
        <v/>
      </c>
    </row>
    <row r="206">
      <c r="A206" s="18">
        <f>DATA!A206</f>
        <v/>
      </c>
      <c r="B206">
        <f>DATA!B206</f>
        <v/>
      </c>
      <c r="C206" s="19">
        <f>L205</f>
        <v/>
      </c>
      <c r="D206" s="19">
        <f>M205</f>
        <v/>
      </c>
      <c r="E206" s="19">
        <f>C206+D206</f>
        <v/>
      </c>
      <c r="F206" s="20">
        <f>DATA!C206</f>
        <v/>
      </c>
      <c r="G206" s="20">
        <f>DATA!G206</f>
        <v/>
      </c>
      <c r="H206" s="19">
        <f>C206*(1+F206)</f>
        <v/>
      </c>
      <c r="I206" s="19">
        <f>D206*(1+G206)</f>
        <v/>
      </c>
      <c r="J206" s="19">
        <f>H206+I206</f>
        <v/>
      </c>
      <c r="K206" s="19">
        <f>IF(AND(CONFIG!$B$11="Annual",MONTH(A206)=7),J206*CONFIG!$B$6/12,K205)</f>
        <v/>
      </c>
      <c r="L206" s="19">
        <f>IF(J206=0,0,H206-K206*H206/J206)</f>
        <v/>
      </c>
      <c r="M206" s="19">
        <f>IF(J206=0,0,I206-K206*I206/J206)</f>
        <v/>
      </c>
      <c r="O206" s="18">
        <f>DATA!A206</f>
        <v/>
      </c>
      <c r="P206">
        <f>DATA!B206</f>
        <v/>
      </c>
      <c r="Q206" s="19">
        <f>Z205</f>
        <v/>
      </c>
      <c r="R206" s="19">
        <f>AA205</f>
        <v/>
      </c>
      <c r="S206" s="19">
        <f>Q206+R206</f>
        <v/>
      </c>
      <c r="T206" s="20">
        <f>DATA!D206</f>
        <v/>
      </c>
      <c r="U206" s="20">
        <f>DATA!G206</f>
        <v/>
      </c>
      <c r="V206" s="19">
        <f>Q206*(1+T206)</f>
        <v/>
      </c>
      <c r="W206" s="19">
        <f>R206*(1+U206)</f>
        <v/>
      </c>
      <c r="X206" s="19">
        <f>V206+W206</f>
        <v/>
      </c>
      <c r="Y206" s="19">
        <f>IF(AND(CONFIG!$B$11="Annual",MONTH(O206)=7),X206*CONFIG!$B$6/12,Y205)</f>
        <v/>
      </c>
      <c r="Z206" s="19">
        <f>IF(X206=0,0,V206-Y206*V206/X206)</f>
        <v/>
      </c>
      <c r="AA206" s="19">
        <f>IF(X206=0,0,W206-Y206*W206/X206)</f>
        <v/>
      </c>
      <c r="AC206" s="18">
        <f>DATA!A206</f>
        <v/>
      </c>
      <c r="AD206">
        <f>DATA!B206</f>
        <v/>
      </c>
      <c r="AE206" s="19">
        <f>AN205</f>
        <v/>
      </c>
      <c r="AF206" s="19">
        <f>AO205</f>
        <v/>
      </c>
      <c r="AG206" s="19">
        <f>AE206+AF206</f>
        <v/>
      </c>
      <c r="AH206" s="20">
        <f>DATA!E206</f>
        <v/>
      </c>
      <c r="AI206" s="20">
        <f>DATA!G206</f>
        <v/>
      </c>
      <c r="AJ206" s="19">
        <f>AE206*(1+AH206)</f>
        <v/>
      </c>
      <c r="AK206" s="19">
        <f>AF206*(1+AI206)</f>
        <v/>
      </c>
      <c r="AL206" s="19">
        <f>AJ206+AK206</f>
        <v/>
      </c>
      <c r="AM206" s="19">
        <f>IF(AND(CONFIG!$B$11="Annual",MONTH(AC206)=7),AL206*CONFIG!$B$6/12,AM205)</f>
        <v/>
      </c>
      <c r="AN206" s="19">
        <f>IF(AL206=0,0,AJ206-AM206*AJ206/AL206)</f>
        <v/>
      </c>
      <c r="AO206" s="19">
        <f>IF(AL206=0,0,AK206-AM206*AK206/AL206)</f>
        <v/>
      </c>
    </row>
    <row r="207">
      <c r="A207" s="18">
        <f>DATA!A207</f>
        <v/>
      </c>
      <c r="B207">
        <f>DATA!B207</f>
        <v/>
      </c>
      <c r="C207" s="19">
        <f>L206</f>
        <v/>
      </c>
      <c r="D207" s="19">
        <f>M206</f>
        <v/>
      </c>
      <c r="E207" s="19">
        <f>C207+D207</f>
        <v/>
      </c>
      <c r="F207" s="20">
        <f>DATA!C207</f>
        <v/>
      </c>
      <c r="G207" s="20">
        <f>DATA!G207</f>
        <v/>
      </c>
      <c r="H207" s="19">
        <f>C207*(1+F207)</f>
        <v/>
      </c>
      <c r="I207" s="19">
        <f>D207*(1+G207)</f>
        <v/>
      </c>
      <c r="J207" s="19">
        <f>H207+I207</f>
        <v/>
      </c>
      <c r="K207" s="19">
        <f>IF(AND(CONFIG!$B$11="Annual",MONTH(A207)=7),J207*CONFIG!$B$6/12,K206)</f>
        <v/>
      </c>
      <c r="L207" s="19">
        <f>IF(J207=0,0,H207-K207*H207/J207)</f>
        <v/>
      </c>
      <c r="M207" s="19">
        <f>IF(J207=0,0,I207-K207*I207/J207)</f>
        <v/>
      </c>
      <c r="O207" s="18">
        <f>DATA!A207</f>
        <v/>
      </c>
      <c r="P207">
        <f>DATA!B207</f>
        <v/>
      </c>
      <c r="Q207" s="19">
        <f>Z206</f>
        <v/>
      </c>
      <c r="R207" s="19">
        <f>AA206</f>
        <v/>
      </c>
      <c r="S207" s="19">
        <f>Q207+R207</f>
        <v/>
      </c>
      <c r="T207" s="20">
        <f>DATA!D207</f>
        <v/>
      </c>
      <c r="U207" s="20">
        <f>DATA!G207</f>
        <v/>
      </c>
      <c r="V207" s="19">
        <f>Q207*(1+T207)</f>
        <v/>
      </c>
      <c r="W207" s="19">
        <f>R207*(1+U207)</f>
        <v/>
      </c>
      <c r="X207" s="19">
        <f>V207+W207</f>
        <v/>
      </c>
      <c r="Y207" s="19">
        <f>IF(AND(CONFIG!$B$11="Annual",MONTH(O207)=7),X207*CONFIG!$B$6/12,Y206)</f>
        <v/>
      </c>
      <c r="Z207" s="19">
        <f>IF(X207=0,0,V207-Y207*V207/X207)</f>
        <v/>
      </c>
      <c r="AA207" s="19">
        <f>IF(X207=0,0,W207-Y207*W207/X207)</f>
        <v/>
      </c>
      <c r="AC207" s="18">
        <f>DATA!A207</f>
        <v/>
      </c>
      <c r="AD207">
        <f>DATA!B207</f>
        <v/>
      </c>
      <c r="AE207" s="19">
        <f>AN206</f>
        <v/>
      </c>
      <c r="AF207" s="19">
        <f>AO206</f>
        <v/>
      </c>
      <c r="AG207" s="19">
        <f>AE207+AF207</f>
        <v/>
      </c>
      <c r="AH207" s="20">
        <f>DATA!E207</f>
        <v/>
      </c>
      <c r="AI207" s="20">
        <f>DATA!G207</f>
        <v/>
      </c>
      <c r="AJ207" s="19">
        <f>AE207*(1+AH207)</f>
        <v/>
      </c>
      <c r="AK207" s="19">
        <f>AF207*(1+AI207)</f>
        <v/>
      </c>
      <c r="AL207" s="19">
        <f>AJ207+AK207</f>
        <v/>
      </c>
      <c r="AM207" s="19">
        <f>IF(AND(CONFIG!$B$11="Annual",MONTH(AC207)=7),AL207*CONFIG!$B$6/12,AM206)</f>
        <v/>
      </c>
      <c r="AN207" s="19">
        <f>IF(AL207=0,0,AJ207-AM207*AJ207/AL207)</f>
        <v/>
      </c>
      <c r="AO207" s="19">
        <f>IF(AL207=0,0,AK207-AM207*AK207/AL207)</f>
        <v/>
      </c>
    </row>
    <row r="208">
      <c r="A208" s="18">
        <f>DATA!A208</f>
        <v/>
      </c>
      <c r="B208">
        <f>DATA!B208</f>
        <v/>
      </c>
      <c r="C208" s="19">
        <f>L207</f>
        <v/>
      </c>
      <c r="D208" s="19">
        <f>M207</f>
        <v/>
      </c>
      <c r="E208" s="19">
        <f>C208+D208</f>
        <v/>
      </c>
      <c r="F208" s="20">
        <f>DATA!C208</f>
        <v/>
      </c>
      <c r="G208" s="20">
        <f>DATA!G208</f>
        <v/>
      </c>
      <c r="H208" s="19">
        <f>C208*(1+F208)</f>
        <v/>
      </c>
      <c r="I208" s="19">
        <f>D208*(1+G208)</f>
        <v/>
      </c>
      <c r="J208" s="19">
        <f>H208+I208</f>
        <v/>
      </c>
      <c r="K208" s="19">
        <f>IF(AND(CONFIG!$B$11="Annual",MONTH(A208)=7),J208*CONFIG!$B$6/12,K207)</f>
        <v/>
      </c>
      <c r="L208" s="19">
        <f>IF(J208=0,0,H208-K208*H208/J208)</f>
        <v/>
      </c>
      <c r="M208" s="19">
        <f>IF(J208=0,0,I208-K208*I208/J208)</f>
        <v/>
      </c>
      <c r="O208" s="18">
        <f>DATA!A208</f>
        <v/>
      </c>
      <c r="P208">
        <f>DATA!B208</f>
        <v/>
      </c>
      <c r="Q208" s="19">
        <f>Z207</f>
        <v/>
      </c>
      <c r="R208" s="19">
        <f>AA207</f>
        <v/>
      </c>
      <c r="S208" s="19">
        <f>Q208+R208</f>
        <v/>
      </c>
      <c r="T208" s="20">
        <f>DATA!D208</f>
        <v/>
      </c>
      <c r="U208" s="20">
        <f>DATA!G208</f>
        <v/>
      </c>
      <c r="V208" s="19">
        <f>Q208*(1+T208)</f>
        <v/>
      </c>
      <c r="W208" s="19">
        <f>R208*(1+U208)</f>
        <v/>
      </c>
      <c r="X208" s="19">
        <f>V208+W208</f>
        <v/>
      </c>
      <c r="Y208" s="19">
        <f>IF(AND(CONFIG!$B$11="Annual",MONTH(O208)=7),X208*CONFIG!$B$6/12,Y207)</f>
        <v/>
      </c>
      <c r="Z208" s="19">
        <f>IF(X208=0,0,V208-Y208*V208/X208)</f>
        <v/>
      </c>
      <c r="AA208" s="19">
        <f>IF(X208=0,0,W208-Y208*W208/X208)</f>
        <v/>
      </c>
      <c r="AC208" s="18">
        <f>DATA!A208</f>
        <v/>
      </c>
      <c r="AD208">
        <f>DATA!B208</f>
        <v/>
      </c>
      <c r="AE208" s="19">
        <f>AN207</f>
        <v/>
      </c>
      <c r="AF208" s="19">
        <f>AO207</f>
        <v/>
      </c>
      <c r="AG208" s="19">
        <f>AE208+AF208</f>
        <v/>
      </c>
      <c r="AH208" s="20">
        <f>DATA!E208</f>
        <v/>
      </c>
      <c r="AI208" s="20">
        <f>DATA!G208</f>
        <v/>
      </c>
      <c r="AJ208" s="19">
        <f>AE208*(1+AH208)</f>
        <v/>
      </c>
      <c r="AK208" s="19">
        <f>AF208*(1+AI208)</f>
        <v/>
      </c>
      <c r="AL208" s="19">
        <f>AJ208+AK208</f>
        <v/>
      </c>
      <c r="AM208" s="19">
        <f>IF(AND(CONFIG!$B$11="Annual",MONTH(AC208)=7),AL208*CONFIG!$B$6/12,AM207)</f>
        <v/>
      </c>
      <c r="AN208" s="19">
        <f>IF(AL208=0,0,AJ208-AM208*AJ208/AL208)</f>
        <v/>
      </c>
      <c r="AO208" s="19">
        <f>IF(AL208=0,0,AK208-AM208*AK208/AL208)</f>
        <v/>
      </c>
    </row>
    <row r="209">
      <c r="A209" s="18">
        <f>DATA!A209</f>
        <v/>
      </c>
      <c r="B209">
        <f>DATA!B209</f>
        <v/>
      </c>
      <c r="C209" s="19">
        <f>L208</f>
        <v/>
      </c>
      <c r="D209" s="19">
        <f>M208</f>
        <v/>
      </c>
      <c r="E209" s="19">
        <f>C209+D209</f>
        <v/>
      </c>
      <c r="F209" s="20">
        <f>DATA!C209</f>
        <v/>
      </c>
      <c r="G209" s="20">
        <f>DATA!G209</f>
        <v/>
      </c>
      <c r="H209" s="19">
        <f>C209*(1+F209)</f>
        <v/>
      </c>
      <c r="I209" s="19">
        <f>D209*(1+G209)</f>
        <v/>
      </c>
      <c r="J209" s="19">
        <f>H209+I209</f>
        <v/>
      </c>
      <c r="K209" s="19">
        <f>IF(AND(CONFIG!$B$11="Annual",MONTH(A209)=7),J209*CONFIG!$B$6/12,K208)</f>
        <v/>
      </c>
      <c r="L209" s="19">
        <f>IF(J209=0,0,H209-K209*H209/J209)</f>
        <v/>
      </c>
      <c r="M209" s="19">
        <f>IF(J209=0,0,I209-K209*I209/J209)</f>
        <v/>
      </c>
      <c r="O209" s="18">
        <f>DATA!A209</f>
        <v/>
      </c>
      <c r="P209">
        <f>DATA!B209</f>
        <v/>
      </c>
      <c r="Q209" s="19">
        <f>Z208</f>
        <v/>
      </c>
      <c r="R209" s="19">
        <f>AA208</f>
        <v/>
      </c>
      <c r="S209" s="19">
        <f>Q209+R209</f>
        <v/>
      </c>
      <c r="T209" s="20">
        <f>DATA!D209</f>
        <v/>
      </c>
      <c r="U209" s="20">
        <f>DATA!G209</f>
        <v/>
      </c>
      <c r="V209" s="19">
        <f>Q209*(1+T209)</f>
        <v/>
      </c>
      <c r="W209" s="19">
        <f>R209*(1+U209)</f>
        <v/>
      </c>
      <c r="X209" s="19">
        <f>V209+W209</f>
        <v/>
      </c>
      <c r="Y209" s="19">
        <f>IF(AND(CONFIG!$B$11="Annual",MONTH(O209)=7),X209*CONFIG!$B$6/12,Y208)</f>
        <v/>
      </c>
      <c r="Z209" s="19">
        <f>IF(X209=0,0,V209-Y209*V209/X209)</f>
        <v/>
      </c>
      <c r="AA209" s="19">
        <f>IF(X209=0,0,W209-Y209*W209/X209)</f>
        <v/>
      </c>
      <c r="AC209" s="18">
        <f>DATA!A209</f>
        <v/>
      </c>
      <c r="AD209">
        <f>DATA!B209</f>
        <v/>
      </c>
      <c r="AE209" s="19">
        <f>AN208</f>
        <v/>
      </c>
      <c r="AF209" s="19">
        <f>AO208</f>
        <v/>
      </c>
      <c r="AG209" s="19">
        <f>AE209+AF209</f>
        <v/>
      </c>
      <c r="AH209" s="20">
        <f>DATA!E209</f>
        <v/>
      </c>
      <c r="AI209" s="20">
        <f>DATA!G209</f>
        <v/>
      </c>
      <c r="AJ209" s="19">
        <f>AE209*(1+AH209)</f>
        <v/>
      </c>
      <c r="AK209" s="19">
        <f>AF209*(1+AI209)</f>
        <v/>
      </c>
      <c r="AL209" s="19">
        <f>AJ209+AK209</f>
        <v/>
      </c>
      <c r="AM209" s="19">
        <f>IF(AND(CONFIG!$B$11="Annual",MONTH(AC209)=7),AL209*CONFIG!$B$6/12,AM208)</f>
        <v/>
      </c>
      <c r="AN209" s="19">
        <f>IF(AL209=0,0,AJ209-AM209*AJ209/AL209)</f>
        <v/>
      </c>
      <c r="AO209" s="19">
        <f>IF(AL209=0,0,AK209-AM209*AK209/AL209)</f>
        <v/>
      </c>
    </row>
    <row r="210">
      <c r="A210" s="18">
        <f>DATA!A210</f>
        <v/>
      </c>
      <c r="B210">
        <f>DATA!B210</f>
        <v/>
      </c>
      <c r="C210" s="19">
        <f>L209</f>
        <v/>
      </c>
      <c r="D210" s="19">
        <f>M209</f>
        <v/>
      </c>
      <c r="E210" s="19">
        <f>C210+D210</f>
        <v/>
      </c>
      <c r="F210" s="20">
        <f>DATA!C210</f>
        <v/>
      </c>
      <c r="G210" s="20">
        <f>DATA!G210</f>
        <v/>
      </c>
      <c r="H210" s="19">
        <f>C210*(1+F210)</f>
        <v/>
      </c>
      <c r="I210" s="19">
        <f>D210*(1+G210)</f>
        <v/>
      </c>
      <c r="J210" s="19">
        <f>H210+I210</f>
        <v/>
      </c>
      <c r="K210" s="19">
        <f>IF(AND(CONFIG!$B$11="Annual",MONTH(A210)=7),J210*CONFIG!$B$6/12,K209)</f>
        <v/>
      </c>
      <c r="L210" s="19">
        <f>IF(J210=0,0,H210-K210*H210/J210)</f>
        <v/>
      </c>
      <c r="M210" s="19">
        <f>IF(J210=0,0,I210-K210*I210/J210)</f>
        <v/>
      </c>
      <c r="O210" s="18">
        <f>DATA!A210</f>
        <v/>
      </c>
      <c r="P210">
        <f>DATA!B210</f>
        <v/>
      </c>
      <c r="Q210" s="19">
        <f>Z209</f>
        <v/>
      </c>
      <c r="R210" s="19">
        <f>AA209</f>
        <v/>
      </c>
      <c r="S210" s="19">
        <f>Q210+R210</f>
        <v/>
      </c>
      <c r="T210" s="20">
        <f>DATA!D210</f>
        <v/>
      </c>
      <c r="U210" s="20">
        <f>DATA!G210</f>
        <v/>
      </c>
      <c r="V210" s="19">
        <f>Q210*(1+T210)</f>
        <v/>
      </c>
      <c r="W210" s="19">
        <f>R210*(1+U210)</f>
        <v/>
      </c>
      <c r="X210" s="19">
        <f>V210+W210</f>
        <v/>
      </c>
      <c r="Y210" s="19">
        <f>IF(AND(CONFIG!$B$11="Annual",MONTH(O210)=7),X210*CONFIG!$B$6/12,Y209)</f>
        <v/>
      </c>
      <c r="Z210" s="19">
        <f>IF(X210=0,0,V210-Y210*V210/X210)</f>
        <v/>
      </c>
      <c r="AA210" s="19">
        <f>IF(X210=0,0,W210-Y210*W210/X210)</f>
        <v/>
      </c>
      <c r="AC210" s="18">
        <f>DATA!A210</f>
        <v/>
      </c>
      <c r="AD210">
        <f>DATA!B210</f>
        <v/>
      </c>
      <c r="AE210" s="19">
        <f>AN209</f>
        <v/>
      </c>
      <c r="AF210" s="19">
        <f>AO209</f>
        <v/>
      </c>
      <c r="AG210" s="19">
        <f>AE210+AF210</f>
        <v/>
      </c>
      <c r="AH210" s="20">
        <f>DATA!E210</f>
        <v/>
      </c>
      <c r="AI210" s="20">
        <f>DATA!G210</f>
        <v/>
      </c>
      <c r="AJ210" s="19">
        <f>AE210*(1+AH210)</f>
        <v/>
      </c>
      <c r="AK210" s="19">
        <f>AF210*(1+AI210)</f>
        <v/>
      </c>
      <c r="AL210" s="19">
        <f>AJ210+AK210</f>
        <v/>
      </c>
      <c r="AM210" s="19">
        <f>IF(AND(CONFIG!$B$11="Annual",MONTH(AC210)=7),AL210*CONFIG!$B$6/12,AM209)</f>
        <v/>
      </c>
      <c r="AN210" s="19">
        <f>IF(AL210=0,0,AJ210-AM210*AJ210/AL210)</f>
        <v/>
      </c>
      <c r="AO210" s="19">
        <f>IF(AL210=0,0,AK210-AM210*AK210/AL210)</f>
        <v/>
      </c>
    </row>
    <row r="211">
      <c r="A211" s="18">
        <f>DATA!A211</f>
        <v/>
      </c>
      <c r="B211">
        <f>DATA!B211</f>
        <v/>
      </c>
      <c r="C211" s="19">
        <f>L210</f>
        <v/>
      </c>
      <c r="D211" s="19">
        <f>M210</f>
        <v/>
      </c>
      <c r="E211" s="19">
        <f>C211+D211</f>
        <v/>
      </c>
      <c r="F211" s="20">
        <f>DATA!C211</f>
        <v/>
      </c>
      <c r="G211" s="20">
        <f>DATA!G211</f>
        <v/>
      </c>
      <c r="H211" s="19">
        <f>C211*(1+F211)</f>
        <v/>
      </c>
      <c r="I211" s="19">
        <f>D211*(1+G211)</f>
        <v/>
      </c>
      <c r="J211" s="19">
        <f>H211+I211</f>
        <v/>
      </c>
      <c r="K211" s="19">
        <f>IF(AND(CONFIG!$B$11="Annual",MONTH(A211)=7),J211*CONFIG!$B$6/12,K210)</f>
        <v/>
      </c>
      <c r="L211" s="19">
        <f>IF(J211=0,0,H211-K211*H211/J211)</f>
        <v/>
      </c>
      <c r="M211" s="19">
        <f>IF(J211=0,0,I211-K211*I211/J211)</f>
        <v/>
      </c>
      <c r="O211" s="18">
        <f>DATA!A211</f>
        <v/>
      </c>
      <c r="P211">
        <f>DATA!B211</f>
        <v/>
      </c>
      <c r="Q211" s="19">
        <f>Z210</f>
        <v/>
      </c>
      <c r="R211" s="19">
        <f>AA210</f>
        <v/>
      </c>
      <c r="S211" s="19">
        <f>Q211+R211</f>
        <v/>
      </c>
      <c r="T211" s="20">
        <f>DATA!D211</f>
        <v/>
      </c>
      <c r="U211" s="20">
        <f>DATA!G211</f>
        <v/>
      </c>
      <c r="V211" s="19">
        <f>Q211*(1+T211)</f>
        <v/>
      </c>
      <c r="W211" s="19">
        <f>R211*(1+U211)</f>
        <v/>
      </c>
      <c r="X211" s="19">
        <f>V211+W211</f>
        <v/>
      </c>
      <c r="Y211" s="19">
        <f>IF(AND(CONFIG!$B$11="Annual",MONTH(O211)=7),X211*CONFIG!$B$6/12,Y210)</f>
        <v/>
      </c>
      <c r="Z211" s="19">
        <f>IF(X211=0,0,V211-Y211*V211/X211)</f>
        <v/>
      </c>
      <c r="AA211" s="19">
        <f>IF(X211=0,0,W211-Y211*W211/X211)</f>
        <v/>
      </c>
      <c r="AC211" s="18">
        <f>DATA!A211</f>
        <v/>
      </c>
      <c r="AD211">
        <f>DATA!B211</f>
        <v/>
      </c>
      <c r="AE211" s="19">
        <f>AN210</f>
        <v/>
      </c>
      <c r="AF211" s="19">
        <f>AO210</f>
        <v/>
      </c>
      <c r="AG211" s="19">
        <f>AE211+AF211</f>
        <v/>
      </c>
      <c r="AH211" s="20">
        <f>DATA!E211</f>
        <v/>
      </c>
      <c r="AI211" s="20">
        <f>DATA!G211</f>
        <v/>
      </c>
      <c r="AJ211" s="19">
        <f>AE211*(1+AH211)</f>
        <v/>
      </c>
      <c r="AK211" s="19">
        <f>AF211*(1+AI211)</f>
        <v/>
      </c>
      <c r="AL211" s="19">
        <f>AJ211+AK211</f>
        <v/>
      </c>
      <c r="AM211" s="19">
        <f>IF(AND(CONFIG!$B$11="Annual",MONTH(AC211)=7),AL211*CONFIG!$B$6/12,AM210)</f>
        <v/>
      </c>
      <c r="AN211" s="19">
        <f>IF(AL211=0,0,AJ211-AM211*AJ211/AL211)</f>
        <v/>
      </c>
      <c r="AO211" s="19">
        <f>IF(AL211=0,0,AK211-AM211*AK211/AL211)</f>
        <v/>
      </c>
    </row>
    <row r="212">
      <c r="A212" s="18">
        <f>DATA!A212</f>
        <v/>
      </c>
      <c r="B212">
        <f>DATA!B212</f>
        <v/>
      </c>
      <c r="C212" s="19">
        <f>L211</f>
        <v/>
      </c>
      <c r="D212" s="19">
        <f>M211</f>
        <v/>
      </c>
      <c r="E212" s="19">
        <f>C212+D212</f>
        <v/>
      </c>
      <c r="F212" s="20">
        <f>DATA!C212</f>
        <v/>
      </c>
      <c r="G212" s="20">
        <f>DATA!G212</f>
        <v/>
      </c>
      <c r="H212" s="19">
        <f>C212*(1+F212)</f>
        <v/>
      </c>
      <c r="I212" s="19">
        <f>D212*(1+G212)</f>
        <v/>
      </c>
      <c r="J212" s="19">
        <f>H212+I212</f>
        <v/>
      </c>
      <c r="K212" s="19">
        <f>IF(AND(CONFIG!$B$11="Annual",MONTH(A212)=7),J212*CONFIG!$B$6/12,K211)</f>
        <v/>
      </c>
      <c r="L212" s="19">
        <f>IF(J212=0,0,H212-K212*H212/J212)</f>
        <v/>
      </c>
      <c r="M212" s="19">
        <f>IF(J212=0,0,I212-K212*I212/J212)</f>
        <v/>
      </c>
      <c r="O212" s="18">
        <f>DATA!A212</f>
        <v/>
      </c>
      <c r="P212">
        <f>DATA!B212</f>
        <v/>
      </c>
      <c r="Q212" s="19">
        <f>Z211</f>
        <v/>
      </c>
      <c r="R212" s="19">
        <f>AA211</f>
        <v/>
      </c>
      <c r="S212" s="19">
        <f>Q212+R212</f>
        <v/>
      </c>
      <c r="T212" s="20">
        <f>DATA!D212</f>
        <v/>
      </c>
      <c r="U212" s="20">
        <f>DATA!G212</f>
        <v/>
      </c>
      <c r="V212" s="19">
        <f>Q212*(1+T212)</f>
        <v/>
      </c>
      <c r="W212" s="19">
        <f>R212*(1+U212)</f>
        <v/>
      </c>
      <c r="X212" s="19">
        <f>V212+W212</f>
        <v/>
      </c>
      <c r="Y212" s="19">
        <f>IF(AND(CONFIG!$B$11="Annual",MONTH(O212)=7),X212*CONFIG!$B$6/12,Y211)</f>
        <v/>
      </c>
      <c r="Z212" s="19">
        <f>IF(X212=0,0,V212-Y212*V212/X212)</f>
        <v/>
      </c>
      <c r="AA212" s="19">
        <f>IF(X212=0,0,W212-Y212*W212/X212)</f>
        <v/>
      </c>
      <c r="AC212" s="18">
        <f>DATA!A212</f>
        <v/>
      </c>
      <c r="AD212">
        <f>DATA!B212</f>
        <v/>
      </c>
      <c r="AE212" s="19">
        <f>AN211</f>
        <v/>
      </c>
      <c r="AF212" s="19">
        <f>AO211</f>
        <v/>
      </c>
      <c r="AG212" s="19">
        <f>AE212+AF212</f>
        <v/>
      </c>
      <c r="AH212" s="20">
        <f>DATA!E212</f>
        <v/>
      </c>
      <c r="AI212" s="20">
        <f>DATA!G212</f>
        <v/>
      </c>
      <c r="AJ212" s="19">
        <f>AE212*(1+AH212)</f>
        <v/>
      </c>
      <c r="AK212" s="19">
        <f>AF212*(1+AI212)</f>
        <v/>
      </c>
      <c r="AL212" s="19">
        <f>AJ212+AK212</f>
        <v/>
      </c>
      <c r="AM212" s="19">
        <f>IF(AND(CONFIG!$B$11="Annual",MONTH(AC212)=7),AL212*CONFIG!$B$6/12,AM211)</f>
        <v/>
      </c>
      <c r="AN212" s="19">
        <f>IF(AL212=0,0,AJ212-AM212*AJ212/AL212)</f>
        <v/>
      </c>
      <c r="AO212" s="19">
        <f>IF(AL212=0,0,AK212-AM212*AK212/AL212)</f>
        <v/>
      </c>
    </row>
    <row r="213">
      <c r="A213" s="18">
        <f>DATA!A213</f>
        <v/>
      </c>
      <c r="B213">
        <f>DATA!B213</f>
        <v/>
      </c>
      <c r="C213" s="19">
        <f>L212</f>
        <v/>
      </c>
      <c r="D213" s="19">
        <f>M212</f>
        <v/>
      </c>
      <c r="E213" s="19">
        <f>C213+D213</f>
        <v/>
      </c>
      <c r="F213" s="20">
        <f>DATA!C213</f>
        <v/>
      </c>
      <c r="G213" s="20">
        <f>DATA!G213</f>
        <v/>
      </c>
      <c r="H213" s="19">
        <f>C213*(1+F213)</f>
        <v/>
      </c>
      <c r="I213" s="19">
        <f>D213*(1+G213)</f>
        <v/>
      </c>
      <c r="J213" s="19">
        <f>H213+I213</f>
        <v/>
      </c>
      <c r="K213" s="19">
        <f>IF(AND(CONFIG!$B$11="Annual",MONTH(A213)=7),J213*CONFIG!$B$6/12,K212)</f>
        <v/>
      </c>
      <c r="L213" s="19">
        <f>IF(J213=0,0,H213-K213*H213/J213)</f>
        <v/>
      </c>
      <c r="M213" s="19">
        <f>IF(J213=0,0,I213-K213*I213/J213)</f>
        <v/>
      </c>
      <c r="O213" s="18">
        <f>DATA!A213</f>
        <v/>
      </c>
      <c r="P213">
        <f>DATA!B213</f>
        <v/>
      </c>
      <c r="Q213" s="19">
        <f>Z212</f>
        <v/>
      </c>
      <c r="R213" s="19">
        <f>AA212</f>
        <v/>
      </c>
      <c r="S213" s="19">
        <f>Q213+R213</f>
        <v/>
      </c>
      <c r="T213" s="20">
        <f>DATA!D213</f>
        <v/>
      </c>
      <c r="U213" s="20">
        <f>DATA!G213</f>
        <v/>
      </c>
      <c r="V213" s="19">
        <f>Q213*(1+T213)</f>
        <v/>
      </c>
      <c r="W213" s="19">
        <f>R213*(1+U213)</f>
        <v/>
      </c>
      <c r="X213" s="19">
        <f>V213+W213</f>
        <v/>
      </c>
      <c r="Y213" s="19">
        <f>IF(AND(CONFIG!$B$11="Annual",MONTH(O213)=7),X213*CONFIG!$B$6/12,Y212)</f>
        <v/>
      </c>
      <c r="Z213" s="19">
        <f>IF(X213=0,0,V213-Y213*V213/X213)</f>
        <v/>
      </c>
      <c r="AA213" s="19">
        <f>IF(X213=0,0,W213-Y213*W213/X213)</f>
        <v/>
      </c>
      <c r="AC213" s="18">
        <f>DATA!A213</f>
        <v/>
      </c>
      <c r="AD213">
        <f>DATA!B213</f>
        <v/>
      </c>
      <c r="AE213" s="19">
        <f>AN212</f>
        <v/>
      </c>
      <c r="AF213" s="19">
        <f>AO212</f>
        <v/>
      </c>
      <c r="AG213" s="19">
        <f>AE213+AF213</f>
        <v/>
      </c>
      <c r="AH213" s="20">
        <f>DATA!E213</f>
        <v/>
      </c>
      <c r="AI213" s="20">
        <f>DATA!G213</f>
        <v/>
      </c>
      <c r="AJ213" s="19">
        <f>AE213*(1+AH213)</f>
        <v/>
      </c>
      <c r="AK213" s="19">
        <f>AF213*(1+AI213)</f>
        <v/>
      </c>
      <c r="AL213" s="19">
        <f>AJ213+AK213</f>
        <v/>
      </c>
      <c r="AM213" s="19">
        <f>IF(AND(CONFIG!$B$11="Annual",MONTH(AC213)=7),AL213*CONFIG!$B$6/12,AM212)</f>
        <v/>
      </c>
      <c r="AN213" s="19">
        <f>IF(AL213=0,0,AJ213-AM213*AJ213/AL213)</f>
        <v/>
      </c>
      <c r="AO213" s="19">
        <f>IF(AL213=0,0,AK213-AM213*AK213/AL213)</f>
        <v/>
      </c>
    </row>
    <row r="214">
      <c r="A214" s="18">
        <f>DATA!A214</f>
        <v/>
      </c>
      <c r="B214">
        <f>DATA!B214</f>
        <v/>
      </c>
      <c r="C214" s="19">
        <f>L213</f>
        <v/>
      </c>
      <c r="D214" s="19">
        <f>M213</f>
        <v/>
      </c>
      <c r="E214" s="19">
        <f>C214+D214</f>
        <v/>
      </c>
      <c r="F214" s="20">
        <f>DATA!C214</f>
        <v/>
      </c>
      <c r="G214" s="20">
        <f>DATA!G214</f>
        <v/>
      </c>
      <c r="H214" s="19">
        <f>C214*(1+F214)</f>
        <v/>
      </c>
      <c r="I214" s="19">
        <f>D214*(1+G214)</f>
        <v/>
      </c>
      <c r="J214" s="19">
        <f>H214+I214</f>
        <v/>
      </c>
      <c r="K214" s="19">
        <f>IF(AND(CONFIG!$B$11="Annual",MONTH(A214)=7),J214*CONFIG!$B$6/12,K213)</f>
        <v/>
      </c>
      <c r="L214" s="19">
        <f>IF(J214=0,0,H214-K214*H214/J214)</f>
        <v/>
      </c>
      <c r="M214" s="19">
        <f>IF(J214=0,0,I214-K214*I214/J214)</f>
        <v/>
      </c>
      <c r="O214" s="18">
        <f>DATA!A214</f>
        <v/>
      </c>
      <c r="P214">
        <f>DATA!B214</f>
        <v/>
      </c>
      <c r="Q214" s="19">
        <f>Z213</f>
        <v/>
      </c>
      <c r="R214" s="19">
        <f>AA213</f>
        <v/>
      </c>
      <c r="S214" s="19">
        <f>Q214+R214</f>
        <v/>
      </c>
      <c r="T214" s="20">
        <f>DATA!D214</f>
        <v/>
      </c>
      <c r="U214" s="20">
        <f>DATA!G214</f>
        <v/>
      </c>
      <c r="V214" s="19">
        <f>Q214*(1+T214)</f>
        <v/>
      </c>
      <c r="W214" s="19">
        <f>R214*(1+U214)</f>
        <v/>
      </c>
      <c r="X214" s="19">
        <f>V214+W214</f>
        <v/>
      </c>
      <c r="Y214" s="19">
        <f>IF(AND(CONFIG!$B$11="Annual",MONTH(O214)=7),X214*CONFIG!$B$6/12,Y213)</f>
        <v/>
      </c>
      <c r="Z214" s="19">
        <f>IF(X214=0,0,V214-Y214*V214/X214)</f>
        <v/>
      </c>
      <c r="AA214" s="19">
        <f>IF(X214=0,0,W214-Y214*W214/X214)</f>
        <v/>
      </c>
      <c r="AC214" s="18">
        <f>DATA!A214</f>
        <v/>
      </c>
      <c r="AD214">
        <f>DATA!B214</f>
        <v/>
      </c>
      <c r="AE214" s="19">
        <f>AN213</f>
        <v/>
      </c>
      <c r="AF214" s="19">
        <f>AO213</f>
        <v/>
      </c>
      <c r="AG214" s="19">
        <f>AE214+AF214</f>
        <v/>
      </c>
      <c r="AH214" s="20">
        <f>DATA!E214</f>
        <v/>
      </c>
      <c r="AI214" s="20">
        <f>DATA!G214</f>
        <v/>
      </c>
      <c r="AJ214" s="19">
        <f>AE214*(1+AH214)</f>
        <v/>
      </c>
      <c r="AK214" s="19">
        <f>AF214*(1+AI214)</f>
        <v/>
      </c>
      <c r="AL214" s="19">
        <f>AJ214+AK214</f>
        <v/>
      </c>
      <c r="AM214" s="19">
        <f>IF(AND(CONFIG!$B$11="Annual",MONTH(AC214)=7),AL214*CONFIG!$B$6/12,AM213)</f>
        <v/>
      </c>
      <c r="AN214" s="19">
        <f>IF(AL214=0,0,AJ214-AM214*AJ214/AL214)</f>
        <v/>
      </c>
      <c r="AO214" s="19">
        <f>IF(AL214=0,0,AK214-AM214*AK214/AL214)</f>
        <v/>
      </c>
    </row>
    <row r="215">
      <c r="A215" s="18">
        <f>DATA!A215</f>
        <v/>
      </c>
      <c r="B215">
        <f>DATA!B215</f>
        <v/>
      </c>
      <c r="C215" s="19">
        <f>L214</f>
        <v/>
      </c>
      <c r="D215" s="19">
        <f>M214</f>
        <v/>
      </c>
      <c r="E215" s="19">
        <f>C215+D215</f>
        <v/>
      </c>
      <c r="F215" s="20">
        <f>DATA!C215</f>
        <v/>
      </c>
      <c r="G215" s="20">
        <f>DATA!G215</f>
        <v/>
      </c>
      <c r="H215" s="19">
        <f>C215*(1+F215)</f>
        <v/>
      </c>
      <c r="I215" s="19">
        <f>D215*(1+G215)</f>
        <v/>
      </c>
      <c r="J215" s="19">
        <f>H215+I215</f>
        <v/>
      </c>
      <c r="K215" s="19">
        <f>IF(AND(CONFIG!$B$11="Annual",MONTH(A215)=7),J215*CONFIG!$B$6/12,K214)</f>
        <v/>
      </c>
      <c r="L215" s="19">
        <f>IF(J215=0,0,H215-K215*H215/J215)</f>
        <v/>
      </c>
      <c r="M215" s="19">
        <f>IF(J215=0,0,I215-K215*I215/J215)</f>
        <v/>
      </c>
      <c r="O215" s="18">
        <f>DATA!A215</f>
        <v/>
      </c>
      <c r="P215">
        <f>DATA!B215</f>
        <v/>
      </c>
      <c r="Q215" s="19">
        <f>Z214</f>
        <v/>
      </c>
      <c r="R215" s="19">
        <f>AA214</f>
        <v/>
      </c>
      <c r="S215" s="19">
        <f>Q215+R215</f>
        <v/>
      </c>
      <c r="T215" s="20">
        <f>DATA!D215</f>
        <v/>
      </c>
      <c r="U215" s="20">
        <f>DATA!G215</f>
        <v/>
      </c>
      <c r="V215" s="19">
        <f>Q215*(1+T215)</f>
        <v/>
      </c>
      <c r="W215" s="19">
        <f>R215*(1+U215)</f>
        <v/>
      </c>
      <c r="X215" s="19">
        <f>V215+W215</f>
        <v/>
      </c>
      <c r="Y215" s="19">
        <f>IF(AND(CONFIG!$B$11="Annual",MONTH(O215)=7),X215*CONFIG!$B$6/12,Y214)</f>
        <v/>
      </c>
      <c r="Z215" s="19">
        <f>IF(X215=0,0,V215-Y215*V215/X215)</f>
        <v/>
      </c>
      <c r="AA215" s="19">
        <f>IF(X215=0,0,W215-Y215*W215/X215)</f>
        <v/>
      </c>
      <c r="AC215" s="18">
        <f>DATA!A215</f>
        <v/>
      </c>
      <c r="AD215">
        <f>DATA!B215</f>
        <v/>
      </c>
      <c r="AE215" s="19">
        <f>AN214</f>
        <v/>
      </c>
      <c r="AF215" s="19">
        <f>AO214</f>
        <v/>
      </c>
      <c r="AG215" s="19">
        <f>AE215+AF215</f>
        <v/>
      </c>
      <c r="AH215" s="20">
        <f>DATA!E215</f>
        <v/>
      </c>
      <c r="AI215" s="20">
        <f>DATA!G215</f>
        <v/>
      </c>
      <c r="AJ215" s="19">
        <f>AE215*(1+AH215)</f>
        <v/>
      </c>
      <c r="AK215" s="19">
        <f>AF215*(1+AI215)</f>
        <v/>
      </c>
      <c r="AL215" s="19">
        <f>AJ215+AK215</f>
        <v/>
      </c>
      <c r="AM215" s="19">
        <f>IF(AND(CONFIG!$B$11="Annual",MONTH(AC215)=7),AL215*CONFIG!$B$6/12,AM214)</f>
        <v/>
      </c>
      <c r="AN215" s="19">
        <f>IF(AL215=0,0,AJ215-AM215*AJ215/AL215)</f>
        <v/>
      </c>
      <c r="AO215" s="19">
        <f>IF(AL215=0,0,AK215-AM215*AK215/AL215)</f>
        <v/>
      </c>
    </row>
    <row r="216">
      <c r="A216" s="18">
        <f>DATA!A216</f>
        <v/>
      </c>
      <c r="B216">
        <f>DATA!B216</f>
        <v/>
      </c>
      <c r="C216" s="19">
        <f>L215</f>
        <v/>
      </c>
      <c r="D216" s="19">
        <f>M215</f>
        <v/>
      </c>
      <c r="E216" s="19">
        <f>C216+D216</f>
        <v/>
      </c>
      <c r="F216" s="20">
        <f>DATA!C216</f>
        <v/>
      </c>
      <c r="G216" s="20">
        <f>DATA!G216</f>
        <v/>
      </c>
      <c r="H216" s="19">
        <f>C216*(1+F216)</f>
        <v/>
      </c>
      <c r="I216" s="19">
        <f>D216*(1+G216)</f>
        <v/>
      </c>
      <c r="J216" s="19">
        <f>H216+I216</f>
        <v/>
      </c>
      <c r="K216" s="19">
        <f>IF(AND(CONFIG!$B$11="Annual",MONTH(A216)=7),J216*CONFIG!$B$6/12,K215)</f>
        <v/>
      </c>
      <c r="L216" s="19">
        <f>IF(J216=0,0,H216-K216*H216/J216)</f>
        <v/>
      </c>
      <c r="M216" s="19">
        <f>IF(J216=0,0,I216-K216*I216/J216)</f>
        <v/>
      </c>
      <c r="O216" s="18">
        <f>DATA!A216</f>
        <v/>
      </c>
      <c r="P216">
        <f>DATA!B216</f>
        <v/>
      </c>
      <c r="Q216" s="19">
        <f>Z215</f>
        <v/>
      </c>
      <c r="R216" s="19">
        <f>AA215</f>
        <v/>
      </c>
      <c r="S216" s="19">
        <f>Q216+R216</f>
        <v/>
      </c>
      <c r="T216" s="20">
        <f>DATA!D216</f>
        <v/>
      </c>
      <c r="U216" s="20">
        <f>DATA!G216</f>
        <v/>
      </c>
      <c r="V216" s="19">
        <f>Q216*(1+T216)</f>
        <v/>
      </c>
      <c r="W216" s="19">
        <f>R216*(1+U216)</f>
        <v/>
      </c>
      <c r="X216" s="19">
        <f>V216+W216</f>
        <v/>
      </c>
      <c r="Y216" s="19">
        <f>IF(AND(CONFIG!$B$11="Annual",MONTH(O216)=7),X216*CONFIG!$B$6/12,Y215)</f>
        <v/>
      </c>
      <c r="Z216" s="19">
        <f>IF(X216=0,0,V216-Y216*V216/X216)</f>
        <v/>
      </c>
      <c r="AA216" s="19">
        <f>IF(X216=0,0,W216-Y216*W216/X216)</f>
        <v/>
      </c>
      <c r="AC216" s="18">
        <f>DATA!A216</f>
        <v/>
      </c>
      <c r="AD216">
        <f>DATA!B216</f>
        <v/>
      </c>
      <c r="AE216" s="19">
        <f>AN215</f>
        <v/>
      </c>
      <c r="AF216" s="19">
        <f>AO215</f>
        <v/>
      </c>
      <c r="AG216" s="19">
        <f>AE216+AF216</f>
        <v/>
      </c>
      <c r="AH216" s="20">
        <f>DATA!E216</f>
        <v/>
      </c>
      <c r="AI216" s="20">
        <f>DATA!G216</f>
        <v/>
      </c>
      <c r="AJ216" s="19">
        <f>AE216*(1+AH216)</f>
        <v/>
      </c>
      <c r="AK216" s="19">
        <f>AF216*(1+AI216)</f>
        <v/>
      </c>
      <c r="AL216" s="19">
        <f>AJ216+AK216</f>
        <v/>
      </c>
      <c r="AM216" s="19">
        <f>IF(AND(CONFIG!$B$11="Annual",MONTH(AC216)=7),AL216*CONFIG!$B$6/12,AM215)</f>
        <v/>
      </c>
      <c r="AN216" s="19">
        <f>IF(AL216=0,0,AJ216-AM216*AJ216/AL216)</f>
        <v/>
      </c>
      <c r="AO216" s="19">
        <f>IF(AL216=0,0,AK216-AM216*AK216/AL216)</f>
        <v/>
      </c>
    </row>
    <row r="217">
      <c r="A217" s="18">
        <f>DATA!A217</f>
        <v/>
      </c>
      <c r="B217">
        <f>DATA!B217</f>
        <v/>
      </c>
      <c r="C217" s="19">
        <f>L216</f>
        <v/>
      </c>
      <c r="D217" s="19">
        <f>M216</f>
        <v/>
      </c>
      <c r="E217" s="19">
        <f>C217+D217</f>
        <v/>
      </c>
      <c r="F217" s="20">
        <f>DATA!C217</f>
        <v/>
      </c>
      <c r="G217" s="20">
        <f>DATA!G217</f>
        <v/>
      </c>
      <c r="H217" s="19">
        <f>C217*(1+F217)</f>
        <v/>
      </c>
      <c r="I217" s="19">
        <f>D217*(1+G217)</f>
        <v/>
      </c>
      <c r="J217" s="19">
        <f>H217+I217</f>
        <v/>
      </c>
      <c r="K217" s="19">
        <f>IF(AND(CONFIG!$B$11="Annual",MONTH(A217)=7),J217*CONFIG!$B$6/12,K216)</f>
        <v/>
      </c>
      <c r="L217" s="19">
        <f>IF(J217=0,0,H217-K217*H217/J217)</f>
        <v/>
      </c>
      <c r="M217" s="19">
        <f>IF(J217=0,0,I217-K217*I217/J217)</f>
        <v/>
      </c>
      <c r="O217" s="18">
        <f>DATA!A217</f>
        <v/>
      </c>
      <c r="P217">
        <f>DATA!B217</f>
        <v/>
      </c>
      <c r="Q217" s="19">
        <f>Z216</f>
        <v/>
      </c>
      <c r="R217" s="19">
        <f>AA216</f>
        <v/>
      </c>
      <c r="S217" s="19">
        <f>Q217+R217</f>
        <v/>
      </c>
      <c r="T217" s="20">
        <f>DATA!D217</f>
        <v/>
      </c>
      <c r="U217" s="20">
        <f>DATA!G217</f>
        <v/>
      </c>
      <c r="V217" s="19">
        <f>Q217*(1+T217)</f>
        <v/>
      </c>
      <c r="W217" s="19">
        <f>R217*(1+U217)</f>
        <v/>
      </c>
      <c r="X217" s="19">
        <f>V217+W217</f>
        <v/>
      </c>
      <c r="Y217" s="19">
        <f>IF(AND(CONFIG!$B$11="Annual",MONTH(O217)=7),X217*CONFIG!$B$6/12,Y216)</f>
        <v/>
      </c>
      <c r="Z217" s="19">
        <f>IF(X217=0,0,V217-Y217*V217/X217)</f>
        <v/>
      </c>
      <c r="AA217" s="19">
        <f>IF(X217=0,0,W217-Y217*W217/X217)</f>
        <v/>
      </c>
      <c r="AC217" s="18">
        <f>DATA!A217</f>
        <v/>
      </c>
      <c r="AD217">
        <f>DATA!B217</f>
        <v/>
      </c>
      <c r="AE217" s="19">
        <f>AN216</f>
        <v/>
      </c>
      <c r="AF217" s="19">
        <f>AO216</f>
        <v/>
      </c>
      <c r="AG217" s="19">
        <f>AE217+AF217</f>
        <v/>
      </c>
      <c r="AH217" s="20">
        <f>DATA!E217</f>
        <v/>
      </c>
      <c r="AI217" s="20">
        <f>DATA!G217</f>
        <v/>
      </c>
      <c r="AJ217" s="19">
        <f>AE217*(1+AH217)</f>
        <v/>
      </c>
      <c r="AK217" s="19">
        <f>AF217*(1+AI217)</f>
        <v/>
      </c>
      <c r="AL217" s="19">
        <f>AJ217+AK217</f>
        <v/>
      </c>
      <c r="AM217" s="19">
        <f>IF(AND(CONFIG!$B$11="Annual",MONTH(AC217)=7),AL217*CONFIG!$B$6/12,AM216)</f>
        <v/>
      </c>
      <c r="AN217" s="19">
        <f>IF(AL217=0,0,AJ217-AM217*AJ217/AL217)</f>
        <v/>
      </c>
      <c r="AO217" s="19">
        <f>IF(AL217=0,0,AK217-AM217*AK217/AL217)</f>
        <v/>
      </c>
    </row>
    <row r="218">
      <c r="A218" s="18">
        <f>DATA!A218</f>
        <v/>
      </c>
      <c r="B218">
        <f>DATA!B218</f>
        <v/>
      </c>
      <c r="C218" s="19">
        <f>L217</f>
        <v/>
      </c>
      <c r="D218" s="19">
        <f>M217</f>
        <v/>
      </c>
      <c r="E218" s="19">
        <f>C218+D218</f>
        <v/>
      </c>
      <c r="F218" s="20">
        <f>DATA!C218</f>
        <v/>
      </c>
      <c r="G218" s="20">
        <f>DATA!G218</f>
        <v/>
      </c>
      <c r="H218" s="19">
        <f>C218*(1+F218)</f>
        <v/>
      </c>
      <c r="I218" s="19">
        <f>D218*(1+G218)</f>
        <v/>
      </c>
      <c r="J218" s="19">
        <f>H218+I218</f>
        <v/>
      </c>
      <c r="K218" s="19">
        <f>IF(AND(CONFIG!$B$11="Annual",MONTH(A218)=7),J218*CONFIG!$B$6/12,K217)</f>
        <v/>
      </c>
      <c r="L218" s="19">
        <f>IF(J218=0,0,H218-K218*H218/J218)</f>
        <v/>
      </c>
      <c r="M218" s="19">
        <f>IF(J218=0,0,I218-K218*I218/J218)</f>
        <v/>
      </c>
      <c r="O218" s="18">
        <f>DATA!A218</f>
        <v/>
      </c>
      <c r="P218">
        <f>DATA!B218</f>
        <v/>
      </c>
      <c r="Q218" s="19">
        <f>Z217</f>
        <v/>
      </c>
      <c r="R218" s="19">
        <f>AA217</f>
        <v/>
      </c>
      <c r="S218" s="19">
        <f>Q218+R218</f>
        <v/>
      </c>
      <c r="T218" s="20">
        <f>DATA!D218</f>
        <v/>
      </c>
      <c r="U218" s="20">
        <f>DATA!G218</f>
        <v/>
      </c>
      <c r="V218" s="19">
        <f>Q218*(1+T218)</f>
        <v/>
      </c>
      <c r="W218" s="19">
        <f>R218*(1+U218)</f>
        <v/>
      </c>
      <c r="X218" s="19">
        <f>V218+W218</f>
        <v/>
      </c>
      <c r="Y218" s="19">
        <f>IF(AND(CONFIG!$B$11="Annual",MONTH(O218)=7),X218*CONFIG!$B$6/12,Y217)</f>
        <v/>
      </c>
      <c r="Z218" s="19">
        <f>IF(X218=0,0,V218-Y218*V218/X218)</f>
        <v/>
      </c>
      <c r="AA218" s="19">
        <f>IF(X218=0,0,W218-Y218*W218/X218)</f>
        <v/>
      </c>
      <c r="AC218" s="18">
        <f>DATA!A218</f>
        <v/>
      </c>
      <c r="AD218">
        <f>DATA!B218</f>
        <v/>
      </c>
      <c r="AE218" s="19">
        <f>AN217</f>
        <v/>
      </c>
      <c r="AF218" s="19">
        <f>AO217</f>
        <v/>
      </c>
      <c r="AG218" s="19">
        <f>AE218+AF218</f>
        <v/>
      </c>
      <c r="AH218" s="20">
        <f>DATA!E218</f>
        <v/>
      </c>
      <c r="AI218" s="20">
        <f>DATA!G218</f>
        <v/>
      </c>
      <c r="AJ218" s="19">
        <f>AE218*(1+AH218)</f>
        <v/>
      </c>
      <c r="AK218" s="19">
        <f>AF218*(1+AI218)</f>
        <v/>
      </c>
      <c r="AL218" s="19">
        <f>AJ218+AK218</f>
        <v/>
      </c>
      <c r="AM218" s="19">
        <f>IF(AND(CONFIG!$B$11="Annual",MONTH(AC218)=7),AL218*CONFIG!$B$6/12,AM217)</f>
        <v/>
      </c>
      <c r="AN218" s="19">
        <f>IF(AL218=0,0,AJ218-AM218*AJ218/AL218)</f>
        <v/>
      </c>
      <c r="AO218" s="19">
        <f>IF(AL218=0,0,AK218-AM218*AK218/AL218)</f>
        <v/>
      </c>
    </row>
    <row r="219">
      <c r="A219" s="18">
        <f>DATA!A219</f>
        <v/>
      </c>
      <c r="B219">
        <f>DATA!B219</f>
        <v/>
      </c>
      <c r="C219" s="19">
        <f>L218</f>
        <v/>
      </c>
      <c r="D219" s="19">
        <f>M218</f>
        <v/>
      </c>
      <c r="E219" s="19">
        <f>C219+D219</f>
        <v/>
      </c>
      <c r="F219" s="20">
        <f>DATA!C219</f>
        <v/>
      </c>
      <c r="G219" s="20">
        <f>DATA!G219</f>
        <v/>
      </c>
      <c r="H219" s="19">
        <f>C219*(1+F219)</f>
        <v/>
      </c>
      <c r="I219" s="19">
        <f>D219*(1+G219)</f>
        <v/>
      </c>
      <c r="J219" s="19">
        <f>H219+I219</f>
        <v/>
      </c>
      <c r="K219" s="19">
        <f>IF(AND(CONFIG!$B$11="Annual",MONTH(A219)=7),J219*CONFIG!$B$6/12,K218)</f>
        <v/>
      </c>
      <c r="L219" s="19">
        <f>IF(J219=0,0,H219-K219*H219/J219)</f>
        <v/>
      </c>
      <c r="M219" s="19">
        <f>IF(J219=0,0,I219-K219*I219/J219)</f>
        <v/>
      </c>
      <c r="O219" s="18">
        <f>DATA!A219</f>
        <v/>
      </c>
      <c r="P219">
        <f>DATA!B219</f>
        <v/>
      </c>
      <c r="Q219" s="19">
        <f>Z218</f>
        <v/>
      </c>
      <c r="R219" s="19">
        <f>AA218</f>
        <v/>
      </c>
      <c r="S219" s="19">
        <f>Q219+R219</f>
        <v/>
      </c>
      <c r="T219" s="20">
        <f>DATA!D219</f>
        <v/>
      </c>
      <c r="U219" s="20">
        <f>DATA!G219</f>
        <v/>
      </c>
      <c r="V219" s="19">
        <f>Q219*(1+T219)</f>
        <v/>
      </c>
      <c r="W219" s="19">
        <f>R219*(1+U219)</f>
        <v/>
      </c>
      <c r="X219" s="19">
        <f>V219+W219</f>
        <v/>
      </c>
      <c r="Y219" s="19">
        <f>IF(AND(CONFIG!$B$11="Annual",MONTH(O219)=7),X219*CONFIG!$B$6/12,Y218)</f>
        <v/>
      </c>
      <c r="Z219" s="19">
        <f>IF(X219=0,0,V219-Y219*V219/X219)</f>
        <v/>
      </c>
      <c r="AA219" s="19">
        <f>IF(X219=0,0,W219-Y219*W219/X219)</f>
        <v/>
      </c>
      <c r="AC219" s="18">
        <f>DATA!A219</f>
        <v/>
      </c>
      <c r="AD219">
        <f>DATA!B219</f>
        <v/>
      </c>
      <c r="AE219" s="19">
        <f>AN218</f>
        <v/>
      </c>
      <c r="AF219" s="19">
        <f>AO218</f>
        <v/>
      </c>
      <c r="AG219" s="19">
        <f>AE219+AF219</f>
        <v/>
      </c>
      <c r="AH219" s="20">
        <f>DATA!E219</f>
        <v/>
      </c>
      <c r="AI219" s="20">
        <f>DATA!G219</f>
        <v/>
      </c>
      <c r="AJ219" s="19">
        <f>AE219*(1+AH219)</f>
        <v/>
      </c>
      <c r="AK219" s="19">
        <f>AF219*(1+AI219)</f>
        <v/>
      </c>
      <c r="AL219" s="19">
        <f>AJ219+AK219</f>
        <v/>
      </c>
      <c r="AM219" s="19">
        <f>IF(AND(CONFIG!$B$11="Annual",MONTH(AC219)=7),AL219*CONFIG!$B$6/12,AM218)</f>
        <v/>
      </c>
      <c r="AN219" s="19">
        <f>IF(AL219=0,0,AJ219-AM219*AJ219/AL219)</f>
        <v/>
      </c>
      <c r="AO219" s="19">
        <f>IF(AL219=0,0,AK219-AM219*AK219/AL219)</f>
        <v/>
      </c>
    </row>
    <row r="220">
      <c r="A220" s="18">
        <f>DATA!A220</f>
        <v/>
      </c>
      <c r="B220">
        <f>DATA!B220</f>
        <v/>
      </c>
      <c r="C220" s="19">
        <f>L219</f>
        <v/>
      </c>
      <c r="D220" s="19">
        <f>M219</f>
        <v/>
      </c>
      <c r="E220" s="19">
        <f>C220+D220</f>
        <v/>
      </c>
      <c r="F220" s="20">
        <f>DATA!C220</f>
        <v/>
      </c>
      <c r="G220" s="20">
        <f>DATA!G220</f>
        <v/>
      </c>
      <c r="H220" s="19">
        <f>C220*(1+F220)</f>
        <v/>
      </c>
      <c r="I220" s="19">
        <f>D220*(1+G220)</f>
        <v/>
      </c>
      <c r="J220" s="19">
        <f>H220+I220</f>
        <v/>
      </c>
      <c r="K220" s="19">
        <f>IF(AND(CONFIG!$B$11="Annual",MONTH(A220)=7),J220*CONFIG!$B$6/12,K219)</f>
        <v/>
      </c>
      <c r="L220" s="19">
        <f>IF(J220=0,0,H220-K220*H220/J220)</f>
        <v/>
      </c>
      <c r="M220" s="19">
        <f>IF(J220=0,0,I220-K220*I220/J220)</f>
        <v/>
      </c>
      <c r="O220" s="18">
        <f>DATA!A220</f>
        <v/>
      </c>
      <c r="P220">
        <f>DATA!B220</f>
        <v/>
      </c>
      <c r="Q220" s="19">
        <f>Z219</f>
        <v/>
      </c>
      <c r="R220" s="19">
        <f>AA219</f>
        <v/>
      </c>
      <c r="S220" s="19">
        <f>Q220+R220</f>
        <v/>
      </c>
      <c r="T220" s="20">
        <f>DATA!D220</f>
        <v/>
      </c>
      <c r="U220" s="20">
        <f>DATA!G220</f>
        <v/>
      </c>
      <c r="V220" s="19">
        <f>Q220*(1+T220)</f>
        <v/>
      </c>
      <c r="W220" s="19">
        <f>R220*(1+U220)</f>
        <v/>
      </c>
      <c r="X220" s="19">
        <f>V220+W220</f>
        <v/>
      </c>
      <c r="Y220" s="19">
        <f>IF(AND(CONFIG!$B$11="Annual",MONTH(O220)=7),X220*CONFIG!$B$6/12,Y219)</f>
        <v/>
      </c>
      <c r="Z220" s="19">
        <f>IF(X220=0,0,V220-Y220*V220/X220)</f>
        <v/>
      </c>
      <c r="AA220" s="19">
        <f>IF(X220=0,0,W220-Y220*W220/X220)</f>
        <v/>
      </c>
      <c r="AC220" s="18">
        <f>DATA!A220</f>
        <v/>
      </c>
      <c r="AD220">
        <f>DATA!B220</f>
        <v/>
      </c>
      <c r="AE220" s="19">
        <f>AN219</f>
        <v/>
      </c>
      <c r="AF220" s="19">
        <f>AO219</f>
        <v/>
      </c>
      <c r="AG220" s="19">
        <f>AE220+AF220</f>
        <v/>
      </c>
      <c r="AH220" s="20">
        <f>DATA!E220</f>
        <v/>
      </c>
      <c r="AI220" s="20">
        <f>DATA!G220</f>
        <v/>
      </c>
      <c r="AJ220" s="19">
        <f>AE220*(1+AH220)</f>
        <v/>
      </c>
      <c r="AK220" s="19">
        <f>AF220*(1+AI220)</f>
        <v/>
      </c>
      <c r="AL220" s="19">
        <f>AJ220+AK220</f>
        <v/>
      </c>
      <c r="AM220" s="19">
        <f>IF(AND(CONFIG!$B$11="Annual",MONTH(AC220)=7),AL220*CONFIG!$B$6/12,AM219)</f>
        <v/>
      </c>
      <c r="AN220" s="19">
        <f>IF(AL220=0,0,AJ220-AM220*AJ220/AL220)</f>
        <v/>
      </c>
      <c r="AO220" s="19">
        <f>IF(AL220=0,0,AK220-AM220*AK220/AL220)</f>
        <v/>
      </c>
    </row>
    <row r="221">
      <c r="A221" s="18">
        <f>DATA!A221</f>
        <v/>
      </c>
      <c r="B221">
        <f>DATA!B221</f>
        <v/>
      </c>
      <c r="C221" s="19">
        <f>L220</f>
        <v/>
      </c>
      <c r="D221" s="19">
        <f>M220</f>
        <v/>
      </c>
      <c r="E221" s="19">
        <f>C221+D221</f>
        <v/>
      </c>
      <c r="F221" s="20">
        <f>DATA!C221</f>
        <v/>
      </c>
      <c r="G221" s="20">
        <f>DATA!G221</f>
        <v/>
      </c>
      <c r="H221" s="19">
        <f>C221*(1+F221)</f>
        <v/>
      </c>
      <c r="I221" s="19">
        <f>D221*(1+G221)</f>
        <v/>
      </c>
      <c r="J221" s="19">
        <f>H221+I221</f>
        <v/>
      </c>
      <c r="K221" s="19">
        <f>IF(AND(CONFIG!$B$11="Annual",MONTH(A221)=7),J221*CONFIG!$B$6/12,K220)</f>
        <v/>
      </c>
      <c r="L221" s="19">
        <f>IF(J221=0,0,H221-K221*H221/J221)</f>
        <v/>
      </c>
      <c r="M221" s="19">
        <f>IF(J221=0,0,I221-K221*I221/J221)</f>
        <v/>
      </c>
      <c r="O221" s="18">
        <f>DATA!A221</f>
        <v/>
      </c>
      <c r="P221">
        <f>DATA!B221</f>
        <v/>
      </c>
      <c r="Q221" s="19">
        <f>Z220</f>
        <v/>
      </c>
      <c r="R221" s="19">
        <f>AA220</f>
        <v/>
      </c>
      <c r="S221" s="19">
        <f>Q221+R221</f>
        <v/>
      </c>
      <c r="T221" s="20">
        <f>DATA!D221</f>
        <v/>
      </c>
      <c r="U221" s="20">
        <f>DATA!G221</f>
        <v/>
      </c>
      <c r="V221" s="19">
        <f>Q221*(1+T221)</f>
        <v/>
      </c>
      <c r="W221" s="19">
        <f>R221*(1+U221)</f>
        <v/>
      </c>
      <c r="X221" s="19">
        <f>V221+W221</f>
        <v/>
      </c>
      <c r="Y221" s="19">
        <f>IF(AND(CONFIG!$B$11="Annual",MONTH(O221)=7),X221*CONFIG!$B$6/12,Y220)</f>
        <v/>
      </c>
      <c r="Z221" s="19">
        <f>IF(X221=0,0,V221-Y221*V221/X221)</f>
        <v/>
      </c>
      <c r="AA221" s="19">
        <f>IF(X221=0,0,W221-Y221*W221/X221)</f>
        <v/>
      </c>
      <c r="AC221" s="18">
        <f>DATA!A221</f>
        <v/>
      </c>
      <c r="AD221">
        <f>DATA!B221</f>
        <v/>
      </c>
      <c r="AE221" s="19">
        <f>AN220</f>
        <v/>
      </c>
      <c r="AF221" s="19">
        <f>AO220</f>
        <v/>
      </c>
      <c r="AG221" s="19">
        <f>AE221+AF221</f>
        <v/>
      </c>
      <c r="AH221" s="20">
        <f>DATA!E221</f>
        <v/>
      </c>
      <c r="AI221" s="20">
        <f>DATA!G221</f>
        <v/>
      </c>
      <c r="AJ221" s="19">
        <f>AE221*(1+AH221)</f>
        <v/>
      </c>
      <c r="AK221" s="19">
        <f>AF221*(1+AI221)</f>
        <v/>
      </c>
      <c r="AL221" s="19">
        <f>AJ221+AK221</f>
        <v/>
      </c>
      <c r="AM221" s="19">
        <f>IF(AND(CONFIG!$B$11="Annual",MONTH(AC221)=7),AL221*CONFIG!$B$6/12,AM220)</f>
        <v/>
      </c>
      <c r="AN221" s="19">
        <f>IF(AL221=0,0,AJ221-AM221*AJ221/AL221)</f>
        <v/>
      </c>
      <c r="AO221" s="19">
        <f>IF(AL221=0,0,AK221-AM221*AK221/AL221)</f>
        <v/>
      </c>
    </row>
    <row r="222">
      <c r="A222" s="18">
        <f>DATA!A222</f>
        <v/>
      </c>
      <c r="B222">
        <f>DATA!B222</f>
        <v/>
      </c>
      <c r="C222" s="19">
        <f>L221</f>
        <v/>
      </c>
      <c r="D222" s="19">
        <f>M221</f>
        <v/>
      </c>
      <c r="E222" s="19">
        <f>C222+D222</f>
        <v/>
      </c>
      <c r="F222" s="20">
        <f>DATA!C222</f>
        <v/>
      </c>
      <c r="G222" s="20">
        <f>DATA!G222</f>
        <v/>
      </c>
      <c r="H222" s="19">
        <f>C222*(1+F222)</f>
        <v/>
      </c>
      <c r="I222" s="19">
        <f>D222*(1+G222)</f>
        <v/>
      </c>
      <c r="J222" s="19">
        <f>H222+I222</f>
        <v/>
      </c>
      <c r="K222" s="19">
        <f>IF(AND(CONFIG!$B$11="Annual",MONTH(A222)=7),J222*CONFIG!$B$6/12,K221)</f>
        <v/>
      </c>
      <c r="L222" s="19">
        <f>IF(J222=0,0,H222-K222*H222/J222)</f>
        <v/>
      </c>
      <c r="M222" s="19">
        <f>IF(J222=0,0,I222-K222*I222/J222)</f>
        <v/>
      </c>
      <c r="O222" s="18">
        <f>DATA!A222</f>
        <v/>
      </c>
      <c r="P222">
        <f>DATA!B222</f>
        <v/>
      </c>
      <c r="Q222" s="19">
        <f>Z221</f>
        <v/>
      </c>
      <c r="R222" s="19">
        <f>AA221</f>
        <v/>
      </c>
      <c r="S222" s="19">
        <f>Q222+R222</f>
        <v/>
      </c>
      <c r="T222" s="20">
        <f>DATA!D222</f>
        <v/>
      </c>
      <c r="U222" s="20">
        <f>DATA!G222</f>
        <v/>
      </c>
      <c r="V222" s="19">
        <f>Q222*(1+T222)</f>
        <v/>
      </c>
      <c r="W222" s="19">
        <f>R222*(1+U222)</f>
        <v/>
      </c>
      <c r="X222" s="19">
        <f>V222+W222</f>
        <v/>
      </c>
      <c r="Y222" s="19">
        <f>IF(AND(CONFIG!$B$11="Annual",MONTH(O222)=7),X222*CONFIG!$B$6/12,Y221)</f>
        <v/>
      </c>
      <c r="Z222" s="19">
        <f>IF(X222=0,0,V222-Y222*V222/X222)</f>
        <v/>
      </c>
      <c r="AA222" s="19">
        <f>IF(X222=0,0,W222-Y222*W222/X222)</f>
        <v/>
      </c>
      <c r="AC222" s="18">
        <f>DATA!A222</f>
        <v/>
      </c>
      <c r="AD222">
        <f>DATA!B222</f>
        <v/>
      </c>
      <c r="AE222" s="19">
        <f>AN221</f>
        <v/>
      </c>
      <c r="AF222" s="19">
        <f>AO221</f>
        <v/>
      </c>
      <c r="AG222" s="19">
        <f>AE222+AF222</f>
        <v/>
      </c>
      <c r="AH222" s="20">
        <f>DATA!E222</f>
        <v/>
      </c>
      <c r="AI222" s="20">
        <f>DATA!G222</f>
        <v/>
      </c>
      <c r="AJ222" s="19">
        <f>AE222*(1+AH222)</f>
        <v/>
      </c>
      <c r="AK222" s="19">
        <f>AF222*(1+AI222)</f>
        <v/>
      </c>
      <c r="AL222" s="19">
        <f>AJ222+AK222</f>
        <v/>
      </c>
      <c r="AM222" s="19">
        <f>IF(AND(CONFIG!$B$11="Annual",MONTH(AC222)=7),AL222*CONFIG!$B$6/12,AM221)</f>
        <v/>
      </c>
      <c r="AN222" s="19">
        <f>IF(AL222=0,0,AJ222-AM222*AJ222/AL222)</f>
        <v/>
      </c>
      <c r="AO222" s="19">
        <f>IF(AL222=0,0,AK222-AM222*AK222/AL222)</f>
        <v/>
      </c>
    </row>
    <row r="223">
      <c r="A223" s="18">
        <f>DATA!A223</f>
        <v/>
      </c>
      <c r="B223">
        <f>DATA!B223</f>
        <v/>
      </c>
      <c r="C223" s="19">
        <f>L222</f>
        <v/>
      </c>
      <c r="D223" s="19">
        <f>M222</f>
        <v/>
      </c>
      <c r="E223" s="19">
        <f>C223+D223</f>
        <v/>
      </c>
      <c r="F223" s="20">
        <f>DATA!C223</f>
        <v/>
      </c>
      <c r="G223" s="20">
        <f>DATA!G223</f>
        <v/>
      </c>
      <c r="H223" s="19">
        <f>C223*(1+F223)</f>
        <v/>
      </c>
      <c r="I223" s="19">
        <f>D223*(1+G223)</f>
        <v/>
      </c>
      <c r="J223" s="19">
        <f>H223+I223</f>
        <v/>
      </c>
      <c r="K223" s="19">
        <f>IF(AND(CONFIG!$B$11="Annual",MONTH(A223)=7),J223*CONFIG!$B$6/12,K222)</f>
        <v/>
      </c>
      <c r="L223" s="19">
        <f>IF(J223=0,0,H223-K223*H223/J223)</f>
        <v/>
      </c>
      <c r="M223" s="19">
        <f>IF(J223=0,0,I223-K223*I223/J223)</f>
        <v/>
      </c>
      <c r="O223" s="18">
        <f>DATA!A223</f>
        <v/>
      </c>
      <c r="P223">
        <f>DATA!B223</f>
        <v/>
      </c>
      <c r="Q223" s="19">
        <f>Z222</f>
        <v/>
      </c>
      <c r="R223" s="19">
        <f>AA222</f>
        <v/>
      </c>
      <c r="S223" s="19">
        <f>Q223+R223</f>
        <v/>
      </c>
      <c r="T223" s="20">
        <f>DATA!D223</f>
        <v/>
      </c>
      <c r="U223" s="20">
        <f>DATA!G223</f>
        <v/>
      </c>
      <c r="V223" s="19">
        <f>Q223*(1+T223)</f>
        <v/>
      </c>
      <c r="W223" s="19">
        <f>R223*(1+U223)</f>
        <v/>
      </c>
      <c r="X223" s="19">
        <f>V223+W223</f>
        <v/>
      </c>
      <c r="Y223" s="19">
        <f>IF(AND(CONFIG!$B$11="Annual",MONTH(O223)=7),X223*CONFIG!$B$6/12,Y222)</f>
        <v/>
      </c>
      <c r="Z223" s="19">
        <f>IF(X223=0,0,V223-Y223*V223/X223)</f>
        <v/>
      </c>
      <c r="AA223" s="19">
        <f>IF(X223=0,0,W223-Y223*W223/X223)</f>
        <v/>
      </c>
      <c r="AC223" s="18">
        <f>DATA!A223</f>
        <v/>
      </c>
      <c r="AD223">
        <f>DATA!B223</f>
        <v/>
      </c>
      <c r="AE223" s="19">
        <f>AN222</f>
        <v/>
      </c>
      <c r="AF223" s="19">
        <f>AO222</f>
        <v/>
      </c>
      <c r="AG223" s="19">
        <f>AE223+AF223</f>
        <v/>
      </c>
      <c r="AH223" s="20">
        <f>DATA!E223</f>
        <v/>
      </c>
      <c r="AI223" s="20">
        <f>DATA!G223</f>
        <v/>
      </c>
      <c r="AJ223" s="19">
        <f>AE223*(1+AH223)</f>
        <v/>
      </c>
      <c r="AK223" s="19">
        <f>AF223*(1+AI223)</f>
        <v/>
      </c>
      <c r="AL223" s="19">
        <f>AJ223+AK223</f>
        <v/>
      </c>
      <c r="AM223" s="19">
        <f>IF(AND(CONFIG!$B$11="Annual",MONTH(AC223)=7),AL223*CONFIG!$B$6/12,AM222)</f>
        <v/>
      </c>
      <c r="AN223" s="19">
        <f>IF(AL223=0,0,AJ223-AM223*AJ223/AL223)</f>
        <v/>
      </c>
      <c r="AO223" s="19">
        <f>IF(AL223=0,0,AK223-AM223*AK223/AL223)</f>
        <v/>
      </c>
    </row>
    <row r="224">
      <c r="A224" s="18">
        <f>DATA!A224</f>
        <v/>
      </c>
      <c r="B224">
        <f>DATA!B224</f>
        <v/>
      </c>
      <c r="C224" s="19">
        <f>L223</f>
        <v/>
      </c>
      <c r="D224" s="19">
        <f>M223</f>
        <v/>
      </c>
      <c r="E224" s="19">
        <f>C224+D224</f>
        <v/>
      </c>
      <c r="F224" s="20">
        <f>DATA!C224</f>
        <v/>
      </c>
      <c r="G224" s="20">
        <f>DATA!G224</f>
        <v/>
      </c>
      <c r="H224" s="19">
        <f>C224*(1+F224)</f>
        <v/>
      </c>
      <c r="I224" s="19">
        <f>D224*(1+G224)</f>
        <v/>
      </c>
      <c r="J224" s="19">
        <f>H224+I224</f>
        <v/>
      </c>
      <c r="K224" s="19">
        <f>IF(AND(CONFIG!$B$11="Annual",MONTH(A224)=7),J224*CONFIG!$B$6/12,K223)</f>
        <v/>
      </c>
      <c r="L224" s="19">
        <f>IF(J224=0,0,H224-K224*H224/J224)</f>
        <v/>
      </c>
      <c r="M224" s="19">
        <f>IF(J224=0,0,I224-K224*I224/J224)</f>
        <v/>
      </c>
      <c r="O224" s="18">
        <f>DATA!A224</f>
        <v/>
      </c>
      <c r="P224">
        <f>DATA!B224</f>
        <v/>
      </c>
      <c r="Q224" s="19">
        <f>Z223</f>
        <v/>
      </c>
      <c r="R224" s="19">
        <f>AA223</f>
        <v/>
      </c>
      <c r="S224" s="19">
        <f>Q224+R224</f>
        <v/>
      </c>
      <c r="T224" s="20">
        <f>DATA!D224</f>
        <v/>
      </c>
      <c r="U224" s="20">
        <f>DATA!G224</f>
        <v/>
      </c>
      <c r="V224" s="19">
        <f>Q224*(1+T224)</f>
        <v/>
      </c>
      <c r="W224" s="19">
        <f>R224*(1+U224)</f>
        <v/>
      </c>
      <c r="X224" s="19">
        <f>V224+W224</f>
        <v/>
      </c>
      <c r="Y224" s="19">
        <f>IF(AND(CONFIG!$B$11="Annual",MONTH(O224)=7),X224*CONFIG!$B$6/12,Y223)</f>
        <v/>
      </c>
      <c r="Z224" s="19">
        <f>IF(X224=0,0,V224-Y224*V224/X224)</f>
        <v/>
      </c>
      <c r="AA224" s="19">
        <f>IF(X224=0,0,W224-Y224*W224/X224)</f>
        <v/>
      </c>
      <c r="AC224" s="18">
        <f>DATA!A224</f>
        <v/>
      </c>
      <c r="AD224">
        <f>DATA!B224</f>
        <v/>
      </c>
      <c r="AE224" s="19">
        <f>AN223</f>
        <v/>
      </c>
      <c r="AF224" s="19">
        <f>AO223</f>
        <v/>
      </c>
      <c r="AG224" s="19">
        <f>AE224+AF224</f>
        <v/>
      </c>
      <c r="AH224" s="20">
        <f>DATA!E224</f>
        <v/>
      </c>
      <c r="AI224" s="20">
        <f>DATA!G224</f>
        <v/>
      </c>
      <c r="AJ224" s="19">
        <f>AE224*(1+AH224)</f>
        <v/>
      </c>
      <c r="AK224" s="19">
        <f>AF224*(1+AI224)</f>
        <v/>
      </c>
      <c r="AL224" s="19">
        <f>AJ224+AK224</f>
        <v/>
      </c>
      <c r="AM224" s="19">
        <f>IF(AND(CONFIG!$B$11="Annual",MONTH(AC224)=7),AL224*CONFIG!$B$6/12,AM223)</f>
        <v/>
      </c>
      <c r="AN224" s="19">
        <f>IF(AL224=0,0,AJ224-AM224*AJ224/AL224)</f>
        <v/>
      </c>
      <c r="AO224" s="19">
        <f>IF(AL224=0,0,AK224-AM224*AK224/AL224)</f>
        <v/>
      </c>
    </row>
    <row r="225">
      <c r="A225" s="18">
        <f>DATA!A225</f>
        <v/>
      </c>
      <c r="B225">
        <f>DATA!B225</f>
        <v/>
      </c>
      <c r="C225" s="19">
        <f>L224</f>
        <v/>
      </c>
      <c r="D225" s="19">
        <f>M224</f>
        <v/>
      </c>
      <c r="E225" s="19">
        <f>C225+D225</f>
        <v/>
      </c>
      <c r="F225" s="20">
        <f>DATA!C225</f>
        <v/>
      </c>
      <c r="G225" s="20">
        <f>DATA!G225</f>
        <v/>
      </c>
      <c r="H225" s="19">
        <f>C225*(1+F225)</f>
        <v/>
      </c>
      <c r="I225" s="19">
        <f>D225*(1+G225)</f>
        <v/>
      </c>
      <c r="J225" s="19">
        <f>H225+I225</f>
        <v/>
      </c>
      <c r="K225" s="19">
        <f>IF(AND(CONFIG!$B$11="Annual",MONTH(A225)=7),J225*CONFIG!$B$6/12,K224)</f>
        <v/>
      </c>
      <c r="L225" s="19">
        <f>IF(J225=0,0,H225-K225*H225/J225)</f>
        <v/>
      </c>
      <c r="M225" s="19">
        <f>IF(J225=0,0,I225-K225*I225/J225)</f>
        <v/>
      </c>
      <c r="O225" s="18">
        <f>DATA!A225</f>
        <v/>
      </c>
      <c r="P225">
        <f>DATA!B225</f>
        <v/>
      </c>
      <c r="Q225" s="19">
        <f>Z224</f>
        <v/>
      </c>
      <c r="R225" s="19">
        <f>AA224</f>
        <v/>
      </c>
      <c r="S225" s="19">
        <f>Q225+R225</f>
        <v/>
      </c>
      <c r="T225" s="20">
        <f>DATA!D225</f>
        <v/>
      </c>
      <c r="U225" s="20">
        <f>DATA!G225</f>
        <v/>
      </c>
      <c r="V225" s="19">
        <f>Q225*(1+T225)</f>
        <v/>
      </c>
      <c r="W225" s="19">
        <f>R225*(1+U225)</f>
        <v/>
      </c>
      <c r="X225" s="19">
        <f>V225+W225</f>
        <v/>
      </c>
      <c r="Y225" s="19">
        <f>IF(AND(CONFIG!$B$11="Annual",MONTH(O225)=7),X225*CONFIG!$B$6/12,Y224)</f>
        <v/>
      </c>
      <c r="Z225" s="19">
        <f>IF(X225=0,0,V225-Y225*V225/X225)</f>
        <v/>
      </c>
      <c r="AA225" s="19">
        <f>IF(X225=0,0,W225-Y225*W225/X225)</f>
        <v/>
      </c>
      <c r="AC225" s="18">
        <f>DATA!A225</f>
        <v/>
      </c>
      <c r="AD225">
        <f>DATA!B225</f>
        <v/>
      </c>
      <c r="AE225" s="19">
        <f>AN224</f>
        <v/>
      </c>
      <c r="AF225" s="19">
        <f>AO224</f>
        <v/>
      </c>
      <c r="AG225" s="19">
        <f>AE225+AF225</f>
        <v/>
      </c>
      <c r="AH225" s="20">
        <f>DATA!E225</f>
        <v/>
      </c>
      <c r="AI225" s="20">
        <f>DATA!G225</f>
        <v/>
      </c>
      <c r="AJ225" s="19">
        <f>AE225*(1+AH225)</f>
        <v/>
      </c>
      <c r="AK225" s="19">
        <f>AF225*(1+AI225)</f>
        <v/>
      </c>
      <c r="AL225" s="19">
        <f>AJ225+AK225</f>
        <v/>
      </c>
      <c r="AM225" s="19">
        <f>IF(AND(CONFIG!$B$11="Annual",MONTH(AC225)=7),AL225*CONFIG!$B$6/12,AM224)</f>
        <v/>
      </c>
      <c r="AN225" s="19">
        <f>IF(AL225=0,0,AJ225-AM225*AJ225/AL225)</f>
        <v/>
      </c>
      <c r="AO225" s="19">
        <f>IF(AL225=0,0,AK225-AM225*AK225/AL225)</f>
        <v/>
      </c>
    </row>
    <row r="226">
      <c r="A226" s="18">
        <f>DATA!A226</f>
        <v/>
      </c>
      <c r="B226">
        <f>DATA!B226</f>
        <v/>
      </c>
      <c r="C226" s="19">
        <f>L225</f>
        <v/>
      </c>
      <c r="D226" s="19">
        <f>M225</f>
        <v/>
      </c>
      <c r="E226" s="19">
        <f>C226+D226</f>
        <v/>
      </c>
      <c r="F226" s="20">
        <f>DATA!C226</f>
        <v/>
      </c>
      <c r="G226" s="20">
        <f>DATA!G226</f>
        <v/>
      </c>
      <c r="H226" s="19">
        <f>C226*(1+F226)</f>
        <v/>
      </c>
      <c r="I226" s="19">
        <f>D226*(1+G226)</f>
        <v/>
      </c>
      <c r="J226" s="19">
        <f>H226+I226</f>
        <v/>
      </c>
      <c r="K226" s="19">
        <f>IF(AND(CONFIG!$B$11="Annual",MONTH(A226)=7),J226*CONFIG!$B$6/12,K225)</f>
        <v/>
      </c>
      <c r="L226" s="19">
        <f>IF(J226=0,0,H226-K226*H226/J226)</f>
        <v/>
      </c>
      <c r="M226" s="19">
        <f>IF(J226=0,0,I226-K226*I226/J226)</f>
        <v/>
      </c>
      <c r="O226" s="18">
        <f>DATA!A226</f>
        <v/>
      </c>
      <c r="P226">
        <f>DATA!B226</f>
        <v/>
      </c>
      <c r="Q226" s="19">
        <f>Z225</f>
        <v/>
      </c>
      <c r="R226" s="19">
        <f>AA225</f>
        <v/>
      </c>
      <c r="S226" s="19">
        <f>Q226+R226</f>
        <v/>
      </c>
      <c r="T226" s="20">
        <f>DATA!D226</f>
        <v/>
      </c>
      <c r="U226" s="20">
        <f>DATA!G226</f>
        <v/>
      </c>
      <c r="V226" s="19">
        <f>Q226*(1+T226)</f>
        <v/>
      </c>
      <c r="W226" s="19">
        <f>R226*(1+U226)</f>
        <v/>
      </c>
      <c r="X226" s="19">
        <f>V226+W226</f>
        <v/>
      </c>
      <c r="Y226" s="19">
        <f>IF(AND(CONFIG!$B$11="Annual",MONTH(O226)=7),X226*CONFIG!$B$6/12,Y225)</f>
        <v/>
      </c>
      <c r="Z226" s="19">
        <f>IF(X226=0,0,V226-Y226*V226/X226)</f>
        <v/>
      </c>
      <c r="AA226" s="19">
        <f>IF(X226=0,0,W226-Y226*W226/X226)</f>
        <v/>
      </c>
      <c r="AC226" s="18">
        <f>DATA!A226</f>
        <v/>
      </c>
      <c r="AD226">
        <f>DATA!B226</f>
        <v/>
      </c>
      <c r="AE226" s="19">
        <f>AN225</f>
        <v/>
      </c>
      <c r="AF226" s="19">
        <f>AO225</f>
        <v/>
      </c>
      <c r="AG226" s="19">
        <f>AE226+AF226</f>
        <v/>
      </c>
      <c r="AH226" s="20">
        <f>DATA!E226</f>
        <v/>
      </c>
      <c r="AI226" s="20">
        <f>DATA!G226</f>
        <v/>
      </c>
      <c r="AJ226" s="19">
        <f>AE226*(1+AH226)</f>
        <v/>
      </c>
      <c r="AK226" s="19">
        <f>AF226*(1+AI226)</f>
        <v/>
      </c>
      <c r="AL226" s="19">
        <f>AJ226+AK226</f>
        <v/>
      </c>
      <c r="AM226" s="19">
        <f>IF(AND(CONFIG!$B$11="Annual",MONTH(AC226)=7),AL226*CONFIG!$B$6/12,AM225)</f>
        <v/>
      </c>
      <c r="AN226" s="19">
        <f>IF(AL226=0,0,AJ226-AM226*AJ226/AL226)</f>
        <v/>
      </c>
      <c r="AO226" s="19">
        <f>IF(AL226=0,0,AK226-AM226*AK226/AL226)</f>
        <v/>
      </c>
    </row>
    <row r="227">
      <c r="A227" s="18">
        <f>DATA!A227</f>
        <v/>
      </c>
      <c r="B227">
        <f>DATA!B227</f>
        <v/>
      </c>
      <c r="C227" s="19">
        <f>L226</f>
        <v/>
      </c>
      <c r="D227" s="19">
        <f>M226</f>
        <v/>
      </c>
      <c r="E227" s="19">
        <f>C227+D227</f>
        <v/>
      </c>
      <c r="F227" s="20">
        <f>DATA!C227</f>
        <v/>
      </c>
      <c r="G227" s="20">
        <f>DATA!G227</f>
        <v/>
      </c>
      <c r="H227" s="19">
        <f>C227*(1+F227)</f>
        <v/>
      </c>
      <c r="I227" s="19">
        <f>D227*(1+G227)</f>
        <v/>
      </c>
      <c r="J227" s="19">
        <f>H227+I227</f>
        <v/>
      </c>
      <c r="K227" s="19">
        <f>IF(AND(CONFIG!$B$11="Annual",MONTH(A227)=7),J227*CONFIG!$B$6/12,K226)</f>
        <v/>
      </c>
      <c r="L227" s="19">
        <f>IF(J227=0,0,H227-K227*H227/J227)</f>
        <v/>
      </c>
      <c r="M227" s="19">
        <f>IF(J227=0,0,I227-K227*I227/J227)</f>
        <v/>
      </c>
      <c r="O227" s="18">
        <f>DATA!A227</f>
        <v/>
      </c>
      <c r="P227">
        <f>DATA!B227</f>
        <v/>
      </c>
      <c r="Q227" s="19">
        <f>Z226</f>
        <v/>
      </c>
      <c r="R227" s="19">
        <f>AA226</f>
        <v/>
      </c>
      <c r="S227" s="19">
        <f>Q227+R227</f>
        <v/>
      </c>
      <c r="T227" s="20">
        <f>DATA!D227</f>
        <v/>
      </c>
      <c r="U227" s="20">
        <f>DATA!G227</f>
        <v/>
      </c>
      <c r="V227" s="19">
        <f>Q227*(1+T227)</f>
        <v/>
      </c>
      <c r="W227" s="19">
        <f>R227*(1+U227)</f>
        <v/>
      </c>
      <c r="X227" s="19">
        <f>V227+W227</f>
        <v/>
      </c>
      <c r="Y227" s="19">
        <f>IF(AND(CONFIG!$B$11="Annual",MONTH(O227)=7),X227*CONFIG!$B$6/12,Y226)</f>
        <v/>
      </c>
      <c r="Z227" s="19">
        <f>IF(X227=0,0,V227-Y227*V227/X227)</f>
        <v/>
      </c>
      <c r="AA227" s="19">
        <f>IF(X227=0,0,W227-Y227*W227/X227)</f>
        <v/>
      </c>
      <c r="AC227" s="18">
        <f>DATA!A227</f>
        <v/>
      </c>
      <c r="AD227">
        <f>DATA!B227</f>
        <v/>
      </c>
      <c r="AE227" s="19">
        <f>AN226</f>
        <v/>
      </c>
      <c r="AF227" s="19">
        <f>AO226</f>
        <v/>
      </c>
      <c r="AG227" s="19">
        <f>AE227+AF227</f>
        <v/>
      </c>
      <c r="AH227" s="20">
        <f>DATA!E227</f>
        <v/>
      </c>
      <c r="AI227" s="20">
        <f>DATA!G227</f>
        <v/>
      </c>
      <c r="AJ227" s="19">
        <f>AE227*(1+AH227)</f>
        <v/>
      </c>
      <c r="AK227" s="19">
        <f>AF227*(1+AI227)</f>
        <v/>
      </c>
      <c r="AL227" s="19">
        <f>AJ227+AK227</f>
        <v/>
      </c>
      <c r="AM227" s="19">
        <f>IF(AND(CONFIG!$B$11="Annual",MONTH(AC227)=7),AL227*CONFIG!$B$6/12,AM226)</f>
        <v/>
      </c>
      <c r="AN227" s="19">
        <f>IF(AL227=0,0,AJ227-AM227*AJ227/AL227)</f>
        <v/>
      </c>
      <c r="AO227" s="19">
        <f>IF(AL227=0,0,AK227-AM227*AK227/AL227)</f>
        <v/>
      </c>
    </row>
    <row r="228">
      <c r="A228" s="18">
        <f>DATA!A228</f>
        <v/>
      </c>
      <c r="B228">
        <f>DATA!B228</f>
        <v/>
      </c>
      <c r="C228" s="19">
        <f>L227</f>
        <v/>
      </c>
      <c r="D228" s="19">
        <f>M227</f>
        <v/>
      </c>
      <c r="E228" s="19">
        <f>C228+D228</f>
        <v/>
      </c>
      <c r="F228" s="20">
        <f>DATA!C228</f>
        <v/>
      </c>
      <c r="G228" s="20">
        <f>DATA!G228</f>
        <v/>
      </c>
      <c r="H228" s="19">
        <f>C228*(1+F228)</f>
        <v/>
      </c>
      <c r="I228" s="19">
        <f>D228*(1+G228)</f>
        <v/>
      </c>
      <c r="J228" s="19">
        <f>H228+I228</f>
        <v/>
      </c>
      <c r="K228" s="19">
        <f>IF(AND(CONFIG!$B$11="Annual",MONTH(A228)=7),J228*CONFIG!$B$6/12,K227)</f>
        <v/>
      </c>
      <c r="L228" s="19">
        <f>IF(J228=0,0,H228-K228*H228/J228)</f>
        <v/>
      </c>
      <c r="M228" s="19">
        <f>IF(J228=0,0,I228-K228*I228/J228)</f>
        <v/>
      </c>
      <c r="O228" s="18">
        <f>DATA!A228</f>
        <v/>
      </c>
      <c r="P228">
        <f>DATA!B228</f>
        <v/>
      </c>
      <c r="Q228" s="19">
        <f>Z227</f>
        <v/>
      </c>
      <c r="R228" s="19">
        <f>AA227</f>
        <v/>
      </c>
      <c r="S228" s="19">
        <f>Q228+R228</f>
        <v/>
      </c>
      <c r="T228" s="20">
        <f>DATA!D228</f>
        <v/>
      </c>
      <c r="U228" s="20">
        <f>DATA!G228</f>
        <v/>
      </c>
      <c r="V228" s="19">
        <f>Q228*(1+T228)</f>
        <v/>
      </c>
      <c r="W228" s="19">
        <f>R228*(1+U228)</f>
        <v/>
      </c>
      <c r="X228" s="19">
        <f>V228+W228</f>
        <v/>
      </c>
      <c r="Y228" s="19">
        <f>IF(AND(CONFIG!$B$11="Annual",MONTH(O228)=7),X228*CONFIG!$B$6/12,Y227)</f>
        <v/>
      </c>
      <c r="Z228" s="19">
        <f>IF(X228=0,0,V228-Y228*V228/X228)</f>
        <v/>
      </c>
      <c r="AA228" s="19">
        <f>IF(X228=0,0,W228-Y228*W228/X228)</f>
        <v/>
      </c>
      <c r="AC228" s="18">
        <f>DATA!A228</f>
        <v/>
      </c>
      <c r="AD228">
        <f>DATA!B228</f>
        <v/>
      </c>
      <c r="AE228" s="19">
        <f>AN227</f>
        <v/>
      </c>
      <c r="AF228" s="19">
        <f>AO227</f>
        <v/>
      </c>
      <c r="AG228" s="19">
        <f>AE228+AF228</f>
        <v/>
      </c>
      <c r="AH228" s="20">
        <f>DATA!E228</f>
        <v/>
      </c>
      <c r="AI228" s="20">
        <f>DATA!G228</f>
        <v/>
      </c>
      <c r="AJ228" s="19">
        <f>AE228*(1+AH228)</f>
        <v/>
      </c>
      <c r="AK228" s="19">
        <f>AF228*(1+AI228)</f>
        <v/>
      </c>
      <c r="AL228" s="19">
        <f>AJ228+AK228</f>
        <v/>
      </c>
      <c r="AM228" s="19">
        <f>IF(AND(CONFIG!$B$11="Annual",MONTH(AC228)=7),AL228*CONFIG!$B$6/12,AM227)</f>
        <v/>
      </c>
      <c r="AN228" s="19">
        <f>IF(AL228=0,0,AJ228-AM228*AJ228/AL228)</f>
        <v/>
      </c>
      <c r="AO228" s="19">
        <f>IF(AL228=0,0,AK228-AM228*AK228/AL228)</f>
        <v/>
      </c>
    </row>
    <row r="229">
      <c r="A229" s="18">
        <f>DATA!A229</f>
        <v/>
      </c>
      <c r="B229">
        <f>DATA!B229</f>
        <v/>
      </c>
      <c r="C229" s="19">
        <f>L228</f>
        <v/>
      </c>
      <c r="D229" s="19">
        <f>M228</f>
        <v/>
      </c>
      <c r="E229" s="19">
        <f>C229+D229</f>
        <v/>
      </c>
      <c r="F229" s="20">
        <f>DATA!C229</f>
        <v/>
      </c>
      <c r="G229" s="20">
        <f>DATA!G229</f>
        <v/>
      </c>
      <c r="H229" s="19">
        <f>C229*(1+F229)</f>
        <v/>
      </c>
      <c r="I229" s="19">
        <f>D229*(1+G229)</f>
        <v/>
      </c>
      <c r="J229" s="19">
        <f>H229+I229</f>
        <v/>
      </c>
      <c r="K229" s="19">
        <f>IF(AND(CONFIG!$B$11="Annual",MONTH(A229)=7),J229*CONFIG!$B$6/12,K228)</f>
        <v/>
      </c>
      <c r="L229" s="19">
        <f>IF(J229=0,0,H229-K229*H229/J229)</f>
        <v/>
      </c>
      <c r="M229" s="19">
        <f>IF(J229=0,0,I229-K229*I229/J229)</f>
        <v/>
      </c>
      <c r="O229" s="18">
        <f>DATA!A229</f>
        <v/>
      </c>
      <c r="P229">
        <f>DATA!B229</f>
        <v/>
      </c>
      <c r="Q229" s="19">
        <f>Z228</f>
        <v/>
      </c>
      <c r="R229" s="19">
        <f>AA228</f>
        <v/>
      </c>
      <c r="S229" s="19">
        <f>Q229+R229</f>
        <v/>
      </c>
      <c r="T229" s="20">
        <f>DATA!D229</f>
        <v/>
      </c>
      <c r="U229" s="20">
        <f>DATA!G229</f>
        <v/>
      </c>
      <c r="V229" s="19">
        <f>Q229*(1+T229)</f>
        <v/>
      </c>
      <c r="W229" s="19">
        <f>R229*(1+U229)</f>
        <v/>
      </c>
      <c r="X229" s="19">
        <f>V229+W229</f>
        <v/>
      </c>
      <c r="Y229" s="19">
        <f>IF(AND(CONFIG!$B$11="Annual",MONTH(O229)=7),X229*CONFIG!$B$6/12,Y228)</f>
        <v/>
      </c>
      <c r="Z229" s="19">
        <f>IF(X229=0,0,V229-Y229*V229/X229)</f>
        <v/>
      </c>
      <c r="AA229" s="19">
        <f>IF(X229=0,0,W229-Y229*W229/X229)</f>
        <v/>
      </c>
      <c r="AC229" s="18">
        <f>DATA!A229</f>
        <v/>
      </c>
      <c r="AD229">
        <f>DATA!B229</f>
        <v/>
      </c>
      <c r="AE229" s="19">
        <f>AN228</f>
        <v/>
      </c>
      <c r="AF229" s="19">
        <f>AO228</f>
        <v/>
      </c>
      <c r="AG229" s="19">
        <f>AE229+AF229</f>
        <v/>
      </c>
      <c r="AH229" s="20">
        <f>DATA!E229</f>
        <v/>
      </c>
      <c r="AI229" s="20">
        <f>DATA!G229</f>
        <v/>
      </c>
      <c r="AJ229" s="19">
        <f>AE229*(1+AH229)</f>
        <v/>
      </c>
      <c r="AK229" s="19">
        <f>AF229*(1+AI229)</f>
        <v/>
      </c>
      <c r="AL229" s="19">
        <f>AJ229+AK229</f>
        <v/>
      </c>
      <c r="AM229" s="19">
        <f>IF(AND(CONFIG!$B$11="Annual",MONTH(AC229)=7),AL229*CONFIG!$B$6/12,AM228)</f>
        <v/>
      </c>
      <c r="AN229" s="19">
        <f>IF(AL229=0,0,AJ229-AM229*AJ229/AL229)</f>
        <v/>
      </c>
      <c r="AO229" s="19">
        <f>IF(AL229=0,0,AK229-AM229*AK229/AL229)</f>
        <v/>
      </c>
    </row>
    <row r="230">
      <c r="A230" s="18">
        <f>DATA!A230</f>
        <v/>
      </c>
      <c r="B230">
        <f>DATA!B230</f>
        <v/>
      </c>
      <c r="C230" s="19">
        <f>L229</f>
        <v/>
      </c>
      <c r="D230" s="19">
        <f>M229</f>
        <v/>
      </c>
      <c r="E230" s="19">
        <f>C230+D230</f>
        <v/>
      </c>
      <c r="F230" s="20">
        <f>DATA!C230</f>
        <v/>
      </c>
      <c r="G230" s="20">
        <f>DATA!G230</f>
        <v/>
      </c>
      <c r="H230" s="19">
        <f>C230*(1+F230)</f>
        <v/>
      </c>
      <c r="I230" s="19">
        <f>D230*(1+G230)</f>
        <v/>
      </c>
      <c r="J230" s="19">
        <f>H230+I230</f>
        <v/>
      </c>
      <c r="K230" s="19">
        <f>IF(AND(CONFIG!$B$11="Annual",MONTH(A230)=7),J230*CONFIG!$B$6/12,K229)</f>
        <v/>
      </c>
      <c r="L230" s="19">
        <f>IF(J230=0,0,H230-K230*H230/J230)</f>
        <v/>
      </c>
      <c r="M230" s="19">
        <f>IF(J230=0,0,I230-K230*I230/J230)</f>
        <v/>
      </c>
      <c r="O230" s="18">
        <f>DATA!A230</f>
        <v/>
      </c>
      <c r="P230">
        <f>DATA!B230</f>
        <v/>
      </c>
      <c r="Q230" s="19">
        <f>Z229</f>
        <v/>
      </c>
      <c r="R230" s="19">
        <f>AA229</f>
        <v/>
      </c>
      <c r="S230" s="19">
        <f>Q230+R230</f>
        <v/>
      </c>
      <c r="T230" s="20">
        <f>DATA!D230</f>
        <v/>
      </c>
      <c r="U230" s="20">
        <f>DATA!G230</f>
        <v/>
      </c>
      <c r="V230" s="19">
        <f>Q230*(1+T230)</f>
        <v/>
      </c>
      <c r="W230" s="19">
        <f>R230*(1+U230)</f>
        <v/>
      </c>
      <c r="X230" s="19">
        <f>V230+W230</f>
        <v/>
      </c>
      <c r="Y230" s="19">
        <f>IF(AND(CONFIG!$B$11="Annual",MONTH(O230)=7),X230*CONFIG!$B$6/12,Y229)</f>
        <v/>
      </c>
      <c r="Z230" s="19">
        <f>IF(X230=0,0,V230-Y230*V230/X230)</f>
        <v/>
      </c>
      <c r="AA230" s="19">
        <f>IF(X230=0,0,W230-Y230*W230/X230)</f>
        <v/>
      </c>
      <c r="AC230" s="18">
        <f>DATA!A230</f>
        <v/>
      </c>
      <c r="AD230">
        <f>DATA!B230</f>
        <v/>
      </c>
      <c r="AE230" s="19">
        <f>AN229</f>
        <v/>
      </c>
      <c r="AF230" s="19">
        <f>AO229</f>
        <v/>
      </c>
      <c r="AG230" s="19">
        <f>AE230+AF230</f>
        <v/>
      </c>
      <c r="AH230" s="20">
        <f>DATA!E230</f>
        <v/>
      </c>
      <c r="AI230" s="20">
        <f>DATA!G230</f>
        <v/>
      </c>
      <c r="AJ230" s="19">
        <f>AE230*(1+AH230)</f>
        <v/>
      </c>
      <c r="AK230" s="19">
        <f>AF230*(1+AI230)</f>
        <v/>
      </c>
      <c r="AL230" s="19">
        <f>AJ230+AK230</f>
        <v/>
      </c>
      <c r="AM230" s="19">
        <f>IF(AND(CONFIG!$B$11="Annual",MONTH(AC230)=7),AL230*CONFIG!$B$6/12,AM229)</f>
        <v/>
      </c>
      <c r="AN230" s="19">
        <f>IF(AL230=0,0,AJ230-AM230*AJ230/AL230)</f>
        <v/>
      </c>
      <c r="AO230" s="19">
        <f>IF(AL230=0,0,AK230-AM230*AK230/AL230)</f>
        <v/>
      </c>
    </row>
    <row r="231">
      <c r="A231" s="18">
        <f>DATA!A231</f>
        <v/>
      </c>
      <c r="B231">
        <f>DATA!B231</f>
        <v/>
      </c>
      <c r="C231" s="19">
        <f>L230</f>
        <v/>
      </c>
      <c r="D231" s="19">
        <f>M230</f>
        <v/>
      </c>
      <c r="E231" s="19">
        <f>C231+D231</f>
        <v/>
      </c>
      <c r="F231" s="20">
        <f>DATA!C231</f>
        <v/>
      </c>
      <c r="G231" s="20">
        <f>DATA!G231</f>
        <v/>
      </c>
      <c r="H231" s="19">
        <f>C231*(1+F231)</f>
        <v/>
      </c>
      <c r="I231" s="19">
        <f>D231*(1+G231)</f>
        <v/>
      </c>
      <c r="J231" s="19">
        <f>H231+I231</f>
        <v/>
      </c>
      <c r="K231" s="19">
        <f>IF(AND(CONFIG!$B$11="Annual",MONTH(A231)=7),J231*CONFIG!$B$6/12,K230)</f>
        <v/>
      </c>
      <c r="L231" s="19">
        <f>IF(J231=0,0,H231-K231*H231/J231)</f>
        <v/>
      </c>
      <c r="M231" s="19">
        <f>IF(J231=0,0,I231-K231*I231/J231)</f>
        <v/>
      </c>
      <c r="O231" s="18">
        <f>DATA!A231</f>
        <v/>
      </c>
      <c r="P231">
        <f>DATA!B231</f>
        <v/>
      </c>
      <c r="Q231" s="19">
        <f>Z230</f>
        <v/>
      </c>
      <c r="R231" s="19">
        <f>AA230</f>
        <v/>
      </c>
      <c r="S231" s="19">
        <f>Q231+R231</f>
        <v/>
      </c>
      <c r="T231" s="20">
        <f>DATA!D231</f>
        <v/>
      </c>
      <c r="U231" s="20">
        <f>DATA!G231</f>
        <v/>
      </c>
      <c r="V231" s="19">
        <f>Q231*(1+T231)</f>
        <v/>
      </c>
      <c r="W231" s="19">
        <f>R231*(1+U231)</f>
        <v/>
      </c>
      <c r="X231" s="19">
        <f>V231+W231</f>
        <v/>
      </c>
      <c r="Y231" s="19">
        <f>IF(AND(CONFIG!$B$11="Annual",MONTH(O231)=7),X231*CONFIG!$B$6/12,Y230)</f>
        <v/>
      </c>
      <c r="Z231" s="19">
        <f>IF(X231=0,0,V231-Y231*V231/X231)</f>
        <v/>
      </c>
      <c r="AA231" s="19">
        <f>IF(X231=0,0,W231-Y231*W231/X231)</f>
        <v/>
      </c>
      <c r="AC231" s="18">
        <f>DATA!A231</f>
        <v/>
      </c>
      <c r="AD231">
        <f>DATA!B231</f>
        <v/>
      </c>
      <c r="AE231" s="19">
        <f>AN230</f>
        <v/>
      </c>
      <c r="AF231" s="19">
        <f>AO230</f>
        <v/>
      </c>
      <c r="AG231" s="19">
        <f>AE231+AF231</f>
        <v/>
      </c>
      <c r="AH231" s="20">
        <f>DATA!E231</f>
        <v/>
      </c>
      <c r="AI231" s="20">
        <f>DATA!G231</f>
        <v/>
      </c>
      <c r="AJ231" s="19">
        <f>AE231*(1+AH231)</f>
        <v/>
      </c>
      <c r="AK231" s="19">
        <f>AF231*(1+AI231)</f>
        <v/>
      </c>
      <c r="AL231" s="19">
        <f>AJ231+AK231</f>
        <v/>
      </c>
      <c r="AM231" s="19">
        <f>IF(AND(CONFIG!$B$11="Annual",MONTH(AC231)=7),AL231*CONFIG!$B$6/12,AM230)</f>
        <v/>
      </c>
      <c r="AN231" s="19">
        <f>IF(AL231=0,0,AJ231-AM231*AJ231/AL231)</f>
        <v/>
      </c>
      <c r="AO231" s="19">
        <f>IF(AL231=0,0,AK231-AM231*AK231/AL231)</f>
        <v/>
      </c>
    </row>
    <row r="232">
      <c r="A232" s="18">
        <f>DATA!A232</f>
        <v/>
      </c>
      <c r="B232">
        <f>DATA!B232</f>
        <v/>
      </c>
      <c r="C232" s="19">
        <f>L231</f>
        <v/>
      </c>
      <c r="D232" s="19">
        <f>M231</f>
        <v/>
      </c>
      <c r="E232" s="19">
        <f>C232+D232</f>
        <v/>
      </c>
      <c r="F232" s="20">
        <f>DATA!C232</f>
        <v/>
      </c>
      <c r="G232" s="20">
        <f>DATA!G232</f>
        <v/>
      </c>
      <c r="H232" s="19">
        <f>C232*(1+F232)</f>
        <v/>
      </c>
      <c r="I232" s="19">
        <f>D232*(1+G232)</f>
        <v/>
      </c>
      <c r="J232" s="19">
        <f>H232+I232</f>
        <v/>
      </c>
      <c r="K232" s="19">
        <f>IF(AND(CONFIG!$B$11="Annual",MONTH(A232)=7),J232*CONFIG!$B$6/12,K231)</f>
        <v/>
      </c>
      <c r="L232" s="19">
        <f>IF(J232=0,0,H232-K232*H232/J232)</f>
        <v/>
      </c>
      <c r="M232" s="19">
        <f>IF(J232=0,0,I232-K232*I232/J232)</f>
        <v/>
      </c>
      <c r="O232" s="18">
        <f>DATA!A232</f>
        <v/>
      </c>
      <c r="P232">
        <f>DATA!B232</f>
        <v/>
      </c>
      <c r="Q232" s="19">
        <f>Z231</f>
        <v/>
      </c>
      <c r="R232" s="19">
        <f>AA231</f>
        <v/>
      </c>
      <c r="S232" s="19">
        <f>Q232+R232</f>
        <v/>
      </c>
      <c r="T232" s="20">
        <f>DATA!D232</f>
        <v/>
      </c>
      <c r="U232" s="20">
        <f>DATA!G232</f>
        <v/>
      </c>
      <c r="V232" s="19">
        <f>Q232*(1+T232)</f>
        <v/>
      </c>
      <c r="W232" s="19">
        <f>R232*(1+U232)</f>
        <v/>
      </c>
      <c r="X232" s="19">
        <f>V232+W232</f>
        <v/>
      </c>
      <c r="Y232" s="19">
        <f>IF(AND(CONFIG!$B$11="Annual",MONTH(O232)=7),X232*CONFIG!$B$6/12,Y231)</f>
        <v/>
      </c>
      <c r="Z232" s="19">
        <f>IF(X232=0,0,V232-Y232*V232/X232)</f>
        <v/>
      </c>
      <c r="AA232" s="19">
        <f>IF(X232=0,0,W232-Y232*W232/X232)</f>
        <v/>
      </c>
      <c r="AC232" s="18">
        <f>DATA!A232</f>
        <v/>
      </c>
      <c r="AD232">
        <f>DATA!B232</f>
        <v/>
      </c>
      <c r="AE232" s="19">
        <f>AN231</f>
        <v/>
      </c>
      <c r="AF232" s="19">
        <f>AO231</f>
        <v/>
      </c>
      <c r="AG232" s="19">
        <f>AE232+AF232</f>
        <v/>
      </c>
      <c r="AH232" s="20">
        <f>DATA!E232</f>
        <v/>
      </c>
      <c r="AI232" s="20">
        <f>DATA!G232</f>
        <v/>
      </c>
      <c r="AJ232" s="19">
        <f>AE232*(1+AH232)</f>
        <v/>
      </c>
      <c r="AK232" s="19">
        <f>AF232*(1+AI232)</f>
        <v/>
      </c>
      <c r="AL232" s="19">
        <f>AJ232+AK232</f>
        <v/>
      </c>
      <c r="AM232" s="19">
        <f>IF(AND(CONFIG!$B$11="Annual",MONTH(AC232)=7),AL232*CONFIG!$B$6/12,AM231)</f>
        <v/>
      </c>
      <c r="AN232" s="19">
        <f>IF(AL232=0,0,AJ232-AM232*AJ232/AL232)</f>
        <v/>
      </c>
      <c r="AO232" s="19">
        <f>IF(AL232=0,0,AK232-AM232*AK232/AL232)</f>
        <v/>
      </c>
    </row>
    <row r="233">
      <c r="A233" s="18">
        <f>DATA!A233</f>
        <v/>
      </c>
      <c r="B233">
        <f>DATA!B233</f>
        <v/>
      </c>
      <c r="C233" s="19">
        <f>L232</f>
        <v/>
      </c>
      <c r="D233" s="19">
        <f>M232</f>
        <v/>
      </c>
      <c r="E233" s="19">
        <f>C233+D233</f>
        <v/>
      </c>
      <c r="F233" s="20">
        <f>DATA!C233</f>
        <v/>
      </c>
      <c r="G233" s="20">
        <f>DATA!G233</f>
        <v/>
      </c>
      <c r="H233" s="19">
        <f>C233*(1+F233)</f>
        <v/>
      </c>
      <c r="I233" s="19">
        <f>D233*(1+G233)</f>
        <v/>
      </c>
      <c r="J233" s="19">
        <f>H233+I233</f>
        <v/>
      </c>
      <c r="K233" s="19">
        <f>IF(AND(CONFIG!$B$11="Annual",MONTH(A233)=7),J233*CONFIG!$B$6/12,K232)</f>
        <v/>
      </c>
      <c r="L233" s="19">
        <f>IF(J233=0,0,H233-K233*H233/J233)</f>
        <v/>
      </c>
      <c r="M233" s="19">
        <f>IF(J233=0,0,I233-K233*I233/J233)</f>
        <v/>
      </c>
      <c r="O233" s="18">
        <f>DATA!A233</f>
        <v/>
      </c>
      <c r="P233">
        <f>DATA!B233</f>
        <v/>
      </c>
      <c r="Q233" s="19">
        <f>Z232</f>
        <v/>
      </c>
      <c r="R233" s="19">
        <f>AA232</f>
        <v/>
      </c>
      <c r="S233" s="19">
        <f>Q233+R233</f>
        <v/>
      </c>
      <c r="T233" s="20">
        <f>DATA!D233</f>
        <v/>
      </c>
      <c r="U233" s="20">
        <f>DATA!G233</f>
        <v/>
      </c>
      <c r="V233" s="19">
        <f>Q233*(1+T233)</f>
        <v/>
      </c>
      <c r="W233" s="19">
        <f>R233*(1+U233)</f>
        <v/>
      </c>
      <c r="X233" s="19">
        <f>V233+W233</f>
        <v/>
      </c>
      <c r="Y233" s="19">
        <f>IF(AND(CONFIG!$B$11="Annual",MONTH(O233)=7),X233*CONFIG!$B$6/12,Y232)</f>
        <v/>
      </c>
      <c r="Z233" s="19">
        <f>IF(X233=0,0,V233-Y233*V233/X233)</f>
        <v/>
      </c>
      <c r="AA233" s="19">
        <f>IF(X233=0,0,W233-Y233*W233/X233)</f>
        <v/>
      </c>
      <c r="AC233" s="18">
        <f>DATA!A233</f>
        <v/>
      </c>
      <c r="AD233">
        <f>DATA!B233</f>
        <v/>
      </c>
      <c r="AE233" s="19">
        <f>AN232</f>
        <v/>
      </c>
      <c r="AF233" s="19">
        <f>AO232</f>
        <v/>
      </c>
      <c r="AG233" s="19">
        <f>AE233+AF233</f>
        <v/>
      </c>
      <c r="AH233" s="20">
        <f>DATA!E233</f>
        <v/>
      </c>
      <c r="AI233" s="20">
        <f>DATA!G233</f>
        <v/>
      </c>
      <c r="AJ233" s="19">
        <f>AE233*(1+AH233)</f>
        <v/>
      </c>
      <c r="AK233" s="19">
        <f>AF233*(1+AI233)</f>
        <v/>
      </c>
      <c r="AL233" s="19">
        <f>AJ233+AK233</f>
        <v/>
      </c>
      <c r="AM233" s="19">
        <f>IF(AND(CONFIG!$B$11="Annual",MONTH(AC233)=7),AL233*CONFIG!$B$6/12,AM232)</f>
        <v/>
      </c>
      <c r="AN233" s="19">
        <f>IF(AL233=0,0,AJ233-AM233*AJ233/AL233)</f>
        <v/>
      </c>
      <c r="AO233" s="19">
        <f>IF(AL233=0,0,AK233-AM233*AK233/AL233)</f>
        <v/>
      </c>
    </row>
    <row r="234">
      <c r="A234" s="18">
        <f>DATA!A234</f>
        <v/>
      </c>
      <c r="B234">
        <f>DATA!B234</f>
        <v/>
      </c>
      <c r="C234" s="19">
        <f>L233</f>
        <v/>
      </c>
      <c r="D234" s="19">
        <f>M233</f>
        <v/>
      </c>
      <c r="E234" s="19">
        <f>C234+D234</f>
        <v/>
      </c>
      <c r="F234" s="20">
        <f>DATA!C234</f>
        <v/>
      </c>
      <c r="G234" s="20">
        <f>DATA!G234</f>
        <v/>
      </c>
      <c r="H234" s="19">
        <f>C234*(1+F234)</f>
        <v/>
      </c>
      <c r="I234" s="19">
        <f>D234*(1+G234)</f>
        <v/>
      </c>
      <c r="J234" s="19">
        <f>H234+I234</f>
        <v/>
      </c>
      <c r="K234" s="19">
        <f>IF(AND(CONFIG!$B$11="Annual",MONTH(A234)=7),J234*CONFIG!$B$6/12,K233)</f>
        <v/>
      </c>
      <c r="L234" s="19">
        <f>IF(J234=0,0,H234-K234*H234/J234)</f>
        <v/>
      </c>
      <c r="M234" s="19">
        <f>IF(J234=0,0,I234-K234*I234/J234)</f>
        <v/>
      </c>
      <c r="O234" s="18">
        <f>DATA!A234</f>
        <v/>
      </c>
      <c r="P234">
        <f>DATA!B234</f>
        <v/>
      </c>
      <c r="Q234" s="19">
        <f>Z233</f>
        <v/>
      </c>
      <c r="R234" s="19">
        <f>AA233</f>
        <v/>
      </c>
      <c r="S234" s="19">
        <f>Q234+R234</f>
        <v/>
      </c>
      <c r="T234" s="20">
        <f>DATA!D234</f>
        <v/>
      </c>
      <c r="U234" s="20">
        <f>DATA!G234</f>
        <v/>
      </c>
      <c r="V234" s="19">
        <f>Q234*(1+T234)</f>
        <v/>
      </c>
      <c r="W234" s="19">
        <f>R234*(1+U234)</f>
        <v/>
      </c>
      <c r="X234" s="19">
        <f>V234+W234</f>
        <v/>
      </c>
      <c r="Y234" s="19">
        <f>IF(AND(CONFIG!$B$11="Annual",MONTH(O234)=7),X234*CONFIG!$B$6/12,Y233)</f>
        <v/>
      </c>
      <c r="Z234" s="19">
        <f>IF(X234=0,0,V234-Y234*V234/X234)</f>
        <v/>
      </c>
      <c r="AA234" s="19">
        <f>IF(X234=0,0,W234-Y234*W234/X234)</f>
        <v/>
      </c>
      <c r="AC234" s="18">
        <f>DATA!A234</f>
        <v/>
      </c>
      <c r="AD234">
        <f>DATA!B234</f>
        <v/>
      </c>
      <c r="AE234" s="19">
        <f>AN233</f>
        <v/>
      </c>
      <c r="AF234" s="19">
        <f>AO233</f>
        <v/>
      </c>
      <c r="AG234" s="19">
        <f>AE234+AF234</f>
        <v/>
      </c>
      <c r="AH234" s="20">
        <f>DATA!E234</f>
        <v/>
      </c>
      <c r="AI234" s="20">
        <f>DATA!G234</f>
        <v/>
      </c>
      <c r="AJ234" s="19">
        <f>AE234*(1+AH234)</f>
        <v/>
      </c>
      <c r="AK234" s="19">
        <f>AF234*(1+AI234)</f>
        <v/>
      </c>
      <c r="AL234" s="19">
        <f>AJ234+AK234</f>
        <v/>
      </c>
      <c r="AM234" s="19">
        <f>IF(AND(CONFIG!$B$11="Annual",MONTH(AC234)=7),AL234*CONFIG!$B$6/12,AM233)</f>
        <v/>
      </c>
      <c r="AN234" s="19">
        <f>IF(AL234=0,0,AJ234-AM234*AJ234/AL234)</f>
        <v/>
      </c>
      <c r="AO234" s="19">
        <f>IF(AL234=0,0,AK234-AM234*AK234/AL234)</f>
        <v/>
      </c>
    </row>
    <row r="235">
      <c r="A235" s="18">
        <f>DATA!A235</f>
        <v/>
      </c>
      <c r="B235">
        <f>DATA!B235</f>
        <v/>
      </c>
      <c r="C235" s="19">
        <f>L234</f>
        <v/>
      </c>
      <c r="D235" s="19">
        <f>M234</f>
        <v/>
      </c>
      <c r="E235" s="19">
        <f>C235+D235</f>
        <v/>
      </c>
      <c r="F235" s="20">
        <f>DATA!C235</f>
        <v/>
      </c>
      <c r="G235" s="20">
        <f>DATA!G235</f>
        <v/>
      </c>
      <c r="H235" s="19">
        <f>C235*(1+F235)</f>
        <v/>
      </c>
      <c r="I235" s="19">
        <f>D235*(1+G235)</f>
        <v/>
      </c>
      <c r="J235" s="19">
        <f>H235+I235</f>
        <v/>
      </c>
      <c r="K235" s="19">
        <f>IF(AND(CONFIG!$B$11="Annual",MONTH(A235)=7),J235*CONFIG!$B$6/12,K234)</f>
        <v/>
      </c>
      <c r="L235" s="19">
        <f>IF(J235=0,0,H235-K235*H235/J235)</f>
        <v/>
      </c>
      <c r="M235" s="19">
        <f>IF(J235=0,0,I235-K235*I235/J235)</f>
        <v/>
      </c>
      <c r="O235" s="18">
        <f>DATA!A235</f>
        <v/>
      </c>
      <c r="P235">
        <f>DATA!B235</f>
        <v/>
      </c>
      <c r="Q235" s="19">
        <f>Z234</f>
        <v/>
      </c>
      <c r="R235" s="19">
        <f>AA234</f>
        <v/>
      </c>
      <c r="S235" s="19">
        <f>Q235+R235</f>
        <v/>
      </c>
      <c r="T235" s="20">
        <f>DATA!D235</f>
        <v/>
      </c>
      <c r="U235" s="20">
        <f>DATA!G235</f>
        <v/>
      </c>
      <c r="V235" s="19">
        <f>Q235*(1+T235)</f>
        <v/>
      </c>
      <c r="W235" s="19">
        <f>R235*(1+U235)</f>
        <v/>
      </c>
      <c r="X235" s="19">
        <f>V235+W235</f>
        <v/>
      </c>
      <c r="Y235" s="19">
        <f>IF(AND(CONFIG!$B$11="Annual",MONTH(O235)=7),X235*CONFIG!$B$6/12,Y234)</f>
        <v/>
      </c>
      <c r="Z235" s="19">
        <f>IF(X235=0,0,V235-Y235*V235/X235)</f>
        <v/>
      </c>
      <c r="AA235" s="19">
        <f>IF(X235=0,0,W235-Y235*W235/X235)</f>
        <v/>
      </c>
      <c r="AC235" s="18">
        <f>DATA!A235</f>
        <v/>
      </c>
      <c r="AD235">
        <f>DATA!B235</f>
        <v/>
      </c>
      <c r="AE235" s="19">
        <f>AN234</f>
        <v/>
      </c>
      <c r="AF235" s="19">
        <f>AO234</f>
        <v/>
      </c>
      <c r="AG235" s="19">
        <f>AE235+AF235</f>
        <v/>
      </c>
      <c r="AH235" s="20">
        <f>DATA!E235</f>
        <v/>
      </c>
      <c r="AI235" s="20">
        <f>DATA!G235</f>
        <v/>
      </c>
      <c r="AJ235" s="19">
        <f>AE235*(1+AH235)</f>
        <v/>
      </c>
      <c r="AK235" s="19">
        <f>AF235*(1+AI235)</f>
        <v/>
      </c>
      <c r="AL235" s="19">
        <f>AJ235+AK235</f>
        <v/>
      </c>
      <c r="AM235" s="19">
        <f>IF(AND(CONFIG!$B$11="Annual",MONTH(AC235)=7),AL235*CONFIG!$B$6/12,AM234)</f>
        <v/>
      </c>
      <c r="AN235" s="19">
        <f>IF(AL235=0,0,AJ235-AM235*AJ235/AL235)</f>
        <v/>
      </c>
      <c r="AO235" s="19">
        <f>IF(AL235=0,0,AK235-AM235*AK235/AL235)</f>
        <v/>
      </c>
    </row>
    <row r="236">
      <c r="A236" s="18">
        <f>DATA!A236</f>
        <v/>
      </c>
      <c r="B236">
        <f>DATA!B236</f>
        <v/>
      </c>
      <c r="C236" s="19">
        <f>L235</f>
        <v/>
      </c>
      <c r="D236" s="19">
        <f>M235</f>
        <v/>
      </c>
      <c r="E236" s="19">
        <f>C236+D236</f>
        <v/>
      </c>
      <c r="F236" s="20">
        <f>DATA!C236</f>
        <v/>
      </c>
      <c r="G236" s="20">
        <f>DATA!G236</f>
        <v/>
      </c>
      <c r="H236" s="19">
        <f>C236*(1+F236)</f>
        <v/>
      </c>
      <c r="I236" s="19">
        <f>D236*(1+G236)</f>
        <v/>
      </c>
      <c r="J236" s="19">
        <f>H236+I236</f>
        <v/>
      </c>
      <c r="K236" s="19">
        <f>IF(AND(CONFIG!$B$11="Annual",MONTH(A236)=7),J236*CONFIG!$B$6/12,K235)</f>
        <v/>
      </c>
      <c r="L236" s="19">
        <f>IF(J236=0,0,H236-K236*H236/J236)</f>
        <v/>
      </c>
      <c r="M236" s="19">
        <f>IF(J236=0,0,I236-K236*I236/J236)</f>
        <v/>
      </c>
      <c r="O236" s="18">
        <f>DATA!A236</f>
        <v/>
      </c>
      <c r="P236">
        <f>DATA!B236</f>
        <v/>
      </c>
      <c r="Q236" s="19">
        <f>Z235</f>
        <v/>
      </c>
      <c r="R236" s="19">
        <f>AA235</f>
        <v/>
      </c>
      <c r="S236" s="19">
        <f>Q236+R236</f>
        <v/>
      </c>
      <c r="T236" s="20">
        <f>DATA!D236</f>
        <v/>
      </c>
      <c r="U236" s="20">
        <f>DATA!G236</f>
        <v/>
      </c>
      <c r="V236" s="19">
        <f>Q236*(1+T236)</f>
        <v/>
      </c>
      <c r="W236" s="19">
        <f>R236*(1+U236)</f>
        <v/>
      </c>
      <c r="X236" s="19">
        <f>V236+W236</f>
        <v/>
      </c>
      <c r="Y236" s="19">
        <f>IF(AND(CONFIG!$B$11="Annual",MONTH(O236)=7),X236*CONFIG!$B$6/12,Y235)</f>
        <v/>
      </c>
      <c r="Z236" s="19">
        <f>IF(X236=0,0,V236-Y236*V236/X236)</f>
        <v/>
      </c>
      <c r="AA236" s="19">
        <f>IF(X236=0,0,W236-Y236*W236/X236)</f>
        <v/>
      </c>
      <c r="AC236" s="18">
        <f>DATA!A236</f>
        <v/>
      </c>
      <c r="AD236">
        <f>DATA!B236</f>
        <v/>
      </c>
      <c r="AE236" s="19">
        <f>AN235</f>
        <v/>
      </c>
      <c r="AF236" s="19">
        <f>AO235</f>
        <v/>
      </c>
      <c r="AG236" s="19">
        <f>AE236+AF236</f>
        <v/>
      </c>
      <c r="AH236" s="20">
        <f>DATA!E236</f>
        <v/>
      </c>
      <c r="AI236" s="20">
        <f>DATA!G236</f>
        <v/>
      </c>
      <c r="AJ236" s="19">
        <f>AE236*(1+AH236)</f>
        <v/>
      </c>
      <c r="AK236" s="19">
        <f>AF236*(1+AI236)</f>
        <v/>
      </c>
      <c r="AL236" s="19">
        <f>AJ236+AK236</f>
        <v/>
      </c>
      <c r="AM236" s="19">
        <f>IF(AND(CONFIG!$B$11="Annual",MONTH(AC236)=7),AL236*CONFIG!$B$6/12,AM235)</f>
        <v/>
      </c>
      <c r="AN236" s="19">
        <f>IF(AL236=0,0,AJ236-AM236*AJ236/AL236)</f>
        <v/>
      </c>
      <c r="AO236" s="19">
        <f>IF(AL236=0,0,AK236-AM236*AK236/AL236)</f>
        <v/>
      </c>
    </row>
    <row r="237">
      <c r="A237" s="18">
        <f>DATA!A237</f>
        <v/>
      </c>
      <c r="B237">
        <f>DATA!B237</f>
        <v/>
      </c>
      <c r="C237" s="19">
        <f>L236</f>
        <v/>
      </c>
      <c r="D237" s="19">
        <f>M236</f>
        <v/>
      </c>
      <c r="E237" s="19">
        <f>C237+D237</f>
        <v/>
      </c>
      <c r="F237" s="20">
        <f>DATA!C237</f>
        <v/>
      </c>
      <c r="G237" s="20">
        <f>DATA!G237</f>
        <v/>
      </c>
      <c r="H237" s="19">
        <f>C237*(1+F237)</f>
        <v/>
      </c>
      <c r="I237" s="19">
        <f>D237*(1+G237)</f>
        <v/>
      </c>
      <c r="J237" s="19">
        <f>H237+I237</f>
        <v/>
      </c>
      <c r="K237" s="19">
        <f>IF(AND(CONFIG!$B$11="Annual",MONTH(A237)=7),J237*CONFIG!$B$6/12,K236)</f>
        <v/>
      </c>
      <c r="L237" s="19">
        <f>IF(J237=0,0,H237-K237*H237/J237)</f>
        <v/>
      </c>
      <c r="M237" s="19">
        <f>IF(J237=0,0,I237-K237*I237/J237)</f>
        <v/>
      </c>
      <c r="O237" s="18">
        <f>DATA!A237</f>
        <v/>
      </c>
      <c r="P237">
        <f>DATA!B237</f>
        <v/>
      </c>
      <c r="Q237" s="19">
        <f>Z236</f>
        <v/>
      </c>
      <c r="R237" s="19">
        <f>AA236</f>
        <v/>
      </c>
      <c r="S237" s="19">
        <f>Q237+R237</f>
        <v/>
      </c>
      <c r="T237" s="20">
        <f>DATA!D237</f>
        <v/>
      </c>
      <c r="U237" s="20">
        <f>DATA!G237</f>
        <v/>
      </c>
      <c r="V237" s="19">
        <f>Q237*(1+T237)</f>
        <v/>
      </c>
      <c r="W237" s="19">
        <f>R237*(1+U237)</f>
        <v/>
      </c>
      <c r="X237" s="19">
        <f>V237+W237</f>
        <v/>
      </c>
      <c r="Y237" s="19">
        <f>IF(AND(CONFIG!$B$11="Annual",MONTH(O237)=7),X237*CONFIG!$B$6/12,Y236)</f>
        <v/>
      </c>
      <c r="Z237" s="19">
        <f>IF(X237=0,0,V237-Y237*V237/X237)</f>
        <v/>
      </c>
      <c r="AA237" s="19">
        <f>IF(X237=0,0,W237-Y237*W237/X237)</f>
        <v/>
      </c>
      <c r="AC237" s="18">
        <f>DATA!A237</f>
        <v/>
      </c>
      <c r="AD237">
        <f>DATA!B237</f>
        <v/>
      </c>
      <c r="AE237" s="19">
        <f>AN236</f>
        <v/>
      </c>
      <c r="AF237" s="19">
        <f>AO236</f>
        <v/>
      </c>
      <c r="AG237" s="19">
        <f>AE237+AF237</f>
        <v/>
      </c>
      <c r="AH237" s="20">
        <f>DATA!E237</f>
        <v/>
      </c>
      <c r="AI237" s="20">
        <f>DATA!G237</f>
        <v/>
      </c>
      <c r="AJ237" s="19">
        <f>AE237*(1+AH237)</f>
        <v/>
      </c>
      <c r="AK237" s="19">
        <f>AF237*(1+AI237)</f>
        <v/>
      </c>
      <c r="AL237" s="19">
        <f>AJ237+AK237</f>
        <v/>
      </c>
      <c r="AM237" s="19">
        <f>IF(AND(CONFIG!$B$11="Annual",MONTH(AC237)=7),AL237*CONFIG!$B$6/12,AM236)</f>
        <v/>
      </c>
      <c r="AN237" s="19">
        <f>IF(AL237=0,0,AJ237-AM237*AJ237/AL237)</f>
        <v/>
      </c>
      <c r="AO237" s="19">
        <f>IF(AL237=0,0,AK237-AM237*AK237/AL237)</f>
        <v/>
      </c>
    </row>
    <row r="238">
      <c r="A238" s="18">
        <f>DATA!A238</f>
        <v/>
      </c>
      <c r="B238">
        <f>DATA!B238</f>
        <v/>
      </c>
      <c r="C238" s="19">
        <f>L237</f>
        <v/>
      </c>
      <c r="D238" s="19">
        <f>M237</f>
        <v/>
      </c>
      <c r="E238" s="19">
        <f>C238+D238</f>
        <v/>
      </c>
      <c r="F238" s="20">
        <f>DATA!C238</f>
        <v/>
      </c>
      <c r="G238" s="20">
        <f>DATA!G238</f>
        <v/>
      </c>
      <c r="H238" s="19">
        <f>C238*(1+F238)</f>
        <v/>
      </c>
      <c r="I238" s="19">
        <f>D238*(1+G238)</f>
        <v/>
      </c>
      <c r="J238" s="19">
        <f>H238+I238</f>
        <v/>
      </c>
      <c r="K238" s="19">
        <f>IF(AND(CONFIG!$B$11="Annual",MONTH(A238)=7),J238*CONFIG!$B$6/12,K237)</f>
        <v/>
      </c>
      <c r="L238" s="19">
        <f>IF(J238=0,0,H238-K238*H238/J238)</f>
        <v/>
      </c>
      <c r="M238" s="19">
        <f>IF(J238=0,0,I238-K238*I238/J238)</f>
        <v/>
      </c>
      <c r="O238" s="18">
        <f>DATA!A238</f>
        <v/>
      </c>
      <c r="P238">
        <f>DATA!B238</f>
        <v/>
      </c>
      <c r="Q238" s="19">
        <f>Z237</f>
        <v/>
      </c>
      <c r="R238" s="19">
        <f>AA237</f>
        <v/>
      </c>
      <c r="S238" s="19">
        <f>Q238+R238</f>
        <v/>
      </c>
      <c r="T238" s="20">
        <f>DATA!D238</f>
        <v/>
      </c>
      <c r="U238" s="20">
        <f>DATA!G238</f>
        <v/>
      </c>
      <c r="V238" s="19">
        <f>Q238*(1+T238)</f>
        <v/>
      </c>
      <c r="W238" s="19">
        <f>R238*(1+U238)</f>
        <v/>
      </c>
      <c r="X238" s="19">
        <f>V238+W238</f>
        <v/>
      </c>
      <c r="Y238" s="19">
        <f>IF(AND(CONFIG!$B$11="Annual",MONTH(O238)=7),X238*CONFIG!$B$6/12,Y237)</f>
        <v/>
      </c>
      <c r="Z238" s="19">
        <f>IF(X238=0,0,V238-Y238*V238/X238)</f>
        <v/>
      </c>
      <c r="AA238" s="19">
        <f>IF(X238=0,0,W238-Y238*W238/X238)</f>
        <v/>
      </c>
      <c r="AC238" s="18">
        <f>DATA!A238</f>
        <v/>
      </c>
      <c r="AD238">
        <f>DATA!B238</f>
        <v/>
      </c>
      <c r="AE238" s="19">
        <f>AN237</f>
        <v/>
      </c>
      <c r="AF238" s="19">
        <f>AO237</f>
        <v/>
      </c>
      <c r="AG238" s="19">
        <f>AE238+AF238</f>
        <v/>
      </c>
      <c r="AH238" s="20">
        <f>DATA!E238</f>
        <v/>
      </c>
      <c r="AI238" s="20">
        <f>DATA!G238</f>
        <v/>
      </c>
      <c r="AJ238" s="19">
        <f>AE238*(1+AH238)</f>
        <v/>
      </c>
      <c r="AK238" s="19">
        <f>AF238*(1+AI238)</f>
        <v/>
      </c>
      <c r="AL238" s="19">
        <f>AJ238+AK238</f>
        <v/>
      </c>
      <c r="AM238" s="19">
        <f>IF(AND(CONFIG!$B$11="Annual",MONTH(AC238)=7),AL238*CONFIG!$B$6/12,AM237)</f>
        <v/>
      </c>
      <c r="AN238" s="19">
        <f>IF(AL238=0,0,AJ238-AM238*AJ238/AL238)</f>
        <v/>
      </c>
      <c r="AO238" s="19">
        <f>IF(AL238=0,0,AK238-AM238*AK238/AL238)</f>
        <v/>
      </c>
    </row>
    <row r="239">
      <c r="A239" s="18">
        <f>DATA!A239</f>
        <v/>
      </c>
      <c r="B239">
        <f>DATA!B239</f>
        <v/>
      </c>
      <c r="C239" s="19">
        <f>L238</f>
        <v/>
      </c>
      <c r="D239" s="19">
        <f>M238</f>
        <v/>
      </c>
      <c r="E239" s="19">
        <f>C239+D239</f>
        <v/>
      </c>
      <c r="F239" s="20">
        <f>DATA!C239</f>
        <v/>
      </c>
      <c r="G239" s="20">
        <f>DATA!G239</f>
        <v/>
      </c>
      <c r="H239" s="19">
        <f>C239*(1+F239)</f>
        <v/>
      </c>
      <c r="I239" s="19">
        <f>D239*(1+G239)</f>
        <v/>
      </c>
      <c r="J239" s="19">
        <f>H239+I239</f>
        <v/>
      </c>
      <c r="K239" s="19">
        <f>IF(AND(CONFIG!$B$11="Annual",MONTH(A239)=7),J239*CONFIG!$B$6/12,K238)</f>
        <v/>
      </c>
      <c r="L239" s="19">
        <f>IF(J239=0,0,H239-K239*H239/J239)</f>
        <v/>
      </c>
      <c r="M239" s="19">
        <f>IF(J239=0,0,I239-K239*I239/J239)</f>
        <v/>
      </c>
      <c r="O239" s="18">
        <f>DATA!A239</f>
        <v/>
      </c>
      <c r="P239">
        <f>DATA!B239</f>
        <v/>
      </c>
      <c r="Q239" s="19">
        <f>Z238</f>
        <v/>
      </c>
      <c r="R239" s="19">
        <f>AA238</f>
        <v/>
      </c>
      <c r="S239" s="19">
        <f>Q239+R239</f>
        <v/>
      </c>
      <c r="T239" s="20">
        <f>DATA!D239</f>
        <v/>
      </c>
      <c r="U239" s="20">
        <f>DATA!G239</f>
        <v/>
      </c>
      <c r="V239" s="19">
        <f>Q239*(1+T239)</f>
        <v/>
      </c>
      <c r="W239" s="19">
        <f>R239*(1+U239)</f>
        <v/>
      </c>
      <c r="X239" s="19">
        <f>V239+W239</f>
        <v/>
      </c>
      <c r="Y239" s="19">
        <f>IF(AND(CONFIG!$B$11="Annual",MONTH(O239)=7),X239*CONFIG!$B$6/12,Y238)</f>
        <v/>
      </c>
      <c r="Z239" s="19">
        <f>IF(X239=0,0,V239-Y239*V239/X239)</f>
        <v/>
      </c>
      <c r="AA239" s="19">
        <f>IF(X239=0,0,W239-Y239*W239/X239)</f>
        <v/>
      </c>
      <c r="AC239" s="18">
        <f>DATA!A239</f>
        <v/>
      </c>
      <c r="AD239">
        <f>DATA!B239</f>
        <v/>
      </c>
      <c r="AE239" s="19">
        <f>AN238</f>
        <v/>
      </c>
      <c r="AF239" s="19">
        <f>AO238</f>
        <v/>
      </c>
      <c r="AG239" s="19">
        <f>AE239+AF239</f>
        <v/>
      </c>
      <c r="AH239" s="20">
        <f>DATA!E239</f>
        <v/>
      </c>
      <c r="AI239" s="20">
        <f>DATA!G239</f>
        <v/>
      </c>
      <c r="AJ239" s="19">
        <f>AE239*(1+AH239)</f>
        <v/>
      </c>
      <c r="AK239" s="19">
        <f>AF239*(1+AI239)</f>
        <v/>
      </c>
      <c r="AL239" s="19">
        <f>AJ239+AK239</f>
        <v/>
      </c>
      <c r="AM239" s="19">
        <f>IF(AND(CONFIG!$B$11="Annual",MONTH(AC239)=7),AL239*CONFIG!$B$6/12,AM238)</f>
        <v/>
      </c>
      <c r="AN239" s="19">
        <f>IF(AL239=0,0,AJ239-AM239*AJ239/AL239)</f>
        <v/>
      </c>
      <c r="AO239" s="19">
        <f>IF(AL239=0,0,AK239-AM239*AK239/AL239)</f>
        <v/>
      </c>
    </row>
    <row r="240">
      <c r="A240" s="18">
        <f>DATA!A240</f>
        <v/>
      </c>
      <c r="B240">
        <f>DATA!B240</f>
        <v/>
      </c>
      <c r="C240" s="19">
        <f>L239</f>
        <v/>
      </c>
      <c r="D240" s="19">
        <f>M239</f>
        <v/>
      </c>
      <c r="E240" s="19">
        <f>C240+D240</f>
        <v/>
      </c>
      <c r="F240" s="20">
        <f>DATA!C240</f>
        <v/>
      </c>
      <c r="G240" s="20">
        <f>DATA!G240</f>
        <v/>
      </c>
      <c r="H240" s="19">
        <f>C240*(1+F240)</f>
        <v/>
      </c>
      <c r="I240" s="19">
        <f>D240*(1+G240)</f>
        <v/>
      </c>
      <c r="J240" s="19">
        <f>H240+I240</f>
        <v/>
      </c>
      <c r="K240" s="19">
        <f>IF(AND(CONFIG!$B$11="Annual",MONTH(A240)=7),J240*CONFIG!$B$6/12,K239)</f>
        <v/>
      </c>
      <c r="L240" s="19">
        <f>IF(J240=0,0,H240-K240*H240/J240)</f>
        <v/>
      </c>
      <c r="M240" s="19">
        <f>IF(J240=0,0,I240-K240*I240/J240)</f>
        <v/>
      </c>
      <c r="O240" s="18">
        <f>DATA!A240</f>
        <v/>
      </c>
      <c r="P240">
        <f>DATA!B240</f>
        <v/>
      </c>
      <c r="Q240" s="19">
        <f>Z239</f>
        <v/>
      </c>
      <c r="R240" s="19">
        <f>AA239</f>
        <v/>
      </c>
      <c r="S240" s="19">
        <f>Q240+R240</f>
        <v/>
      </c>
      <c r="T240" s="20">
        <f>DATA!D240</f>
        <v/>
      </c>
      <c r="U240" s="20">
        <f>DATA!G240</f>
        <v/>
      </c>
      <c r="V240" s="19">
        <f>Q240*(1+T240)</f>
        <v/>
      </c>
      <c r="W240" s="19">
        <f>R240*(1+U240)</f>
        <v/>
      </c>
      <c r="X240" s="19">
        <f>V240+W240</f>
        <v/>
      </c>
      <c r="Y240" s="19">
        <f>IF(AND(CONFIG!$B$11="Annual",MONTH(O240)=7),X240*CONFIG!$B$6/12,Y239)</f>
        <v/>
      </c>
      <c r="Z240" s="19">
        <f>IF(X240=0,0,V240-Y240*V240/X240)</f>
        <v/>
      </c>
      <c r="AA240" s="19">
        <f>IF(X240=0,0,W240-Y240*W240/X240)</f>
        <v/>
      </c>
      <c r="AC240" s="18">
        <f>DATA!A240</f>
        <v/>
      </c>
      <c r="AD240">
        <f>DATA!B240</f>
        <v/>
      </c>
      <c r="AE240" s="19">
        <f>AN239</f>
        <v/>
      </c>
      <c r="AF240" s="19">
        <f>AO239</f>
        <v/>
      </c>
      <c r="AG240" s="19">
        <f>AE240+AF240</f>
        <v/>
      </c>
      <c r="AH240" s="20">
        <f>DATA!E240</f>
        <v/>
      </c>
      <c r="AI240" s="20">
        <f>DATA!G240</f>
        <v/>
      </c>
      <c r="AJ240" s="19">
        <f>AE240*(1+AH240)</f>
        <v/>
      </c>
      <c r="AK240" s="19">
        <f>AF240*(1+AI240)</f>
        <v/>
      </c>
      <c r="AL240" s="19">
        <f>AJ240+AK240</f>
        <v/>
      </c>
      <c r="AM240" s="19">
        <f>IF(AND(CONFIG!$B$11="Annual",MONTH(AC240)=7),AL240*CONFIG!$B$6/12,AM239)</f>
        <v/>
      </c>
      <c r="AN240" s="19">
        <f>IF(AL240=0,0,AJ240-AM240*AJ240/AL240)</f>
        <v/>
      </c>
      <c r="AO240" s="19">
        <f>IF(AL240=0,0,AK240-AM240*AK240/AL240)</f>
        <v/>
      </c>
    </row>
    <row r="241">
      <c r="A241" s="18">
        <f>DATA!A241</f>
        <v/>
      </c>
      <c r="B241">
        <f>DATA!B241</f>
        <v/>
      </c>
      <c r="C241" s="19">
        <f>L240</f>
        <v/>
      </c>
      <c r="D241" s="19">
        <f>M240</f>
        <v/>
      </c>
      <c r="E241" s="19">
        <f>C241+D241</f>
        <v/>
      </c>
      <c r="F241" s="20">
        <f>DATA!C241</f>
        <v/>
      </c>
      <c r="G241" s="20">
        <f>DATA!G241</f>
        <v/>
      </c>
      <c r="H241" s="19">
        <f>C241*(1+F241)</f>
        <v/>
      </c>
      <c r="I241" s="19">
        <f>D241*(1+G241)</f>
        <v/>
      </c>
      <c r="J241" s="19">
        <f>H241+I241</f>
        <v/>
      </c>
      <c r="K241" s="19">
        <f>IF(AND(CONFIG!$B$11="Annual",MONTH(A241)=7),J241*CONFIG!$B$6/12,K240)</f>
        <v/>
      </c>
      <c r="L241" s="19">
        <f>IF(J241=0,0,H241-K241*H241/J241)</f>
        <v/>
      </c>
      <c r="M241" s="19">
        <f>IF(J241=0,0,I241-K241*I241/J241)</f>
        <v/>
      </c>
      <c r="O241" s="18">
        <f>DATA!A241</f>
        <v/>
      </c>
      <c r="P241">
        <f>DATA!B241</f>
        <v/>
      </c>
      <c r="Q241" s="19">
        <f>Z240</f>
        <v/>
      </c>
      <c r="R241" s="19">
        <f>AA240</f>
        <v/>
      </c>
      <c r="S241" s="19">
        <f>Q241+R241</f>
        <v/>
      </c>
      <c r="T241" s="20">
        <f>DATA!D241</f>
        <v/>
      </c>
      <c r="U241" s="20">
        <f>DATA!G241</f>
        <v/>
      </c>
      <c r="V241" s="19">
        <f>Q241*(1+T241)</f>
        <v/>
      </c>
      <c r="W241" s="19">
        <f>R241*(1+U241)</f>
        <v/>
      </c>
      <c r="X241" s="19">
        <f>V241+W241</f>
        <v/>
      </c>
      <c r="Y241" s="19">
        <f>IF(AND(CONFIG!$B$11="Annual",MONTH(O241)=7),X241*CONFIG!$B$6/12,Y240)</f>
        <v/>
      </c>
      <c r="Z241" s="19">
        <f>IF(X241=0,0,V241-Y241*V241/X241)</f>
        <v/>
      </c>
      <c r="AA241" s="19">
        <f>IF(X241=0,0,W241-Y241*W241/X241)</f>
        <v/>
      </c>
      <c r="AC241" s="18">
        <f>DATA!A241</f>
        <v/>
      </c>
      <c r="AD241">
        <f>DATA!B241</f>
        <v/>
      </c>
      <c r="AE241" s="19">
        <f>AN240</f>
        <v/>
      </c>
      <c r="AF241" s="19">
        <f>AO240</f>
        <v/>
      </c>
      <c r="AG241" s="19">
        <f>AE241+AF241</f>
        <v/>
      </c>
      <c r="AH241" s="20">
        <f>DATA!E241</f>
        <v/>
      </c>
      <c r="AI241" s="20">
        <f>DATA!G241</f>
        <v/>
      </c>
      <c r="AJ241" s="19">
        <f>AE241*(1+AH241)</f>
        <v/>
      </c>
      <c r="AK241" s="19">
        <f>AF241*(1+AI241)</f>
        <v/>
      </c>
      <c r="AL241" s="19">
        <f>AJ241+AK241</f>
        <v/>
      </c>
      <c r="AM241" s="19">
        <f>IF(AND(CONFIG!$B$11="Annual",MONTH(AC241)=7),AL241*CONFIG!$B$6/12,AM240)</f>
        <v/>
      </c>
      <c r="AN241" s="19">
        <f>IF(AL241=0,0,AJ241-AM241*AJ241/AL241)</f>
        <v/>
      </c>
      <c r="AO241" s="19">
        <f>IF(AL241=0,0,AK241-AM241*AK241/AL241)</f>
        <v/>
      </c>
    </row>
    <row r="242">
      <c r="A242" s="18">
        <f>DATA!A242</f>
        <v/>
      </c>
      <c r="B242">
        <f>DATA!B242</f>
        <v/>
      </c>
      <c r="C242" s="19">
        <f>L241</f>
        <v/>
      </c>
      <c r="D242" s="19">
        <f>M241</f>
        <v/>
      </c>
      <c r="E242" s="19">
        <f>C242+D242</f>
        <v/>
      </c>
      <c r="F242" s="20">
        <f>DATA!C242</f>
        <v/>
      </c>
      <c r="G242" s="20">
        <f>DATA!G242</f>
        <v/>
      </c>
      <c r="H242" s="19">
        <f>C242*(1+F242)</f>
        <v/>
      </c>
      <c r="I242" s="19">
        <f>D242*(1+G242)</f>
        <v/>
      </c>
      <c r="J242" s="19">
        <f>H242+I242</f>
        <v/>
      </c>
      <c r="K242" s="19">
        <f>IF(AND(CONFIG!$B$11="Annual",MONTH(A242)=7),J242*CONFIG!$B$6/12,K241)</f>
        <v/>
      </c>
      <c r="L242" s="19">
        <f>IF(J242=0,0,H242-K242*H242/J242)</f>
        <v/>
      </c>
      <c r="M242" s="19">
        <f>IF(J242=0,0,I242-K242*I242/J242)</f>
        <v/>
      </c>
      <c r="O242" s="18">
        <f>DATA!A242</f>
        <v/>
      </c>
      <c r="P242">
        <f>DATA!B242</f>
        <v/>
      </c>
      <c r="Q242" s="19">
        <f>Z241</f>
        <v/>
      </c>
      <c r="R242" s="19">
        <f>AA241</f>
        <v/>
      </c>
      <c r="S242" s="19">
        <f>Q242+R242</f>
        <v/>
      </c>
      <c r="T242" s="20">
        <f>DATA!D242</f>
        <v/>
      </c>
      <c r="U242" s="20">
        <f>DATA!G242</f>
        <v/>
      </c>
      <c r="V242" s="19">
        <f>Q242*(1+T242)</f>
        <v/>
      </c>
      <c r="W242" s="19">
        <f>R242*(1+U242)</f>
        <v/>
      </c>
      <c r="X242" s="19">
        <f>V242+W242</f>
        <v/>
      </c>
      <c r="Y242" s="19">
        <f>IF(AND(CONFIG!$B$11="Annual",MONTH(O242)=7),X242*CONFIG!$B$6/12,Y241)</f>
        <v/>
      </c>
      <c r="Z242" s="19">
        <f>IF(X242=0,0,V242-Y242*V242/X242)</f>
        <v/>
      </c>
      <c r="AA242" s="19">
        <f>IF(X242=0,0,W242-Y242*W242/X242)</f>
        <v/>
      </c>
      <c r="AC242" s="18">
        <f>DATA!A242</f>
        <v/>
      </c>
      <c r="AD242">
        <f>DATA!B242</f>
        <v/>
      </c>
      <c r="AE242" s="19">
        <f>AN241</f>
        <v/>
      </c>
      <c r="AF242" s="19">
        <f>AO241</f>
        <v/>
      </c>
      <c r="AG242" s="19">
        <f>AE242+AF242</f>
        <v/>
      </c>
      <c r="AH242" s="20">
        <f>DATA!E242</f>
        <v/>
      </c>
      <c r="AI242" s="20">
        <f>DATA!G242</f>
        <v/>
      </c>
      <c r="AJ242" s="19">
        <f>AE242*(1+AH242)</f>
        <v/>
      </c>
      <c r="AK242" s="19">
        <f>AF242*(1+AI242)</f>
        <v/>
      </c>
      <c r="AL242" s="19">
        <f>AJ242+AK242</f>
        <v/>
      </c>
      <c r="AM242" s="19">
        <f>IF(AND(CONFIG!$B$11="Annual",MONTH(AC242)=7),AL242*CONFIG!$B$6/12,AM241)</f>
        <v/>
      </c>
      <c r="AN242" s="19">
        <f>IF(AL242=0,0,AJ242-AM242*AJ242/AL242)</f>
        <v/>
      </c>
      <c r="AO242" s="19">
        <f>IF(AL242=0,0,AK242-AM242*AK242/AL242)</f>
        <v/>
      </c>
    </row>
    <row r="243">
      <c r="A243" s="18">
        <f>DATA!A243</f>
        <v/>
      </c>
      <c r="B243">
        <f>DATA!B243</f>
        <v/>
      </c>
      <c r="C243" s="19">
        <f>L242</f>
        <v/>
      </c>
      <c r="D243" s="19">
        <f>M242</f>
        <v/>
      </c>
      <c r="E243" s="19">
        <f>C243+D243</f>
        <v/>
      </c>
      <c r="F243" s="20">
        <f>DATA!C243</f>
        <v/>
      </c>
      <c r="G243" s="20">
        <f>DATA!G243</f>
        <v/>
      </c>
      <c r="H243" s="19">
        <f>C243*(1+F243)</f>
        <v/>
      </c>
      <c r="I243" s="19">
        <f>D243*(1+G243)</f>
        <v/>
      </c>
      <c r="J243" s="19">
        <f>H243+I243</f>
        <v/>
      </c>
      <c r="K243" s="19">
        <f>IF(AND(CONFIG!$B$11="Annual",MONTH(A243)=7),J243*CONFIG!$B$6/12,K242)</f>
        <v/>
      </c>
      <c r="L243" s="19">
        <f>IF(J243=0,0,H243-K243*H243/J243)</f>
        <v/>
      </c>
      <c r="M243" s="19">
        <f>IF(J243=0,0,I243-K243*I243/J243)</f>
        <v/>
      </c>
      <c r="O243" s="18">
        <f>DATA!A243</f>
        <v/>
      </c>
      <c r="P243">
        <f>DATA!B243</f>
        <v/>
      </c>
      <c r="Q243" s="19">
        <f>Z242</f>
        <v/>
      </c>
      <c r="R243" s="19">
        <f>AA242</f>
        <v/>
      </c>
      <c r="S243" s="19">
        <f>Q243+R243</f>
        <v/>
      </c>
      <c r="T243" s="20">
        <f>DATA!D243</f>
        <v/>
      </c>
      <c r="U243" s="20">
        <f>DATA!G243</f>
        <v/>
      </c>
      <c r="V243" s="19">
        <f>Q243*(1+T243)</f>
        <v/>
      </c>
      <c r="W243" s="19">
        <f>R243*(1+U243)</f>
        <v/>
      </c>
      <c r="X243" s="19">
        <f>V243+W243</f>
        <v/>
      </c>
      <c r="Y243" s="19">
        <f>IF(AND(CONFIG!$B$11="Annual",MONTH(O243)=7),X243*CONFIG!$B$6/12,Y242)</f>
        <v/>
      </c>
      <c r="Z243" s="19">
        <f>IF(X243=0,0,V243-Y243*V243/X243)</f>
        <v/>
      </c>
      <c r="AA243" s="19">
        <f>IF(X243=0,0,W243-Y243*W243/X243)</f>
        <v/>
      </c>
      <c r="AC243" s="18">
        <f>DATA!A243</f>
        <v/>
      </c>
      <c r="AD243">
        <f>DATA!B243</f>
        <v/>
      </c>
      <c r="AE243" s="19">
        <f>AN242</f>
        <v/>
      </c>
      <c r="AF243" s="19">
        <f>AO242</f>
        <v/>
      </c>
      <c r="AG243" s="19">
        <f>AE243+AF243</f>
        <v/>
      </c>
      <c r="AH243" s="20">
        <f>DATA!E243</f>
        <v/>
      </c>
      <c r="AI243" s="20">
        <f>DATA!G243</f>
        <v/>
      </c>
      <c r="AJ243" s="19">
        <f>AE243*(1+AH243)</f>
        <v/>
      </c>
      <c r="AK243" s="19">
        <f>AF243*(1+AI243)</f>
        <v/>
      </c>
      <c r="AL243" s="19">
        <f>AJ243+AK243</f>
        <v/>
      </c>
      <c r="AM243" s="19">
        <f>IF(AND(CONFIG!$B$11="Annual",MONTH(AC243)=7),AL243*CONFIG!$B$6/12,AM242)</f>
        <v/>
      </c>
      <c r="AN243" s="19">
        <f>IF(AL243=0,0,AJ243-AM243*AJ243/AL243)</f>
        <v/>
      </c>
      <c r="AO243" s="19">
        <f>IF(AL243=0,0,AK243-AM243*AK243/AL243)</f>
        <v/>
      </c>
    </row>
    <row r="244">
      <c r="A244" s="18">
        <f>DATA!A244</f>
        <v/>
      </c>
      <c r="B244">
        <f>DATA!B244</f>
        <v/>
      </c>
      <c r="C244" s="19">
        <f>L243</f>
        <v/>
      </c>
      <c r="D244" s="19">
        <f>M243</f>
        <v/>
      </c>
      <c r="E244" s="19">
        <f>C244+D244</f>
        <v/>
      </c>
      <c r="F244" s="20">
        <f>DATA!C244</f>
        <v/>
      </c>
      <c r="G244" s="20">
        <f>DATA!G244</f>
        <v/>
      </c>
      <c r="H244" s="19">
        <f>C244*(1+F244)</f>
        <v/>
      </c>
      <c r="I244" s="19">
        <f>D244*(1+G244)</f>
        <v/>
      </c>
      <c r="J244" s="19">
        <f>H244+I244</f>
        <v/>
      </c>
      <c r="K244" s="19">
        <f>IF(AND(CONFIG!$B$11="Annual",MONTH(A244)=7),J244*CONFIG!$B$6/12,K243)</f>
        <v/>
      </c>
      <c r="L244" s="19">
        <f>IF(J244=0,0,H244-K244*H244/J244)</f>
        <v/>
      </c>
      <c r="M244" s="19">
        <f>IF(J244=0,0,I244-K244*I244/J244)</f>
        <v/>
      </c>
      <c r="O244" s="18">
        <f>DATA!A244</f>
        <v/>
      </c>
      <c r="P244">
        <f>DATA!B244</f>
        <v/>
      </c>
      <c r="Q244" s="19">
        <f>Z243</f>
        <v/>
      </c>
      <c r="R244" s="19">
        <f>AA243</f>
        <v/>
      </c>
      <c r="S244" s="19">
        <f>Q244+R244</f>
        <v/>
      </c>
      <c r="T244" s="20">
        <f>DATA!D244</f>
        <v/>
      </c>
      <c r="U244" s="20">
        <f>DATA!G244</f>
        <v/>
      </c>
      <c r="V244" s="19">
        <f>Q244*(1+T244)</f>
        <v/>
      </c>
      <c r="W244" s="19">
        <f>R244*(1+U244)</f>
        <v/>
      </c>
      <c r="X244" s="19">
        <f>V244+W244</f>
        <v/>
      </c>
      <c r="Y244" s="19">
        <f>IF(AND(CONFIG!$B$11="Annual",MONTH(O244)=7),X244*CONFIG!$B$6/12,Y243)</f>
        <v/>
      </c>
      <c r="Z244" s="19">
        <f>IF(X244=0,0,V244-Y244*V244/X244)</f>
        <v/>
      </c>
      <c r="AA244" s="19">
        <f>IF(X244=0,0,W244-Y244*W244/X244)</f>
        <v/>
      </c>
      <c r="AC244" s="18">
        <f>DATA!A244</f>
        <v/>
      </c>
      <c r="AD244">
        <f>DATA!B244</f>
        <v/>
      </c>
      <c r="AE244" s="19">
        <f>AN243</f>
        <v/>
      </c>
      <c r="AF244" s="19">
        <f>AO243</f>
        <v/>
      </c>
      <c r="AG244" s="19">
        <f>AE244+AF244</f>
        <v/>
      </c>
      <c r="AH244" s="20">
        <f>DATA!E244</f>
        <v/>
      </c>
      <c r="AI244" s="20">
        <f>DATA!G244</f>
        <v/>
      </c>
      <c r="AJ244" s="19">
        <f>AE244*(1+AH244)</f>
        <v/>
      </c>
      <c r="AK244" s="19">
        <f>AF244*(1+AI244)</f>
        <v/>
      </c>
      <c r="AL244" s="19">
        <f>AJ244+AK244</f>
        <v/>
      </c>
      <c r="AM244" s="19">
        <f>IF(AND(CONFIG!$B$11="Annual",MONTH(AC244)=7),AL244*CONFIG!$B$6/12,AM243)</f>
        <v/>
      </c>
      <c r="AN244" s="19">
        <f>IF(AL244=0,0,AJ244-AM244*AJ244/AL244)</f>
        <v/>
      </c>
      <c r="AO244" s="19">
        <f>IF(AL244=0,0,AK244-AM244*AK244/AL244)</f>
        <v/>
      </c>
    </row>
    <row r="245">
      <c r="A245" s="18">
        <f>DATA!A245</f>
        <v/>
      </c>
      <c r="B245">
        <f>DATA!B245</f>
        <v/>
      </c>
      <c r="C245" s="19">
        <f>L244</f>
        <v/>
      </c>
      <c r="D245" s="19">
        <f>M244</f>
        <v/>
      </c>
      <c r="E245" s="19">
        <f>C245+D245</f>
        <v/>
      </c>
      <c r="F245" s="20">
        <f>DATA!C245</f>
        <v/>
      </c>
      <c r="G245" s="20">
        <f>DATA!G245</f>
        <v/>
      </c>
      <c r="H245" s="19">
        <f>C245*(1+F245)</f>
        <v/>
      </c>
      <c r="I245" s="19">
        <f>D245*(1+G245)</f>
        <v/>
      </c>
      <c r="J245" s="19">
        <f>H245+I245</f>
        <v/>
      </c>
      <c r="K245" s="19">
        <f>IF(AND(CONFIG!$B$11="Annual",MONTH(A245)=7),J245*CONFIG!$B$6/12,K244)</f>
        <v/>
      </c>
      <c r="L245" s="19">
        <f>IF(J245=0,0,H245-K245*H245/J245)</f>
        <v/>
      </c>
      <c r="M245" s="19">
        <f>IF(J245=0,0,I245-K245*I245/J245)</f>
        <v/>
      </c>
      <c r="O245" s="18">
        <f>DATA!A245</f>
        <v/>
      </c>
      <c r="P245">
        <f>DATA!B245</f>
        <v/>
      </c>
      <c r="Q245" s="19">
        <f>Z244</f>
        <v/>
      </c>
      <c r="R245" s="19">
        <f>AA244</f>
        <v/>
      </c>
      <c r="S245" s="19">
        <f>Q245+R245</f>
        <v/>
      </c>
      <c r="T245" s="20">
        <f>DATA!D245</f>
        <v/>
      </c>
      <c r="U245" s="20">
        <f>DATA!G245</f>
        <v/>
      </c>
      <c r="V245" s="19">
        <f>Q245*(1+T245)</f>
        <v/>
      </c>
      <c r="W245" s="19">
        <f>R245*(1+U245)</f>
        <v/>
      </c>
      <c r="X245" s="19">
        <f>V245+W245</f>
        <v/>
      </c>
      <c r="Y245" s="19">
        <f>IF(AND(CONFIG!$B$11="Annual",MONTH(O245)=7),X245*CONFIG!$B$6/12,Y244)</f>
        <v/>
      </c>
      <c r="Z245" s="19">
        <f>IF(X245=0,0,V245-Y245*V245/X245)</f>
        <v/>
      </c>
      <c r="AA245" s="19">
        <f>IF(X245=0,0,W245-Y245*W245/X245)</f>
        <v/>
      </c>
      <c r="AC245" s="18">
        <f>DATA!A245</f>
        <v/>
      </c>
      <c r="AD245">
        <f>DATA!B245</f>
        <v/>
      </c>
      <c r="AE245" s="19">
        <f>AN244</f>
        <v/>
      </c>
      <c r="AF245" s="19">
        <f>AO244</f>
        <v/>
      </c>
      <c r="AG245" s="19">
        <f>AE245+AF245</f>
        <v/>
      </c>
      <c r="AH245" s="20">
        <f>DATA!E245</f>
        <v/>
      </c>
      <c r="AI245" s="20">
        <f>DATA!G245</f>
        <v/>
      </c>
      <c r="AJ245" s="19">
        <f>AE245*(1+AH245)</f>
        <v/>
      </c>
      <c r="AK245" s="19">
        <f>AF245*(1+AI245)</f>
        <v/>
      </c>
      <c r="AL245" s="19">
        <f>AJ245+AK245</f>
        <v/>
      </c>
      <c r="AM245" s="19">
        <f>IF(AND(CONFIG!$B$11="Annual",MONTH(AC245)=7),AL245*CONFIG!$B$6/12,AM244)</f>
        <v/>
      </c>
      <c r="AN245" s="19">
        <f>IF(AL245=0,0,AJ245-AM245*AJ245/AL245)</f>
        <v/>
      </c>
      <c r="AO245" s="19">
        <f>IF(AL245=0,0,AK245-AM245*AK245/AL245)</f>
        <v/>
      </c>
    </row>
    <row r="246">
      <c r="A246" s="18">
        <f>DATA!A246</f>
        <v/>
      </c>
      <c r="B246">
        <f>DATA!B246</f>
        <v/>
      </c>
      <c r="C246" s="19">
        <f>L245</f>
        <v/>
      </c>
      <c r="D246" s="19">
        <f>M245</f>
        <v/>
      </c>
      <c r="E246" s="19">
        <f>C246+D246</f>
        <v/>
      </c>
      <c r="F246" s="20">
        <f>DATA!C246</f>
        <v/>
      </c>
      <c r="G246" s="20">
        <f>DATA!G246</f>
        <v/>
      </c>
      <c r="H246" s="19">
        <f>C246*(1+F246)</f>
        <v/>
      </c>
      <c r="I246" s="19">
        <f>D246*(1+G246)</f>
        <v/>
      </c>
      <c r="J246" s="19">
        <f>H246+I246</f>
        <v/>
      </c>
      <c r="K246" s="19">
        <f>IF(AND(CONFIG!$B$11="Annual",MONTH(A246)=7),J246*CONFIG!$B$6/12,K245)</f>
        <v/>
      </c>
      <c r="L246" s="19">
        <f>IF(J246=0,0,H246-K246*H246/J246)</f>
        <v/>
      </c>
      <c r="M246" s="19">
        <f>IF(J246=0,0,I246-K246*I246/J246)</f>
        <v/>
      </c>
      <c r="O246" s="18">
        <f>DATA!A246</f>
        <v/>
      </c>
      <c r="P246">
        <f>DATA!B246</f>
        <v/>
      </c>
      <c r="Q246" s="19">
        <f>Z245</f>
        <v/>
      </c>
      <c r="R246" s="19">
        <f>AA245</f>
        <v/>
      </c>
      <c r="S246" s="19">
        <f>Q246+R246</f>
        <v/>
      </c>
      <c r="T246" s="20">
        <f>DATA!D246</f>
        <v/>
      </c>
      <c r="U246" s="20">
        <f>DATA!G246</f>
        <v/>
      </c>
      <c r="V246" s="19">
        <f>Q246*(1+T246)</f>
        <v/>
      </c>
      <c r="W246" s="19">
        <f>R246*(1+U246)</f>
        <v/>
      </c>
      <c r="X246" s="19">
        <f>V246+W246</f>
        <v/>
      </c>
      <c r="Y246" s="19">
        <f>IF(AND(CONFIG!$B$11="Annual",MONTH(O246)=7),X246*CONFIG!$B$6/12,Y245)</f>
        <v/>
      </c>
      <c r="Z246" s="19">
        <f>IF(X246=0,0,V246-Y246*V246/X246)</f>
        <v/>
      </c>
      <c r="AA246" s="19">
        <f>IF(X246=0,0,W246-Y246*W246/X246)</f>
        <v/>
      </c>
      <c r="AC246" s="18">
        <f>DATA!A246</f>
        <v/>
      </c>
      <c r="AD246">
        <f>DATA!B246</f>
        <v/>
      </c>
      <c r="AE246" s="19">
        <f>AN245</f>
        <v/>
      </c>
      <c r="AF246" s="19">
        <f>AO245</f>
        <v/>
      </c>
      <c r="AG246" s="19">
        <f>AE246+AF246</f>
        <v/>
      </c>
      <c r="AH246" s="20">
        <f>DATA!E246</f>
        <v/>
      </c>
      <c r="AI246" s="20">
        <f>DATA!G246</f>
        <v/>
      </c>
      <c r="AJ246" s="19">
        <f>AE246*(1+AH246)</f>
        <v/>
      </c>
      <c r="AK246" s="19">
        <f>AF246*(1+AI246)</f>
        <v/>
      </c>
      <c r="AL246" s="19">
        <f>AJ246+AK246</f>
        <v/>
      </c>
      <c r="AM246" s="19">
        <f>IF(AND(CONFIG!$B$11="Annual",MONTH(AC246)=7),AL246*CONFIG!$B$6/12,AM245)</f>
        <v/>
      </c>
      <c r="AN246" s="19">
        <f>IF(AL246=0,0,AJ246-AM246*AJ246/AL246)</f>
        <v/>
      </c>
      <c r="AO246" s="19">
        <f>IF(AL246=0,0,AK246-AM246*AK246/AL246)</f>
        <v/>
      </c>
    </row>
    <row r="247">
      <c r="A247" s="18">
        <f>DATA!A247</f>
        <v/>
      </c>
      <c r="B247">
        <f>DATA!B247</f>
        <v/>
      </c>
      <c r="C247" s="19">
        <f>L246</f>
        <v/>
      </c>
      <c r="D247" s="19">
        <f>M246</f>
        <v/>
      </c>
      <c r="E247" s="19">
        <f>C247+D247</f>
        <v/>
      </c>
      <c r="F247" s="20">
        <f>DATA!C247</f>
        <v/>
      </c>
      <c r="G247" s="20">
        <f>DATA!G247</f>
        <v/>
      </c>
      <c r="H247" s="19">
        <f>C247*(1+F247)</f>
        <v/>
      </c>
      <c r="I247" s="19">
        <f>D247*(1+G247)</f>
        <v/>
      </c>
      <c r="J247" s="19">
        <f>H247+I247</f>
        <v/>
      </c>
      <c r="K247" s="19">
        <f>IF(AND(CONFIG!$B$11="Annual",MONTH(A247)=7),J247*CONFIG!$B$6/12,K246)</f>
        <v/>
      </c>
      <c r="L247" s="19">
        <f>IF(J247=0,0,H247-K247*H247/J247)</f>
        <v/>
      </c>
      <c r="M247" s="19">
        <f>IF(J247=0,0,I247-K247*I247/J247)</f>
        <v/>
      </c>
      <c r="O247" s="18">
        <f>DATA!A247</f>
        <v/>
      </c>
      <c r="P247">
        <f>DATA!B247</f>
        <v/>
      </c>
      <c r="Q247" s="19">
        <f>Z246</f>
        <v/>
      </c>
      <c r="R247" s="19">
        <f>AA246</f>
        <v/>
      </c>
      <c r="S247" s="19">
        <f>Q247+R247</f>
        <v/>
      </c>
      <c r="T247" s="20">
        <f>DATA!D247</f>
        <v/>
      </c>
      <c r="U247" s="20">
        <f>DATA!G247</f>
        <v/>
      </c>
      <c r="V247" s="19">
        <f>Q247*(1+T247)</f>
        <v/>
      </c>
      <c r="W247" s="19">
        <f>R247*(1+U247)</f>
        <v/>
      </c>
      <c r="X247" s="19">
        <f>V247+W247</f>
        <v/>
      </c>
      <c r="Y247" s="19">
        <f>IF(AND(CONFIG!$B$11="Annual",MONTH(O247)=7),X247*CONFIG!$B$6/12,Y246)</f>
        <v/>
      </c>
      <c r="Z247" s="19">
        <f>IF(X247=0,0,V247-Y247*V247/X247)</f>
        <v/>
      </c>
      <c r="AA247" s="19">
        <f>IF(X247=0,0,W247-Y247*W247/X247)</f>
        <v/>
      </c>
      <c r="AC247" s="18">
        <f>DATA!A247</f>
        <v/>
      </c>
      <c r="AD247">
        <f>DATA!B247</f>
        <v/>
      </c>
      <c r="AE247" s="19">
        <f>AN246</f>
        <v/>
      </c>
      <c r="AF247" s="19">
        <f>AO246</f>
        <v/>
      </c>
      <c r="AG247" s="19">
        <f>AE247+AF247</f>
        <v/>
      </c>
      <c r="AH247" s="20">
        <f>DATA!E247</f>
        <v/>
      </c>
      <c r="AI247" s="20">
        <f>DATA!G247</f>
        <v/>
      </c>
      <c r="AJ247" s="19">
        <f>AE247*(1+AH247)</f>
        <v/>
      </c>
      <c r="AK247" s="19">
        <f>AF247*(1+AI247)</f>
        <v/>
      </c>
      <c r="AL247" s="19">
        <f>AJ247+AK247</f>
        <v/>
      </c>
      <c r="AM247" s="19">
        <f>IF(AND(CONFIG!$B$11="Annual",MONTH(AC247)=7),AL247*CONFIG!$B$6/12,AM246)</f>
        <v/>
      </c>
      <c r="AN247" s="19">
        <f>IF(AL247=0,0,AJ247-AM247*AJ247/AL247)</f>
        <v/>
      </c>
      <c r="AO247" s="19">
        <f>IF(AL247=0,0,AK247-AM247*AK247/AL247)</f>
        <v/>
      </c>
    </row>
    <row r="248">
      <c r="A248" s="18">
        <f>DATA!A248</f>
        <v/>
      </c>
      <c r="B248">
        <f>DATA!B248</f>
        <v/>
      </c>
      <c r="C248" s="19">
        <f>L247</f>
        <v/>
      </c>
      <c r="D248" s="19">
        <f>M247</f>
        <v/>
      </c>
      <c r="E248" s="19">
        <f>C248+D248</f>
        <v/>
      </c>
      <c r="F248" s="20">
        <f>DATA!C248</f>
        <v/>
      </c>
      <c r="G248" s="20">
        <f>DATA!G248</f>
        <v/>
      </c>
      <c r="H248" s="19">
        <f>C248*(1+F248)</f>
        <v/>
      </c>
      <c r="I248" s="19">
        <f>D248*(1+G248)</f>
        <v/>
      </c>
      <c r="J248" s="19">
        <f>H248+I248</f>
        <v/>
      </c>
      <c r="K248" s="19">
        <f>IF(AND(CONFIG!$B$11="Annual",MONTH(A248)=7),J248*CONFIG!$B$6/12,K247)</f>
        <v/>
      </c>
      <c r="L248" s="19">
        <f>IF(J248=0,0,H248-K248*H248/J248)</f>
        <v/>
      </c>
      <c r="M248" s="19">
        <f>IF(J248=0,0,I248-K248*I248/J248)</f>
        <v/>
      </c>
      <c r="O248" s="18">
        <f>DATA!A248</f>
        <v/>
      </c>
      <c r="P248">
        <f>DATA!B248</f>
        <v/>
      </c>
      <c r="Q248" s="19">
        <f>Z247</f>
        <v/>
      </c>
      <c r="R248" s="19">
        <f>AA247</f>
        <v/>
      </c>
      <c r="S248" s="19">
        <f>Q248+R248</f>
        <v/>
      </c>
      <c r="T248" s="20">
        <f>DATA!D248</f>
        <v/>
      </c>
      <c r="U248" s="20">
        <f>DATA!G248</f>
        <v/>
      </c>
      <c r="V248" s="19">
        <f>Q248*(1+T248)</f>
        <v/>
      </c>
      <c r="W248" s="19">
        <f>R248*(1+U248)</f>
        <v/>
      </c>
      <c r="X248" s="19">
        <f>V248+W248</f>
        <v/>
      </c>
      <c r="Y248" s="19">
        <f>IF(AND(CONFIG!$B$11="Annual",MONTH(O248)=7),X248*CONFIG!$B$6/12,Y247)</f>
        <v/>
      </c>
      <c r="Z248" s="19">
        <f>IF(X248=0,0,V248-Y248*V248/X248)</f>
        <v/>
      </c>
      <c r="AA248" s="19">
        <f>IF(X248=0,0,W248-Y248*W248/X248)</f>
        <v/>
      </c>
      <c r="AC248" s="18">
        <f>DATA!A248</f>
        <v/>
      </c>
      <c r="AD248">
        <f>DATA!B248</f>
        <v/>
      </c>
      <c r="AE248" s="19">
        <f>AN247</f>
        <v/>
      </c>
      <c r="AF248" s="19">
        <f>AO247</f>
        <v/>
      </c>
      <c r="AG248" s="19">
        <f>AE248+AF248</f>
        <v/>
      </c>
      <c r="AH248" s="20">
        <f>DATA!E248</f>
        <v/>
      </c>
      <c r="AI248" s="20">
        <f>DATA!G248</f>
        <v/>
      </c>
      <c r="AJ248" s="19">
        <f>AE248*(1+AH248)</f>
        <v/>
      </c>
      <c r="AK248" s="19">
        <f>AF248*(1+AI248)</f>
        <v/>
      </c>
      <c r="AL248" s="19">
        <f>AJ248+AK248</f>
        <v/>
      </c>
      <c r="AM248" s="19">
        <f>IF(AND(CONFIG!$B$11="Annual",MONTH(AC248)=7),AL248*CONFIG!$B$6/12,AM247)</f>
        <v/>
      </c>
      <c r="AN248" s="19">
        <f>IF(AL248=0,0,AJ248-AM248*AJ248/AL248)</f>
        <v/>
      </c>
      <c r="AO248" s="19">
        <f>IF(AL248=0,0,AK248-AM248*AK248/AL248)</f>
        <v/>
      </c>
    </row>
    <row r="249">
      <c r="A249" s="18">
        <f>DATA!A249</f>
        <v/>
      </c>
      <c r="B249">
        <f>DATA!B249</f>
        <v/>
      </c>
      <c r="C249" s="19">
        <f>L248</f>
        <v/>
      </c>
      <c r="D249" s="19">
        <f>M248</f>
        <v/>
      </c>
      <c r="E249" s="19">
        <f>C249+D249</f>
        <v/>
      </c>
      <c r="F249" s="20">
        <f>DATA!C249</f>
        <v/>
      </c>
      <c r="G249" s="20">
        <f>DATA!G249</f>
        <v/>
      </c>
      <c r="H249" s="19">
        <f>C249*(1+F249)</f>
        <v/>
      </c>
      <c r="I249" s="19">
        <f>D249*(1+G249)</f>
        <v/>
      </c>
      <c r="J249" s="19">
        <f>H249+I249</f>
        <v/>
      </c>
      <c r="K249" s="19">
        <f>IF(AND(CONFIG!$B$11="Annual",MONTH(A249)=7),J249*CONFIG!$B$6/12,K248)</f>
        <v/>
      </c>
      <c r="L249" s="19">
        <f>IF(J249=0,0,H249-K249*H249/J249)</f>
        <v/>
      </c>
      <c r="M249" s="19">
        <f>IF(J249=0,0,I249-K249*I249/J249)</f>
        <v/>
      </c>
      <c r="O249" s="18">
        <f>DATA!A249</f>
        <v/>
      </c>
      <c r="P249">
        <f>DATA!B249</f>
        <v/>
      </c>
      <c r="Q249" s="19">
        <f>Z248</f>
        <v/>
      </c>
      <c r="R249" s="19">
        <f>AA248</f>
        <v/>
      </c>
      <c r="S249" s="19">
        <f>Q249+R249</f>
        <v/>
      </c>
      <c r="T249" s="20">
        <f>DATA!D249</f>
        <v/>
      </c>
      <c r="U249" s="20">
        <f>DATA!G249</f>
        <v/>
      </c>
      <c r="V249" s="19">
        <f>Q249*(1+T249)</f>
        <v/>
      </c>
      <c r="W249" s="19">
        <f>R249*(1+U249)</f>
        <v/>
      </c>
      <c r="X249" s="19">
        <f>V249+W249</f>
        <v/>
      </c>
      <c r="Y249" s="19">
        <f>IF(AND(CONFIG!$B$11="Annual",MONTH(O249)=7),X249*CONFIG!$B$6/12,Y248)</f>
        <v/>
      </c>
      <c r="Z249" s="19">
        <f>IF(X249=0,0,V249-Y249*V249/X249)</f>
        <v/>
      </c>
      <c r="AA249" s="19">
        <f>IF(X249=0,0,W249-Y249*W249/X249)</f>
        <v/>
      </c>
      <c r="AC249" s="18">
        <f>DATA!A249</f>
        <v/>
      </c>
      <c r="AD249">
        <f>DATA!B249</f>
        <v/>
      </c>
      <c r="AE249" s="19">
        <f>AN248</f>
        <v/>
      </c>
      <c r="AF249" s="19">
        <f>AO248</f>
        <v/>
      </c>
      <c r="AG249" s="19">
        <f>AE249+AF249</f>
        <v/>
      </c>
      <c r="AH249" s="20">
        <f>DATA!E249</f>
        <v/>
      </c>
      <c r="AI249" s="20">
        <f>DATA!G249</f>
        <v/>
      </c>
      <c r="AJ249" s="19">
        <f>AE249*(1+AH249)</f>
        <v/>
      </c>
      <c r="AK249" s="19">
        <f>AF249*(1+AI249)</f>
        <v/>
      </c>
      <c r="AL249" s="19">
        <f>AJ249+AK249</f>
        <v/>
      </c>
      <c r="AM249" s="19">
        <f>IF(AND(CONFIG!$B$11="Annual",MONTH(AC249)=7),AL249*CONFIG!$B$6/12,AM248)</f>
        <v/>
      </c>
      <c r="AN249" s="19">
        <f>IF(AL249=0,0,AJ249-AM249*AJ249/AL249)</f>
        <v/>
      </c>
      <c r="AO249" s="19">
        <f>IF(AL249=0,0,AK249-AM249*AK249/AL249)</f>
        <v/>
      </c>
    </row>
    <row r="250">
      <c r="A250" s="18">
        <f>DATA!A250</f>
        <v/>
      </c>
      <c r="B250">
        <f>DATA!B250</f>
        <v/>
      </c>
      <c r="C250" s="19">
        <f>L249</f>
        <v/>
      </c>
      <c r="D250" s="19">
        <f>M249</f>
        <v/>
      </c>
      <c r="E250" s="19">
        <f>C250+D250</f>
        <v/>
      </c>
      <c r="F250" s="20">
        <f>DATA!C250</f>
        <v/>
      </c>
      <c r="G250" s="20">
        <f>DATA!G250</f>
        <v/>
      </c>
      <c r="H250" s="19">
        <f>C250*(1+F250)</f>
        <v/>
      </c>
      <c r="I250" s="19">
        <f>D250*(1+G250)</f>
        <v/>
      </c>
      <c r="J250" s="19">
        <f>H250+I250</f>
        <v/>
      </c>
      <c r="K250" s="19">
        <f>IF(AND(CONFIG!$B$11="Annual",MONTH(A250)=7),J250*CONFIG!$B$6/12,K249)</f>
        <v/>
      </c>
      <c r="L250" s="19">
        <f>IF(J250=0,0,H250-K250*H250/J250)</f>
        <v/>
      </c>
      <c r="M250" s="19">
        <f>IF(J250=0,0,I250-K250*I250/J250)</f>
        <v/>
      </c>
      <c r="O250" s="18">
        <f>DATA!A250</f>
        <v/>
      </c>
      <c r="P250">
        <f>DATA!B250</f>
        <v/>
      </c>
      <c r="Q250" s="19">
        <f>Z249</f>
        <v/>
      </c>
      <c r="R250" s="19">
        <f>AA249</f>
        <v/>
      </c>
      <c r="S250" s="19">
        <f>Q250+R250</f>
        <v/>
      </c>
      <c r="T250" s="20">
        <f>DATA!D250</f>
        <v/>
      </c>
      <c r="U250" s="20">
        <f>DATA!G250</f>
        <v/>
      </c>
      <c r="V250" s="19">
        <f>Q250*(1+T250)</f>
        <v/>
      </c>
      <c r="W250" s="19">
        <f>R250*(1+U250)</f>
        <v/>
      </c>
      <c r="X250" s="19">
        <f>V250+W250</f>
        <v/>
      </c>
      <c r="Y250" s="19">
        <f>IF(AND(CONFIG!$B$11="Annual",MONTH(O250)=7),X250*CONFIG!$B$6/12,Y249)</f>
        <v/>
      </c>
      <c r="Z250" s="19">
        <f>IF(X250=0,0,V250-Y250*V250/X250)</f>
        <v/>
      </c>
      <c r="AA250" s="19">
        <f>IF(X250=0,0,W250-Y250*W250/X250)</f>
        <v/>
      </c>
      <c r="AC250" s="18">
        <f>DATA!A250</f>
        <v/>
      </c>
      <c r="AD250">
        <f>DATA!B250</f>
        <v/>
      </c>
      <c r="AE250" s="19">
        <f>AN249</f>
        <v/>
      </c>
      <c r="AF250" s="19">
        <f>AO249</f>
        <v/>
      </c>
      <c r="AG250" s="19">
        <f>AE250+AF250</f>
        <v/>
      </c>
      <c r="AH250" s="20">
        <f>DATA!E250</f>
        <v/>
      </c>
      <c r="AI250" s="20">
        <f>DATA!G250</f>
        <v/>
      </c>
      <c r="AJ250" s="19">
        <f>AE250*(1+AH250)</f>
        <v/>
      </c>
      <c r="AK250" s="19">
        <f>AF250*(1+AI250)</f>
        <v/>
      </c>
      <c r="AL250" s="19">
        <f>AJ250+AK250</f>
        <v/>
      </c>
      <c r="AM250" s="19">
        <f>IF(AND(CONFIG!$B$11="Annual",MONTH(AC250)=7),AL250*CONFIG!$B$6/12,AM249)</f>
        <v/>
      </c>
      <c r="AN250" s="19">
        <f>IF(AL250=0,0,AJ250-AM250*AJ250/AL250)</f>
        <v/>
      </c>
      <c r="AO250" s="19">
        <f>IF(AL250=0,0,AK250-AM250*AK250/AL250)</f>
        <v/>
      </c>
    </row>
    <row r="251">
      <c r="A251" s="18">
        <f>DATA!A251</f>
        <v/>
      </c>
      <c r="B251">
        <f>DATA!B251</f>
        <v/>
      </c>
      <c r="C251" s="19">
        <f>L250</f>
        <v/>
      </c>
      <c r="D251" s="19">
        <f>M250</f>
        <v/>
      </c>
      <c r="E251" s="19">
        <f>C251+D251</f>
        <v/>
      </c>
      <c r="F251" s="20">
        <f>DATA!C251</f>
        <v/>
      </c>
      <c r="G251" s="20">
        <f>DATA!G251</f>
        <v/>
      </c>
      <c r="H251" s="19">
        <f>C251*(1+F251)</f>
        <v/>
      </c>
      <c r="I251" s="19">
        <f>D251*(1+G251)</f>
        <v/>
      </c>
      <c r="J251" s="19">
        <f>H251+I251</f>
        <v/>
      </c>
      <c r="K251" s="19">
        <f>IF(AND(CONFIG!$B$11="Annual",MONTH(A251)=7),J251*CONFIG!$B$6/12,K250)</f>
        <v/>
      </c>
      <c r="L251" s="19">
        <f>IF(J251=0,0,H251-K251*H251/J251)</f>
        <v/>
      </c>
      <c r="M251" s="19">
        <f>IF(J251=0,0,I251-K251*I251/J251)</f>
        <v/>
      </c>
      <c r="O251" s="18">
        <f>DATA!A251</f>
        <v/>
      </c>
      <c r="P251">
        <f>DATA!B251</f>
        <v/>
      </c>
      <c r="Q251" s="19">
        <f>Z250</f>
        <v/>
      </c>
      <c r="R251" s="19">
        <f>AA250</f>
        <v/>
      </c>
      <c r="S251" s="19">
        <f>Q251+R251</f>
        <v/>
      </c>
      <c r="T251" s="20">
        <f>DATA!D251</f>
        <v/>
      </c>
      <c r="U251" s="20">
        <f>DATA!G251</f>
        <v/>
      </c>
      <c r="V251" s="19">
        <f>Q251*(1+T251)</f>
        <v/>
      </c>
      <c r="W251" s="19">
        <f>R251*(1+U251)</f>
        <v/>
      </c>
      <c r="X251" s="19">
        <f>V251+W251</f>
        <v/>
      </c>
      <c r="Y251" s="19">
        <f>IF(AND(CONFIG!$B$11="Annual",MONTH(O251)=7),X251*CONFIG!$B$6/12,Y250)</f>
        <v/>
      </c>
      <c r="Z251" s="19">
        <f>IF(X251=0,0,V251-Y251*V251/X251)</f>
        <v/>
      </c>
      <c r="AA251" s="19">
        <f>IF(X251=0,0,W251-Y251*W251/X251)</f>
        <v/>
      </c>
      <c r="AC251" s="18">
        <f>DATA!A251</f>
        <v/>
      </c>
      <c r="AD251">
        <f>DATA!B251</f>
        <v/>
      </c>
      <c r="AE251" s="19">
        <f>AN250</f>
        <v/>
      </c>
      <c r="AF251" s="19">
        <f>AO250</f>
        <v/>
      </c>
      <c r="AG251" s="19">
        <f>AE251+AF251</f>
        <v/>
      </c>
      <c r="AH251" s="20">
        <f>DATA!E251</f>
        <v/>
      </c>
      <c r="AI251" s="20">
        <f>DATA!G251</f>
        <v/>
      </c>
      <c r="AJ251" s="19">
        <f>AE251*(1+AH251)</f>
        <v/>
      </c>
      <c r="AK251" s="19">
        <f>AF251*(1+AI251)</f>
        <v/>
      </c>
      <c r="AL251" s="19">
        <f>AJ251+AK251</f>
        <v/>
      </c>
      <c r="AM251" s="19">
        <f>IF(AND(CONFIG!$B$11="Annual",MONTH(AC251)=7),AL251*CONFIG!$B$6/12,AM250)</f>
        <v/>
      </c>
      <c r="AN251" s="19">
        <f>IF(AL251=0,0,AJ251-AM251*AJ251/AL251)</f>
        <v/>
      </c>
      <c r="AO251" s="19">
        <f>IF(AL251=0,0,AK251-AM251*AK251/AL251)</f>
        <v/>
      </c>
    </row>
    <row r="252">
      <c r="A252" s="18">
        <f>DATA!A252</f>
        <v/>
      </c>
      <c r="B252">
        <f>DATA!B252</f>
        <v/>
      </c>
      <c r="C252" s="19">
        <f>L251</f>
        <v/>
      </c>
      <c r="D252" s="19">
        <f>M251</f>
        <v/>
      </c>
      <c r="E252" s="19">
        <f>C252+D252</f>
        <v/>
      </c>
      <c r="F252" s="20">
        <f>DATA!C252</f>
        <v/>
      </c>
      <c r="G252" s="20">
        <f>DATA!G252</f>
        <v/>
      </c>
      <c r="H252" s="19">
        <f>C252*(1+F252)</f>
        <v/>
      </c>
      <c r="I252" s="19">
        <f>D252*(1+G252)</f>
        <v/>
      </c>
      <c r="J252" s="19">
        <f>H252+I252</f>
        <v/>
      </c>
      <c r="K252" s="19">
        <f>IF(AND(CONFIG!$B$11="Annual",MONTH(A252)=7),J252*CONFIG!$B$6/12,K251)</f>
        <v/>
      </c>
      <c r="L252" s="19">
        <f>IF(J252=0,0,H252-K252*H252/J252)</f>
        <v/>
      </c>
      <c r="M252" s="19">
        <f>IF(J252=0,0,I252-K252*I252/J252)</f>
        <v/>
      </c>
      <c r="O252" s="18">
        <f>DATA!A252</f>
        <v/>
      </c>
      <c r="P252">
        <f>DATA!B252</f>
        <v/>
      </c>
      <c r="Q252" s="19">
        <f>Z251</f>
        <v/>
      </c>
      <c r="R252" s="19">
        <f>AA251</f>
        <v/>
      </c>
      <c r="S252" s="19">
        <f>Q252+R252</f>
        <v/>
      </c>
      <c r="T252" s="20">
        <f>DATA!D252</f>
        <v/>
      </c>
      <c r="U252" s="20">
        <f>DATA!G252</f>
        <v/>
      </c>
      <c r="V252" s="19">
        <f>Q252*(1+T252)</f>
        <v/>
      </c>
      <c r="W252" s="19">
        <f>R252*(1+U252)</f>
        <v/>
      </c>
      <c r="X252" s="19">
        <f>V252+W252</f>
        <v/>
      </c>
      <c r="Y252" s="19">
        <f>IF(AND(CONFIG!$B$11="Annual",MONTH(O252)=7),X252*CONFIG!$B$6/12,Y251)</f>
        <v/>
      </c>
      <c r="Z252" s="19">
        <f>IF(X252=0,0,V252-Y252*V252/X252)</f>
        <v/>
      </c>
      <c r="AA252" s="19">
        <f>IF(X252=0,0,W252-Y252*W252/X252)</f>
        <v/>
      </c>
      <c r="AC252" s="18">
        <f>DATA!A252</f>
        <v/>
      </c>
      <c r="AD252">
        <f>DATA!B252</f>
        <v/>
      </c>
      <c r="AE252" s="19">
        <f>AN251</f>
        <v/>
      </c>
      <c r="AF252" s="19">
        <f>AO251</f>
        <v/>
      </c>
      <c r="AG252" s="19">
        <f>AE252+AF252</f>
        <v/>
      </c>
      <c r="AH252" s="20">
        <f>DATA!E252</f>
        <v/>
      </c>
      <c r="AI252" s="20">
        <f>DATA!G252</f>
        <v/>
      </c>
      <c r="AJ252" s="19">
        <f>AE252*(1+AH252)</f>
        <v/>
      </c>
      <c r="AK252" s="19">
        <f>AF252*(1+AI252)</f>
        <v/>
      </c>
      <c r="AL252" s="19">
        <f>AJ252+AK252</f>
        <v/>
      </c>
      <c r="AM252" s="19">
        <f>IF(AND(CONFIG!$B$11="Annual",MONTH(AC252)=7),AL252*CONFIG!$B$6/12,AM251)</f>
        <v/>
      </c>
      <c r="AN252" s="19">
        <f>IF(AL252=0,0,AJ252-AM252*AJ252/AL252)</f>
        <v/>
      </c>
      <c r="AO252" s="19">
        <f>IF(AL252=0,0,AK252-AM252*AK252/AL252)</f>
        <v/>
      </c>
    </row>
    <row r="253">
      <c r="A253" s="18">
        <f>DATA!A253</f>
        <v/>
      </c>
      <c r="B253">
        <f>DATA!B253</f>
        <v/>
      </c>
      <c r="C253" s="19">
        <f>L252</f>
        <v/>
      </c>
      <c r="D253" s="19">
        <f>M252</f>
        <v/>
      </c>
      <c r="E253" s="19">
        <f>C253+D253</f>
        <v/>
      </c>
      <c r="F253" s="20">
        <f>DATA!C253</f>
        <v/>
      </c>
      <c r="G253" s="20">
        <f>DATA!G253</f>
        <v/>
      </c>
      <c r="H253" s="19">
        <f>C253*(1+F253)</f>
        <v/>
      </c>
      <c r="I253" s="19">
        <f>D253*(1+G253)</f>
        <v/>
      </c>
      <c r="J253" s="19">
        <f>H253+I253</f>
        <v/>
      </c>
      <c r="K253" s="19">
        <f>IF(AND(CONFIG!$B$11="Annual",MONTH(A253)=7),J253*CONFIG!$B$6/12,K252)</f>
        <v/>
      </c>
      <c r="L253" s="19">
        <f>IF(J253=0,0,H253-K253*H253/J253)</f>
        <v/>
      </c>
      <c r="M253" s="19">
        <f>IF(J253=0,0,I253-K253*I253/J253)</f>
        <v/>
      </c>
      <c r="O253" s="18">
        <f>DATA!A253</f>
        <v/>
      </c>
      <c r="P253">
        <f>DATA!B253</f>
        <v/>
      </c>
      <c r="Q253" s="19">
        <f>Z252</f>
        <v/>
      </c>
      <c r="R253" s="19">
        <f>AA252</f>
        <v/>
      </c>
      <c r="S253" s="19">
        <f>Q253+R253</f>
        <v/>
      </c>
      <c r="T253" s="20">
        <f>DATA!D253</f>
        <v/>
      </c>
      <c r="U253" s="20">
        <f>DATA!G253</f>
        <v/>
      </c>
      <c r="V253" s="19">
        <f>Q253*(1+T253)</f>
        <v/>
      </c>
      <c r="W253" s="19">
        <f>R253*(1+U253)</f>
        <v/>
      </c>
      <c r="X253" s="19">
        <f>V253+W253</f>
        <v/>
      </c>
      <c r="Y253" s="19">
        <f>IF(AND(CONFIG!$B$11="Annual",MONTH(O253)=7),X253*CONFIG!$B$6/12,Y252)</f>
        <v/>
      </c>
      <c r="Z253" s="19">
        <f>IF(X253=0,0,V253-Y253*V253/X253)</f>
        <v/>
      </c>
      <c r="AA253" s="19">
        <f>IF(X253=0,0,W253-Y253*W253/X253)</f>
        <v/>
      </c>
      <c r="AC253" s="18">
        <f>DATA!A253</f>
        <v/>
      </c>
      <c r="AD253">
        <f>DATA!B253</f>
        <v/>
      </c>
      <c r="AE253" s="19">
        <f>AN252</f>
        <v/>
      </c>
      <c r="AF253" s="19">
        <f>AO252</f>
        <v/>
      </c>
      <c r="AG253" s="19">
        <f>AE253+AF253</f>
        <v/>
      </c>
      <c r="AH253" s="20">
        <f>DATA!E253</f>
        <v/>
      </c>
      <c r="AI253" s="20">
        <f>DATA!G253</f>
        <v/>
      </c>
      <c r="AJ253" s="19">
        <f>AE253*(1+AH253)</f>
        <v/>
      </c>
      <c r="AK253" s="19">
        <f>AF253*(1+AI253)</f>
        <v/>
      </c>
      <c r="AL253" s="19">
        <f>AJ253+AK253</f>
        <v/>
      </c>
      <c r="AM253" s="19">
        <f>IF(AND(CONFIG!$B$11="Annual",MONTH(AC253)=7),AL253*CONFIG!$B$6/12,AM252)</f>
        <v/>
      </c>
      <c r="AN253" s="19">
        <f>IF(AL253=0,0,AJ253-AM253*AJ253/AL253)</f>
        <v/>
      </c>
      <c r="AO253" s="19">
        <f>IF(AL253=0,0,AK253-AM253*AK253/AL253)</f>
        <v/>
      </c>
    </row>
    <row r="254">
      <c r="A254" s="18">
        <f>DATA!A254</f>
        <v/>
      </c>
      <c r="B254">
        <f>DATA!B254</f>
        <v/>
      </c>
      <c r="C254" s="19">
        <f>L253</f>
        <v/>
      </c>
      <c r="D254" s="19">
        <f>M253</f>
        <v/>
      </c>
      <c r="E254" s="19">
        <f>C254+D254</f>
        <v/>
      </c>
      <c r="F254" s="20">
        <f>DATA!C254</f>
        <v/>
      </c>
      <c r="G254" s="20">
        <f>DATA!G254</f>
        <v/>
      </c>
      <c r="H254" s="19">
        <f>C254*(1+F254)</f>
        <v/>
      </c>
      <c r="I254" s="19">
        <f>D254*(1+G254)</f>
        <v/>
      </c>
      <c r="J254" s="19">
        <f>H254+I254</f>
        <v/>
      </c>
      <c r="K254" s="19">
        <f>IF(AND(CONFIG!$B$11="Annual",MONTH(A254)=7),J254*CONFIG!$B$6/12,K253)</f>
        <v/>
      </c>
      <c r="L254" s="19">
        <f>IF(J254=0,0,H254-K254*H254/J254)</f>
        <v/>
      </c>
      <c r="M254" s="19">
        <f>IF(J254=0,0,I254-K254*I254/J254)</f>
        <v/>
      </c>
      <c r="O254" s="18">
        <f>DATA!A254</f>
        <v/>
      </c>
      <c r="P254">
        <f>DATA!B254</f>
        <v/>
      </c>
      <c r="Q254" s="19">
        <f>Z253</f>
        <v/>
      </c>
      <c r="R254" s="19">
        <f>AA253</f>
        <v/>
      </c>
      <c r="S254" s="19">
        <f>Q254+R254</f>
        <v/>
      </c>
      <c r="T254" s="20">
        <f>DATA!D254</f>
        <v/>
      </c>
      <c r="U254" s="20">
        <f>DATA!G254</f>
        <v/>
      </c>
      <c r="V254" s="19">
        <f>Q254*(1+T254)</f>
        <v/>
      </c>
      <c r="W254" s="19">
        <f>R254*(1+U254)</f>
        <v/>
      </c>
      <c r="X254" s="19">
        <f>V254+W254</f>
        <v/>
      </c>
      <c r="Y254" s="19">
        <f>IF(AND(CONFIG!$B$11="Annual",MONTH(O254)=7),X254*CONFIG!$B$6/12,Y253)</f>
        <v/>
      </c>
      <c r="Z254" s="19">
        <f>IF(X254=0,0,V254-Y254*V254/X254)</f>
        <v/>
      </c>
      <c r="AA254" s="19">
        <f>IF(X254=0,0,W254-Y254*W254/X254)</f>
        <v/>
      </c>
      <c r="AC254" s="18">
        <f>DATA!A254</f>
        <v/>
      </c>
      <c r="AD254">
        <f>DATA!B254</f>
        <v/>
      </c>
      <c r="AE254" s="19">
        <f>AN253</f>
        <v/>
      </c>
      <c r="AF254" s="19">
        <f>AO253</f>
        <v/>
      </c>
      <c r="AG254" s="19">
        <f>AE254+AF254</f>
        <v/>
      </c>
      <c r="AH254" s="20">
        <f>DATA!E254</f>
        <v/>
      </c>
      <c r="AI254" s="20">
        <f>DATA!G254</f>
        <v/>
      </c>
      <c r="AJ254" s="19">
        <f>AE254*(1+AH254)</f>
        <v/>
      </c>
      <c r="AK254" s="19">
        <f>AF254*(1+AI254)</f>
        <v/>
      </c>
      <c r="AL254" s="19">
        <f>AJ254+AK254</f>
        <v/>
      </c>
      <c r="AM254" s="19">
        <f>IF(AND(CONFIG!$B$11="Annual",MONTH(AC254)=7),AL254*CONFIG!$B$6/12,AM253)</f>
        <v/>
      </c>
      <c r="AN254" s="19">
        <f>IF(AL254=0,0,AJ254-AM254*AJ254/AL254)</f>
        <v/>
      </c>
      <c r="AO254" s="19">
        <f>IF(AL254=0,0,AK254-AM254*AK254/AL254)</f>
        <v/>
      </c>
    </row>
    <row r="255">
      <c r="A255" s="18">
        <f>DATA!A255</f>
        <v/>
      </c>
      <c r="B255">
        <f>DATA!B255</f>
        <v/>
      </c>
      <c r="C255" s="19">
        <f>L254</f>
        <v/>
      </c>
      <c r="D255" s="19">
        <f>M254</f>
        <v/>
      </c>
      <c r="E255" s="19">
        <f>C255+D255</f>
        <v/>
      </c>
      <c r="F255" s="20">
        <f>DATA!C255</f>
        <v/>
      </c>
      <c r="G255" s="20">
        <f>DATA!G255</f>
        <v/>
      </c>
      <c r="H255" s="19">
        <f>C255*(1+F255)</f>
        <v/>
      </c>
      <c r="I255" s="19">
        <f>D255*(1+G255)</f>
        <v/>
      </c>
      <c r="J255" s="19">
        <f>H255+I255</f>
        <v/>
      </c>
      <c r="K255" s="19">
        <f>IF(AND(CONFIG!$B$11="Annual",MONTH(A255)=7),J255*CONFIG!$B$6/12,K254)</f>
        <v/>
      </c>
      <c r="L255" s="19">
        <f>IF(J255=0,0,H255-K255*H255/J255)</f>
        <v/>
      </c>
      <c r="M255" s="19">
        <f>IF(J255=0,0,I255-K255*I255/J255)</f>
        <v/>
      </c>
      <c r="O255" s="18">
        <f>DATA!A255</f>
        <v/>
      </c>
      <c r="P255">
        <f>DATA!B255</f>
        <v/>
      </c>
      <c r="Q255" s="19">
        <f>Z254</f>
        <v/>
      </c>
      <c r="R255" s="19">
        <f>AA254</f>
        <v/>
      </c>
      <c r="S255" s="19">
        <f>Q255+R255</f>
        <v/>
      </c>
      <c r="T255" s="20">
        <f>DATA!D255</f>
        <v/>
      </c>
      <c r="U255" s="20">
        <f>DATA!G255</f>
        <v/>
      </c>
      <c r="V255" s="19">
        <f>Q255*(1+T255)</f>
        <v/>
      </c>
      <c r="W255" s="19">
        <f>R255*(1+U255)</f>
        <v/>
      </c>
      <c r="X255" s="19">
        <f>V255+W255</f>
        <v/>
      </c>
      <c r="Y255" s="19">
        <f>IF(AND(CONFIG!$B$11="Annual",MONTH(O255)=7),X255*CONFIG!$B$6/12,Y254)</f>
        <v/>
      </c>
      <c r="Z255" s="19">
        <f>IF(X255=0,0,V255-Y255*V255/X255)</f>
        <v/>
      </c>
      <c r="AA255" s="19">
        <f>IF(X255=0,0,W255-Y255*W255/X255)</f>
        <v/>
      </c>
      <c r="AC255" s="18">
        <f>DATA!A255</f>
        <v/>
      </c>
      <c r="AD255">
        <f>DATA!B255</f>
        <v/>
      </c>
      <c r="AE255" s="19">
        <f>AN254</f>
        <v/>
      </c>
      <c r="AF255" s="19">
        <f>AO254</f>
        <v/>
      </c>
      <c r="AG255" s="19">
        <f>AE255+AF255</f>
        <v/>
      </c>
      <c r="AH255" s="20">
        <f>DATA!E255</f>
        <v/>
      </c>
      <c r="AI255" s="20">
        <f>DATA!G255</f>
        <v/>
      </c>
      <c r="AJ255" s="19">
        <f>AE255*(1+AH255)</f>
        <v/>
      </c>
      <c r="AK255" s="19">
        <f>AF255*(1+AI255)</f>
        <v/>
      </c>
      <c r="AL255" s="19">
        <f>AJ255+AK255</f>
        <v/>
      </c>
      <c r="AM255" s="19">
        <f>IF(AND(CONFIG!$B$11="Annual",MONTH(AC255)=7),AL255*CONFIG!$B$6/12,AM254)</f>
        <v/>
      </c>
      <c r="AN255" s="19">
        <f>IF(AL255=0,0,AJ255-AM255*AJ255/AL255)</f>
        <v/>
      </c>
      <c r="AO255" s="19">
        <f>IF(AL255=0,0,AK255-AM255*AK255/AL255)</f>
        <v/>
      </c>
    </row>
    <row r="256">
      <c r="A256" s="18">
        <f>DATA!A256</f>
        <v/>
      </c>
      <c r="B256">
        <f>DATA!B256</f>
        <v/>
      </c>
      <c r="C256" s="19">
        <f>L255</f>
        <v/>
      </c>
      <c r="D256" s="19">
        <f>M255</f>
        <v/>
      </c>
      <c r="E256" s="19">
        <f>C256+D256</f>
        <v/>
      </c>
      <c r="F256" s="20">
        <f>DATA!C256</f>
        <v/>
      </c>
      <c r="G256" s="20">
        <f>DATA!G256</f>
        <v/>
      </c>
      <c r="H256" s="19">
        <f>C256*(1+F256)</f>
        <v/>
      </c>
      <c r="I256" s="19">
        <f>D256*(1+G256)</f>
        <v/>
      </c>
      <c r="J256" s="19">
        <f>H256+I256</f>
        <v/>
      </c>
      <c r="K256" s="19">
        <f>IF(AND(CONFIG!$B$11="Annual",MONTH(A256)=7),J256*CONFIG!$B$6/12,K255)</f>
        <v/>
      </c>
      <c r="L256" s="19">
        <f>IF(J256=0,0,H256-K256*H256/J256)</f>
        <v/>
      </c>
      <c r="M256" s="19">
        <f>IF(J256=0,0,I256-K256*I256/J256)</f>
        <v/>
      </c>
      <c r="O256" s="18">
        <f>DATA!A256</f>
        <v/>
      </c>
      <c r="P256">
        <f>DATA!B256</f>
        <v/>
      </c>
      <c r="Q256" s="19">
        <f>Z255</f>
        <v/>
      </c>
      <c r="R256" s="19">
        <f>AA255</f>
        <v/>
      </c>
      <c r="S256" s="19">
        <f>Q256+R256</f>
        <v/>
      </c>
      <c r="T256" s="20">
        <f>DATA!D256</f>
        <v/>
      </c>
      <c r="U256" s="20">
        <f>DATA!G256</f>
        <v/>
      </c>
      <c r="V256" s="19">
        <f>Q256*(1+T256)</f>
        <v/>
      </c>
      <c r="W256" s="19">
        <f>R256*(1+U256)</f>
        <v/>
      </c>
      <c r="X256" s="19">
        <f>V256+W256</f>
        <v/>
      </c>
      <c r="Y256" s="19">
        <f>IF(AND(CONFIG!$B$11="Annual",MONTH(O256)=7),X256*CONFIG!$B$6/12,Y255)</f>
        <v/>
      </c>
      <c r="Z256" s="19">
        <f>IF(X256=0,0,V256-Y256*V256/X256)</f>
        <v/>
      </c>
      <c r="AA256" s="19">
        <f>IF(X256=0,0,W256-Y256*W256/X256)</f>
        <v/>
      </c>
      <c r="AC256" s="18">
        <f>DATA!A256</f>
        <v/>
      </c>
      <c r="AD256">
        <f>DATA!B256</f>
        <v/>
      </c>
      <c r="AE256" s="19">
        <f>AN255</f>
        <v/>
      </c>
      <c r="AF256" s="19">
        <f>AO255</f>
        <v/>
      </c>
      <c r="AG256" s="19">
        <f>AE256+AF256</f>
        <v/>
      </c>
      <c r="AH256" s="20">
        <f>DATA!E256</f>
        <v/>
      </c>
      <c r="AI256" s="20">
        <f>DATA!G256</f>
        <v/>
      </c>
      <c r="AJ256" s="19">
        <f>AE256*(1+AH256)</f>
        <v/>
      </c>
      <c r="AK256" s="19">
        <f>AF256*(1+AI256)</f>
        <v/>
      </c>
      <c r="AL256" s="19">
        <f>AJ256+AK256</f>
        <v/>
      </c>
      <c r="AM256" s="19">
        <f>IF(AND(CONFIG!$B$11="Annual",MONTH(AC256)=7),AL256*CONFIG!$B$6/12,AM255)</f>
        <v/>
      </c>
      <c r="AN256" s="19">
        <f>IF(AL256=0,0,AJ256-AM256*AJ256/AL256)</f>
        <v/>
      </c>
      <c r="AO256" s="19">
        <f>IF(AL256=0,0,AK256-AM256*AK256/AL256)</f>
        <v/>
      </c>
    </row>
    <row r="257">
      <c r="A257" s="18">
        <f>DATA!A257</f>
        <v/>
      </c>
      <c r="B257">
        <f>DATA!B257</f>
        <v/>
      </c>
      <c r="C257" s="19">
        <f>L256</f>
        <v/>
      </c>
      <c r="D257" s="19">
        <f>M256</f>
        <v/>
      </c>
      <c r="E257" s="19">
        <f>C257+D257</f>
        <v/>
      </c>
      <c r="F257" s="20">
        <f>DATA!C257</f>
        <v/>
      </c>
      <c r="G257" s="20">
        <f>DATA!G257</f>
        <v/>
      </c>
      <c r="H257" s="19">
        <f>C257*(1+F257)</f>
        <v/>
      </c>
      <c r="I257" s="19">
        <f>D257*(1+G257)</f>
        <v/>
      </c>
      <c r="J257" s="19">
        <f>H257+I257</f>
        <v/>
      </c>
      <c r="K257" s="19">
        <f>IF(AND(CONFIG!$B$11="Annual",MONTH(A257)=7),J257*CONFIG!$B$6/12,K256)</f>
        <v/>
      </c>
      <c r="L257" s="19">
        <f>IF(J257=0,0,H257-K257*H257/J257)</f>
        <v/>
      </c>
      <c r="M257" s="19">
        <f>IF(J257=0,0,I257-K257*I257/J257)</f>
        <v/>
      </c>
      <c r="O257" s="18">
        <f>DATA!A257</f>
        <v/>
      </c>
      <c r="P257">
        <f>DATA!B257</f>
        <v/>
      </c>
      <c r="Q257" s="19">
        <f>Z256</f>
        <v/>
      </c>
      <c r="R257" s="19">
        <f>AA256</f>
        <v/>
      </c>
      <c r="S257" s="19">
        <f>Q257+R257</f>
        <v/>
      </c>
      <c r="T257" s="20">
        <f>DATA!D257</f>
        <v/>
      </c>
      <c r="U257" s="20">
        <f>DATA!G257</f>
        <v/>
      </c>
      <c r="V257" s="19">
        <f>Q257*(1+T257)</f>
        <v/>
      </c>
      <c r="W257" s="19">
        <f>R257*(1+U257)</f>
        <v/>
      </c>
      <c r="X257" s="19">
        <f>V257+W257</f>
        <v/>
      </c>
      <c r="Y257" s="19">
        <f>IF(AND(CONFIG!$B$11="Annual",MONTH(O257)=7),X257*CONFIG!$B$6/12,Y256)</f>
        <v/>
      </c>
      <c r="Z257" s="19">
        <f>IF(X257=0,0,V257-Y257*V257/X257)</f>
        <v/>
      </c>
      <c r="AA257" s="19">
        <f>IF(X257=0,0,W257-Y257*W257/X257)</f>
        <v/>
      </c>
      <c r="AC257" s="18">
        <f>DATA!A257</f>
        <v/>
      </c>
      <c r="AD257">
        <f>DATA!B257</f>
        <v/>
      </c>
      <c r="AE257" s="19">
        <f>AN256</f>
        <v/>
      </c>
      <c r="AF257" s="19">
        <f>AO256</f>
        <v/>
      </c>
      <c r="AG257" s="19">
        <f>AE257+AF257</f>
        <v/>
      </c>
      <c r="AH257" s="20">
        <f>DATA!E257</f>
        <v/>
      </c>
      <c r="AI257" s="20">
        <f>DATA!G257</f>
        <v/>
      </c>
      <c r="AJ257" s="19">
        <f>AE257*(1+AH257)</f>
        <v/>
      </c>
      <c r="AK257" s="19">
        <f>AF257*(1+AI257)</f>
        <v/>
      </c>
      <c r="AL257" s="19">
        <f>AJ257+AK257</f>
        <v/>
      </c>
      <c r="AM257" s="19">
        <f>IF(AND(CONFIG!$B$11="Annual",MONTH(AC257)=7),AL257*CONFIG!$B$6/12,AM256)</f>
        <v/>
      </c>
      <c r="AN257" s="19">
        <f>IF(AL257=0,0,AJ257-AM257*AJ257/AL257)</f>
        <v/>
      </c>
      <c r="AO257" s="19">
        <f>IF(AL257=0,0,AK257-AM257*AK257/AL257)</f>
        <v/>
      </c>
    </row>
    <row r="258">
      <c r="A258" s="18">
        <f>DATA!A258</f>
        <v/>
      </c>
      <c r="B258">
        <f>DATA!B258</f>
        <v/>
      </c>
      <c r="C258" s="19">
        <f>L257</f>
        <v/>
      </c>
      <c r="D258" s="19">
        <f>M257</f>
        <v/>
      </c>
      <c r="E258" s="19">
        <f>C258+D258</f>
        <v/>
      </c>
      <c r="F258" s="20">
        <f>DATA!C258</f>
        <v/>
      </c>
      <c r="G258" s="20">
        <f>DATA!G258</f>
        <v/>
      </c>
      <c r="H258" s="19">
        <f>C258*(1+F258)</f>
        <v/>
      </c>
      <c r="I258" s="19">
        <f>D258*(1+G258)</f>
        <v/>
      </c>
      <c r="J258" s="19">
        <f>H258+I258</f>
        <v/>
      </c>
      <c r="K258" s="19">
        <f>IF(AND(CONFIG!$B$11="Annual",MONTH(A258)=7),J258*CONFIG!$B$6/12,K257)</f>
        <v/>
      </c>
      <c r="L258" s="19">
        <f>IF(J258=0,0,H258-K258*H258/J258)</f>
        <v/>
      </c>
      <c r="M258" s="19">
        <f>IF(J258=0,0,I258-K258*I258/J258)</f>
        <v/>
      </c>
      <c r="O258" s="18">
        <f>DATA!A258</f>
        <v/>
      </c>
      <c r="P258">
        <f>DATA!B258</f>
        <v/>
      </c>
      <c r="Q258" s="19">
        <f>Z257</f>
        <v/>
      </c>
      <c r="R258" s="19">
        <f>AA257</f>
        <v/>
      </c>
      <c r="S258" s="19">
        <f>Q258+R258</f>
        <v/>
      </c>
      <c r="T258" s="20">
        <f>DATA!D258</f>
        <v/>
      </c>
      <c r="U258" s="20">
        <f>DATA!G258</f>
        <v/>
      </c>
      <c r="V258" s="19">
        <f>Q258*(1+T258)</f>
        <v/>
      </c>
      <c r="W258" s="19">
        <f>R258*(1+U258)</f>
        <v/>
      </c>
      <c r="X258" s="19">
        <f>V258+W258</f>
        <v/>
      </c>
      <c r="Y258" s="19">
        <f>IF(AND(CONFIG!$B$11="Annual",MONTH(O258)=7),X258*CONFIG!$B$6/12,Y257)</f>
        <v/>
      </c>
      <c r="Z258" s="19">
        <f>IF(X258=0,0,V258-Y258*V258/X258)</f>
        <v/>
      </c>
      <c r="AA258" s="19">
        <f>IF(X258=0,0,W258-Y258*W258/X258)</f>
        <v/>
      </c>
      <c r="AC258" s="18">
        <f>DATA!A258</f>
        <v/>
      </c>
      <c r="AD258">
        <f>DATA!B258</f>
        <v/>
      </c>
      <c r="AE258" s="19">
        <f>AN257</f>
        <v/>
      </c>
      <c r="AF258" s="19">
        <f>AO257</f>
        <v/>
      </c>
      <c r="AG258" s="19">
        <f>AE258+AF258</f>
        <v/>
      </c>
      <c r="AH258" s="20">
        <f>DATA!E258</f>
        <v/>
      </c>
      <c r="AI258" s="20">
        <f>DATA!G258</f>
        <v/>
      </c>
      <c r="AJ258" s="19">
        <f>AE258*(1+AH258)</f>
        <v/>
      </c>
      <c r="AK258" s="19">
        <f>AF258*(1+AI258)</f>
        <v/>
      </c>
      <c r="AL258" s="19">
        <f>AJ258+AK258</f>
        <v/>
      </c>
      <c r="AM258" s="19">
        <f>IF(AND(CONFIG!$B$11="Annual",MONTH(AC258)=7),AL258*CONFIG!$B$6/12,AM257)</f>
        <v/>
      </c>
      <c r="AN258" s="19">
        <f>IF(AL258=0,0,AJ258-AM258*AJ258/AL258)</f>
        <v/>
      </c>
      <c r="AO258" s="19">
        <f>IF(AL258=0,0,AK258-AM258*AK258/AL258)</f>
        <v/>
      </c>
    </row>
    <row r="259">
      <c r="A259" s="18">
        <f>DATA!A259</f>
        <v/>
      </c>
      <c r="B259">
        <f>DATA!B259</f>
        <v/>
      </c>
      <c r="C259" s="19">
        <f>L258</f>
        <v/>
      </c>
      <c r="D259" s="19">
        <f>M258</f>
        <v/>
      </c>
      <c r="E259" s="19">
        <f>C259+D259</f>
        <v/>
      </c>
      <c r="F259" s="20">
        <f>DATA!C259</f>
        <v/>
      </c>
      <c r="G259" s="20">
        <f>DATA!G259</f>
        <v/>
      </c>
      <c r="H259" s="19">
        <f>C259*(1+F259)</f>
        <v/>
      </c>
      <c r="I259" s="19">
        <f>D259*(1+G259)</f>
        <v/>
      </c>
      <c r="J259" s="19">
        <f>H259+I259</f>
        <v/>
      </c>
      <c r="K259" s="19">
        <f>IF(AND(CONFIG!$B$11="Annual",MONTH(A259)=7),J259*CONFIG!$B$6/12,K258)</f>
        <v/>
      </c>
      <c r="L259" s="19">
        <f>IF(J259=0,0,H259-K259*H259/J259)</f>
        <v/>
      </c>
      <c r="M259" s="19">
        <f>IF(J259=0,0,I259-K259*I259/J259)</f>
        <v/>
      </c>
      <c r="O259" s="18">
        <f>DATA!A259</f>
        <v/>
      </c>
      <c r="P259">
        <f>DATA!B259</f>
        <v/>
      </c>
      <c r="Q259" s="19">
        <f>Z258</f>
        <v/>
      </c>
      <c r="R259" s="19">
        <f>AA258</f>
        <v/>
      </c>
      <c r="S259" s="19">
        <f>Q259+R259</f>
        <v/>
      </c>
      <c r="T259" s="20">
        <f>DATA!D259</f>
        <v/>
      </c>
      <c r="U259" s="20">
        <f>DATA!G259</f>
        <v/>
      </c>
      <c r="V259" s="19">
        <f>Q259*(1+T259)</f>
        <v/>
      </c>
      <c r="W259" s="19">
        <f>R259*(1+U259)</f>
        <v/>
      </c>
      <c r="X259" s="19">
        <f>V259+W259</f>
        <v/>
      </c>
      <c r="Y259" s="19">
        <f>IF(AND(CONFIG!$B$11="Annual",MONTH(O259)=7),X259*CONFIG!$B$6/12,Y258)</f>
        <v/>
      </c>
      <c r="Z259" s="19">
        <f>IF(X259=0,0,V259-Y259*V259/X259)</f>
        <v/>
      </c>
      <c r="AA259" s="19">
        <f>IF(X259=0,0,W259-Y259*W259/X259)</f>
        <v/>
      </c>
      <c r="AC259" s="18">
        <f>DATA!A259</f>
        <v/>
      </c>
      <c r="AD259">
        <f>DATA!B259</f>
        <v/>
      </c>
      <c r="AE259" s="19">
        <f>AN258</f>
        <v/>
      </c>
      <c r="AF259" s="19">
        <f>AO258</f>
        <v/>
      </c>
      <c r="AG259" s="19">
        <f>AE259+AF259</f>
        <v/>
      </c>
      <c r="AH259" s="20">
        <f>DATA!E259</f>
        <v/>
      </c>
      <c r="AI259" s="20">
        <f>DATA!G259</f>
        <v/>
      </c>
      <c r="AJ259" s="19">
        <f>AE259*(1+AH259)</f>
        <v/>
      </c>
      <c r="AK259" s="19">
        <f>AF259*(1+AI259)</f>
        <v/>
      </c>
      <c r="AL259" s="19">
        <f>AJ259+AK259</f>
        <v/>
      </c>
      <c r="AM259" s="19">
        <f>IF(AND(CONFIG!$B$11="Annual",MONTH(AC259)=7),AL259*CONFIG!$B$6/12,AM258)</f>
        <v/>
      </c>
      <c r="AN259" s="19">
        <f>IF(AL259=0,0,AJ259-AM259*AJ259/AL259)</f>
        <v/>
      </c>
      <c r="AO259" s="19">
        <f>IF(AL259=0,0,AK259-AM259*AK259/AL259)</f>
        <v/>
      </c>
    </row>
    <row r="260">
      <c r="A260" s="18">
        <f>DATA!A260</f>
        <v/>
      </c>
      <c r="B260">
        <f>DATA!B260</f>
        <v/>
      </c>
      <c r="C260" s="19">
        <f>L259</f>
        <v/>
      </c>
      <c r="D260" s="19">
        <f>M259</f>
        <v/>
      </c>
      <c r="E260" s="19">
        <f>C260+D260</f>
        <v/>
      </c>
      <c r="F260" s="20">
        <f>DATA!C260</f>
        <v/>
      </c>
      <c r="G260" s="20">
        <f>DATA!G260</f>
        <v/>
      </c>
      <c r="H260" s="19">
        <f>C260*(1+F260)</f>
        <v/>
      </c>
      <c r="I260" s="19">
        <f>D260*(1+G260)</f>
        <v/>
      </c>
      <c r="J260" s="19">
        <f>H260+I260</f>
        <v/>
      </c>
      <c r="K260" s="19">
        <f>IF(AND(CONFIG!$B$11="Annual",MONTH(A260)=7),J260*CONFIG!$B$6/12,K259)</f>
        <v/>
      </c>
      <c r="L260" s="19">
        <f>IF(J260=0,0,H260-K260*H260/J260)</f>
        <v/>
      </c>
      <c r="M260" s="19">
        <f>IF(J260=0,0,I260-K260*I260/J260)</f>
        <v/>
      </c>
      <c r="O260" s="18">
        <f>DATA!A260</f>
        <v/>
      </c>
      <c r="P260">
        <f>DATA!B260</f>
        <v/>
      </c>
      <c r="Q260" s="19">
        <f>Z259</f>
        <v/>
      </c>
      <c r="R260" s="19">
        <f>AA259</f>
        <v/>
      </c>
      <c r="S260" s="19">
        <f>Q260+R260</f>
        <v/>
      </c>
      <c r="T260" s="20">
        <f>DATA!D260</f>
        <v/>
      </c>
      <c r="U260" s="20">
        <f>DATA!G260</f>
        <v/>
      </c>
      <c r="V260" s="19">
        <f>Q260*(1+T260)</f>
        <v/>
      </c>
      <c r="W260" s="19">
        <f>R260*(1+U260)</f>
        <v/>
      </c>
      <c r="X260" s="19">
        <f>V260+W260</f>
        <v/>
      </c>
      <c r="Y260" s="19">
        <f>IF(AND(CONFIG!$B$11="Annual",MONTH(O260)=7),X260*CONFIG!$B$6/12,Y259)</f>
        <v/>
      </c>
      <c r="Z260" s="19">
        <f>IF(X260=0,0,V260-Y260*V260/X260)</f>
        <v/>
      </c>
      <c r="AA260" s="19">
        <f>IF(X260=0,0,W260-Y260*W260/X260)</f>
        <v/>
      </c>
      <c r="AC260" s="18">
        <f>DATA!A260</f>
        <v/>
      </c>
      <c r="AD260">
        <f>DATA!B260</f>
        <v/>
      </c>
      <c r="AE260" s="19">
        <f>AN259</f>
        <v/>
      </c>
      <c r="AF260" s="19">
        <f>AO259</f>
        <v/>
      </c>
      <c r="AG260" s="19">
        <f>AE260+AF260</f>
        <v/>
      </c>
      <c r="AH260" s="20">
        <f>DATA!E260</f>
        <v/>
      </c>
      <c r="AI260" s="20">
        <f>DATA!G260</f>
        <v/>
      </c>
      <c r="AJ260" s="19">
        <f>AE260*(1+AH260)</f>
        <v/>
      </c>
      <c r="AK260" s="19">
        <f>AF260*(1+AI260)</f>
        <v/>
      </c>
      <c r="AL260" s="19">
        <f>AJ260+AK260</f>
        <v/>
      </c>
      <c r="AM260" s="19">
        <f>IF(AND(CONFIG!$B$11="Annual",MONTH(AC260)=7),AL260*CONFIG!$B$6/12,AM259)</f>
        <v/>
      </c>
      <c r="AN260" s="19">
        <f>IF(AL260=0,0,AJ260-AM260*AJ260/AL260)</f>
        <v/>
      </c>
      <c r="AO260" s="19">
        <f>IF(AL260=0,0,AK260-AM260*AK260/AL260)</f>
        <v/>
      </c>
    </row>
    <row r="261">
      <c r="A261" s="18">
        <f>DATA!A261</f>
        <v/>
      </c>
      <c r="B261">
        <f>DATA!B261</f>
        <v/>
      </c>
      <c r="C261" s="19">
        <f>L260</f>
        <v/>
      </c>
      <c r="D261" s="19">
        <f>M260</f>
        <v/>
      </c>
      <c r="E261" s="19">
        <f>C261+D261</f>
        <v/>
      </c>
      <c r="F261" s="20">
        <f>DATA!C261</f>
        <v/>
      </c>
      <c r="G261" s="20">
        <f>DATA!G261</f>
        <v/>
      </c>
      <c r="H261" s="19">
        <f>C261*(1+F261)</f>
        <v/>
      </c>
      <c r="I261" s="19">
        <f>D261*(1+G261)</f>
        <v/>
      </c>
      <c r="J261" s="19">
        <f>H261+I261</f>
        <v/>
      </c>
      <c r="K261" s="19">
        <f>IF(AND(CONFIG!$B$11="Annual",MONTH(A261)=7),J261*CONFIG!$B$6/12,K260)</f>
        <v/>
      </c>
      <c r="L261" s="19">
        <f>IF(J261=0,0,H261-K261*H261/J261)</f>
        <v/>
      </c>
      <c r="M261" s="19">
        <f>IF(J261=0,0,I261-K261*I261/J261)</f>
        <v/>
      </c>
      <c r="O261" s="18">
        <f>DATA!A261</f>
        <v/>
      </c>
      <c r="P261">
        <f>DATA!B261</f>
        <v/>
      </c>
      <c r="Q261" s="19">
        <f>Z260</f>
        <v/>
      </c>
      <c r="R261" s="19">
        <f>AA260</f>
        <v/>
      </c>
      <c r="S261" s="19">
        <f>Q261+R261</f>
        <v/>
      </c>
      <c r="T261" s="20">
        <f>DATA!D261</f>
        <v/>
      </c>
      <c r="U261" s="20">
        <f>DATA!G261</f>
        <v/>
      </c>
      <c r="V261" s="19">
        <f>Q261*(1+T261)</f>
        <v/>
      </c>
      <c r="W261" s="19">
        <f>R261*(1+U261)</f>
        <v/>
      </c>
      <c r="X261" s="19">
        <f>V261+W261</f>
        <v/>
      </c>
      <c r="Y261" s="19">
        <f>IF(AND(CONFIG!$B$11="Annual",MONTH(O261)=7),X261*CONFIG!$B$6/12,Y260)</f>
        <v/>
      </c>
      <c r="Z261" s="19">
        <f>IF(X261=0,0,V261-Y261*V261/X261)</f>
        <v/>
      </c>
      <c r="AA261" s="19">
        <f>IF(X261=0,0,W261-Y261*W261/X261)</f>
        <v/>
      </c>
      <c r="AC261" s="18">
        <f>DATA!A261</f>
        <v/>
      </c>
      <c r="AD261">
        <f>DATA!B261</f>
        <v/>
      </c>
      <c r="AE261" s="19">
        <f>AN260</f>
        <v/>
      </c>
      <c r="AF261" s="19">
        <f>AO260</f>
        <v/>
      </c>
      <c r="AG261" s="19">
        <f>AE261+AF261</f>
        <v/>
      </c>
      <c r="AH261" s="20">
        <f>DATA!E261</f>
        <v/>
      </c>
      <c r="AI261" s="20">
        <f>DATA!G261</f>
        <v/>
      </c>
      <c r="AJ261" s="19">
        <f>AE261*(1+AH261)</f>
        <v/>
      </c>
      <c r="AK261" s="19">
        <f>AF261*(1+AI261)</f>
        <v/>
      </c>
      <c r="AL261" s="19">
        <f>AJ261+AK261</f>
        <v/>
      </c>
      <c r="AM261" s="19">
        <f>IF(AND(CONFIG!$B$11="Annual",MONTH(AC261)=7),AL261*CONFIG!$B$6/12,AM260)</f>
        <v/>
      </c>
      <c r="AN261" s="19">
        <f>IF(AL261=0,0,AJ261-AM261*AJ261/AL261)</f>
        <v/>
      </c>
      <c r="AO261" s="19">
        <f>IF(AL261=0,0,AK261-AM261*AK261/AL261)</f>
        <v/>
      </c>
    </row>
    <row r="262">
      <c r="A262" s="18">
        <f>DATA!A262</f>
        <v/>
      </c>
      <c r="B262">
        <f>DATA!B262</f>
        <v/>
      </c>
      <c r="C262" s="19">
        <f>L261</f>
        <v/>
      </c>
      <c r="D262" s="19">
        <f>M261</f>
        <v/>
      </c>
      <c r="E262" s="19">
        <f>C262+D262</f>
        <v/>
      </c>
      <c r="F262" s="20">
        <f>DATA!C262</f>
        <v/>
      </c>
      <c r="G262" s="20">
        <f>DATA!G262</f>
        <v/>
      </c>
      <c r="H262" s="19">
        <f>C262*(1+F262)</f>
        <v/>
      </c>
      <c r="I262" s="19">
        <f>D262*(1+G262)</f>
        <v/>
      </c>
      <c r="J262" s="19">
        <f>H262+I262</f>
        <v/>
      </c>
      <c r="K262" s="19">
        <f>IF(AND(CONFIG!$B$11="Annual",MONTH(A262)=7),J262*CONFIG!$B$6/12,K261)</f>
        <v/>
      </c>
      <c r="L262" s="19">
        <f>IF(J262=0,0,H262-K262*H262/J262)</f>
        <v/>
      </c>
      <c r="M262" s="19">
        <f>IF(J262=0,0,I262-K262*I262/J262)</f>
        <v/>
      </c>
      <c r="O262" s="18">
        <f>DATA!A262</f>
        <v/>
      </c>
      <c r="P262">
        <f>DATA!B262</f>
        <v/>
      </c>
      <c r="Q262" s="19">
        <f>Z261</f>
        <v/>
      </c>
      <c r="R262" s="19">
        <f>AA261</f>
        <v/>
      </c>
      <c r="S262" s="19">
        <f>Q262+R262</f>
        <v/>
      </c>
      <c r="T262" s="20">
        <f>DATA!D262</f>
        <v/>
      </c>
      <c r="U262" s="20">
        <f>DATA!G262</f>
        <v/>
      </c>
      <c r="V262" s="19">
        <f>Q262*(1+T262)</f>
        <v/>
      </c>
      <c r="W262" s="19">
        <f>R262*(1+U262)</f>
        <v/>
      </c>
      <c r="X262" s="19">
        <f>V262+W262</f>
        <v/>
      </c>
      <c r="Y262" s="19">
        <f>IF(AND(CONFIG!$B$11="Annual",MONTH(O262)=7),X262*CONFIG!$B$6/12,Y261)</f>
        <v/>
      </c>
      <c r="Z262" s="19">
        <f>IF(X262=0,0,V262-Y262*V262/X262)</f>
        <v/>
      </c>
      <c r="AA262" s="19">
        <f>IF(X262=0,0,W262-Y262*W262/X262)</f>
        <v/>
      </c>
      <c r="AC262" s="18">
        <f>DATA!A262</f>
        <v/>
      </c>
      <c r="AD262">
        <f>DATA!B262</f>
        <v/>
      </c>
      <c r="AE262" s="19">
        <f>AN261</f>
        <v/>
      </c>
      <c r="AF262" s="19">
        <f>AO261</f>
        <v/>
      </c>
      <c r="AG262" s="19">
        <f>AE262+AF262</f>
        <v/>
      </c>
      <c r="AH262" s="20">
        <f>DATA!E262</f>
        <v/>
      </c>
      <c r="AI262" s="20">
        <f>DATA!G262</f>
        <v/>
      </c>
      <c r="AJ262" s="19">
        <f>AE262*(1+AH262)</f>
        <v/>
      </c>
      <c r="AK262" s="19">
        <f>AF262*(1+AI262)</f>
        <v/>
      </c>
      <c r="AL262" s="19">
        <f>AJ262+AK262</f>
        <v/>
      </c>
      <c r="AM262" s="19">
        <f>IF(AND(CONFIG!$B$11="Annual",MONTH(AC262)=7),AL262*CONFIG!$B$6/12,AM261)</f>
        <v/>
      </c>
      <c r="AN262" s="19">
        <f>IF(AL262=0,0,AJ262-AM262*AJ262/AL262)</f>
        <v/>
      </c>
      <c r="AO262" s="19">
        <f>IF(AL262=0,0,AK262-AM262*AK262/AL262)</f>
        <v/>
      </c>
    </row>
    <row r="263">
      <c r="A263" s="18">
        <f>DATA!A263</f>
        <v/>
      </c>
      <c r="B263">
        <f>DATA!B263</f>
        <v/>
      </c>
      <c r="C263" s="19">
        <f>L262</f>
        <v/>
      </c>
      <c r="D263" s="19">
        <f>M262</f>
        <v/>
      </c>
      <c r="E263" s="19">
        <f>C263+D263</f>
        <v/>
      </c>
      <c r="F263" s="20">
        <f>DATA!C263</f>
        <v/>
      </c>
      <c r="G263" s="20">
        <f>DATA!G263</f>
        <v/>
      </c>
      <c r="H263" s="19">
        <f>C263*(1+F263)</f>
        <v/>
      </c>
      <c r="I263" s="19">
        <f>D263*(1+G263)</f>
        <v/>
      </c>
      <c r="J263" s="19">
        <f>H263+I263</f>
        <v/>
      </c>
      <c r="K263" s="19">
        <f>IF(AND(CONFIG!$B$11="Annual",MONTH(A263)=7),J263*CONFIG!$B$6/12,K262)</f>
        <v/>
      </c>
      <c r="L263" s="19">
        <f>IF(J263=0,0,H263-K263*H263/J263)</f>
        <v/>
      </c>
      <c r="M263" s="19">
        <f>IF(J263=0,0,I263-K263*I263/J263)</f>
        <v/>
      </c>
      <c r="O263" s="18">
        <f>DATA!A263</f>
        <v/>
      </c>
      <c r="P263">
        <f>DATA!B263</f>
        <v/>
      </c>
      <c r="Q263" s="19">
        <f>Z262</f>
        <v/>
      </c>
      <c r="R263" s="19">
        <f>AA262</f>
        <v/>
      </c>
      <c r="S263" s="19">
        <f>Q263+R263</f>
        <v/>
      </c>
      <c r="T263" s="20">
        <f>DATA!D263</f>
        <v/>
      </c>
      <c r="U263" s="20">
        <f>DATA!G263</f>
        <v/>
      </c>
      <c r="V263" s="19">
        <f>Q263*(1+T263)</f>
        <v/>
      </c>
      <c r="W263" s="19">
        <f>R263*(1+U263)</f>
        <v/>
      </c>
      <c r="X263" s="19">
        <f>V263+W263</f>
        <v/>
      </c>
      <c r="Y263" s="19">
        <f>IF(AND(CONFIG!$B$11="Annual",MONTH(O263)=7),X263*CONFIG!$B$6/12,Y262)</f>
        <v/>
      </c>
      <c r="Z263" s="19">
        <f>IF(X263=0,0,V263-Y263*V263/X263)</f>
        <v/>
      </c>
      <c r="AA263" s="19">
        <f>IF(X263=0,0,W263-Y263*W263/X263)</f>
        <v/>
      </c>
      <c r="AC263" s="18">
        <f>DATA!A263</f>
        <v/>
      </c>
      <c r="AD263">
        <f>DATA!B263</f>
        <v/>
      </c>
      <c r="AE263" s="19">
        <f>AN262</f>
        <v/>
      </c>
      <c r="AF263" s="19">
        <f>AO262</f>
        <v/>
      </c>
      <c r="AG263" s="19">
        <f>AE263+AF263</f>
        <v/>
      </c>
      <c r="AH263" s="20">
        <f>DATA!E263</f>
        <v/>
      </c>
      <c r="AI263" s="20">
        <f>DATA!G263</f>
        <v/>
      </c>
      <c r="AJ263" s="19">
        <f>AE263*(1+AH263)</f>
        <v/>
      </c>
      <c r="AK263" s="19">
        <f>AF263*(1+AI263)</f>
        <v/>
      </c>
      <c r="AL263" s="19">
        <f>AJ263+AK263</f>
        <v/>
      </c>
      <c r="AM263" s="19">
        <f>IF(AND(CONFIG!$B$11="Annual",MONTH(AC263)=7),AL263*CONFIG!$B$6/12,AM262)</f>
        <v/>
      </c>
      <c r="AN263" s="19">
        <f>IF(AL263=0,0,AJ263-AM263*AJ263/AL263)</f>
        <v/>
      </c>
      <c r="AO263" s="19">
        <f>IF(AL263=0,0,AK263-AM263*AK263/AL263)</f>
        <v/>
      </c>
    </row>
    <row r="264">
      <c r="A264" s="18">
        <f>DATA!A264</f>
        <v/>
      </c>
      <c r="B264">
        <f>DATA!B264</f>
        <v/>
      </c>
      <c r="C264" s="19">
        <f>L263</f>
        <v/>
      </c>
      <c r="D264" s="19">
        <f>M263</f>
        <v/>
      </c>
      <c r="E264" s="19">
        <f>C264+D264</f>
        <v/>
      </c>
      <c r="F264" s="20">
        <f>DATA!C264</f>
        <v/>
      </c>
      <c r="G264" s="20">
        <f>DATA!G264</f>
        <v/>
      </c>
      <c r="H264" s="19">
        <f>C264*(1+F264)</f>
        <v/>
      </c>
      <c r="I264" s="19">
        <f>D264*(1+G264)</f>
        <v/>
      </c>
      <c r="J264" s="19">
        <f>H264+I264</f>
        <v/>
      </c>
      <c r="K264" s="19">
        <f>IF(AND(CONFIG!$B$11="Annual",MONTH(A264)=7),J264*CONFIG!$B$6/12,K263)</f>
        <v/>
      </c>
      <c r="L264" s="19">
        <f>IF(J264=0,0,H264-K264*H264/J264)</f>
        <v/>
      </c>
      <c r="M264" s="19">
        <f>IF(J264=0,0,I264-K264*I264/J264)</f>
        <v/>
      </c>
      <c r="O264" s="18">
        <f>DATA!A264</f>
        <v/>
      </c>
      <c r="P264">
        <f>DATA!B264</f>
        <v/>
      </c>
      <c r="Q264" s="19">
        <f>Z263</f>
        <v/>
      </c>
      <c r="R264" s="19">
        <f>AA263</f>
        <v/>
      </c>
      <c r="S264" s="19">
        <f>Q264+R264</f>
        <v/>
      </c>
      <c r="T264" s="20">
        <f>DATA!D264</f>
        <v/>
      </c>
      <c r="U264" s="20">
        <f>DATA!G264</f>
        <v/>
      </c>
      <c r="V264" s="19">
        <f>Q264*(1+T264)</f>
        <v/>
      </c>
      <c r="W264" s="19">
        <f>R264*(1+U264)</f>
        <v/>
      </c>
      <c r="X264" s="19">
        <f>V264+W264</f>
        <v/>
      </c>
      <c r="Y264" s="19">
        <f>IF(AND(CONFIG!$B$11="Annual",MONTH(O264)=7),X264*CONFIG!$B$6/12,Y263)</f>
        <v/>
      </c>
      <c r="Z264" s="19">
        <f>IF(X264=0,0,V264-Y264*V264/X264)</f>
        <v/>
      </c>
      <c r="AA264" s="19">
        <f>IF(X264=0,0,W264-Y264*W264/X264)</f>
        <v/>
      </c>
      <c r="AC264" s="18">
        <f>DATA!A264</f>
        <v/>
      </c>
      <c r="AD264">
        <f>DATA!B264</f>
        <v/>
      </c>
      <c r="AE264" s="19">
        <f>AN263</f>
        <v/>
      </c>
      <c r="AF264" s="19">
        <f>AO263</f>
        <v/>
      </c>
      <c r="AG264" s="19">
        <f>AE264+AF264</f>
        <v/>
      </c>
      <c r="AH264" s="20">
        <f>DATA!E264</f>
        <v/>
      </c>
      <c r="AI264" s="20">
        <f>DATA!G264</f>
        <v/>
      </c>
      <c r="AJ264" s="19">
        <f>AE264*(1+AH264)</f>
        <v/>
      </c>
      <c r="AK264" s="19">
        <f>AF264*(1+AI264)</f>
        <v/>
      </c>
      <c r="AL264" s="19">
        <f>AJ264+AK264</f>
        <v/>
      </c>
      <c r="AM264" s="19">
        <f>IF(AND(CONFIG!$B$11="Annual",MONTH(AC264)=7),AL264*CONFIG!$B$6/12,AM263)</f>
        <v/>
      </c>
      <c r="AN264" s="19">
        <f>IF(AL264=0,0,AJ264-AM264*AJ264/AL264)</f>
        <v/>
      </c>
      <c r="AO264" s="19">
        <f>IF(AL264=0,0,AK264-AM264*AK264/AL264)</f>
        <v/>
      </c>
    </row>
    <row r="265">
      <c r="A265" s="18">
        <f>DATA!A265</f>
        <v/>
      </c>
      <c r="B265">
        <f>DATA!B265</f>
        <v/>
      </c>
      <c r="C265" s="19">
        <f>L264</f>
        <v/>
      </c>
      <c r="D265" s="19">
        <f>M264</f>
        <v/>
      </c>
      <c r="E265" s="19">
        <f>C265+D265</f>
        <v/>
      </c>
      <c r="F265" s="20">
        <f>DATA!C265</f>
        <v/>
      </c>
      <c r="G265" s="20">
        <f>DATA!G265</f>
        <v/>
      </c>
      <c r="H265" s="19">
        <f>C265*(1+F265)</f>
        <v/>
      </c>
      <c r="I265" s="19">
        <f>D265*(1+G265)</f>
        <v/>
      </c>
      <c r="J265" s="19">
        <f>H265+I265</f>
        <v/>
      </c>
      <c r="K265" s="19">
        <f>IF(AND(CONFIG!$B$11="Annual",MONTH(A265)=7),J265*CONFIG!$B$6/12,K264)</f>
        <v/>
      </c>
      <c r="L265" s="19">
        <f>IF(J265=0,0,H265-K265*H265/J265)</f>
        <v/>
      </c>
      <c r="M265" s="19">
        <f>IF(J265=0,0,I265-K265*I265/J265)</f>
        <v/>
      </c>
      <c r="O265" s="18">
        <f>DATA!A265</f>
        <v/>
      </c>
      <c r="P265">
        <f>DATA!B265</f>
        <v/>
      </c>
      <c r="Q265" s="19">
        <f>Z264</f>
        <v/>
      </c>
      <c r="R265" s="19">
        <f>AA264</f>
        <v/>
      </c>
      <c r="S265" s="19">
        <f>Q265+R265</f>
        <v/>
      </c>
      <c r="T265" s="20">
        <f>DATA!D265</f>
        <v/>
      </c>
      <c r="U265" s="20">
        <f>DATA!G265</f>
        <v/>
      </c>
      <c r="V265" s="19">
        <f>Q265*(1+T265)</f>
        <v/>
      </c>
      <c r="W265" s="19">
        <f>R265*(1+U265)</f>
        <v/>
      </c>
      <c r="X265" s="19">
        <f>V265+W265</f>
        <v/>
      </c>
      <c r="Y265" s="19">
        <f>IF(AND(CONFIG!$B$11="Annual",MONTH(O265)=7),X265*CONFIG!$B$6/12,Y264)</f>
        <v/>
      </c>
      <c r="Z265" s="19">
        <f>IF(X265=0,0,V265-Y265*V265/X265)</f>
        <v/>
      </c>
      <c r="AA265" s="19">
        <f>IF(X265=0,0,W265-Y265*W265/X265)</f>
        <v/>
      </c>
      <c r="AC265" s="18">
        <f>DATA!A265</f>
        <v/>
      </c>
      <c r="AD265">
        <f>DATA!B265</f>
        <v/>
      </c>
      <c r="AE265" s="19">
        <f>AN264</f>
        <v/>
      </c>
      <c r="AF265" s="19">
        <f>AO264</f>
        <v/>
      </c>
      <c r="AG265" s="19">
        <f>AE265+AF265</f>
        <v/>
      </c>
      <c r="AH265" s="20">
        <f>DATA!E265</f>
        <v/>
      </c>
      <c r="AI265" s="20">
        <f>DATA!G265</f>
        <v/>
      </c>
      <c r="AJ265" s="19">
        <f>AE265*(1+AH265)</f>
        <v/>
      </c>
      <c r="AK265" s="19">
        <f>AF265*(1+AI265)</f>
        <v/>
      </c>
      <c r="AL265" s="19">
        <f>AJ265+AK265</f>
        <v/>
      </c>
      <c r="AM265" s="19">
        <f>IF(AND(CONFIG!$B$11="Annual",MONTH(AC265)=7),AL265*CONFIG!$B$6/12,AM264)</f>
        <v/>
      </c>
      <c r="AN265" s="19">
        <f>IF(AL265=0,0,AJ265-AM265*AJ265/AL265)</f>
        <v/>
      </c>
      <c r="AO265" s="19">
        <f>IF(AL265=0,0,AK265-AM265*AK265/AL265)</f>
        <v/>
      </c>
    </row>
    <row r="266">
      <c r="A266" s="18">
        <f>DATA!A266</f>
        <v/>
      </c>
      <c r="B266">
        <f>DATA!B266</f>
        <v/>
      </c>
      <c r="C266" s="19">
        <f>L265</f>
        <v/>
      </c>
      <c r="D266" s="19">
        <f>M265</f>
        <v/>
      </c>
      <c r="E266" s="19">
        <f>C266+D266</f>
        <v/>
      </c>
      <c r="F266" s="20">
        <f>DATA!C266</f>
        <v/>
      </c>
      <c r="G266" s="20">
        <f>DATA!G266</f>
        <v/>
      </c>
      <c r="H266" s="19">
        <f>C266*(1+F266)</f>
        <v/>
      </c>
      <c r="I266" s="19">
        <f>D266*(1+G266)</f>
        <v/>
      </c>
      <c r="J266" s="19">
        <f>H266+I266</f>
        <v/>
      </c>
      <c r="K266" s="19">
        <f>IF(AND(CONFIG!$B$11="Annual",MONTH(A266)=7),J266*CONFIG!$B$6/12,K265)</f>
        <v/>
      </c>
      <c r="L266" s="19">
        <f>IF(J266=0,0,H266-K266*H266/J266)</f>
        <v/>
      </c>
      <c r="M266" s="19">
        <f>IF(J266=0,0,I266-K266*I266/J266)</f>
        <v/>
      </c>
      <c r="O266" s="18">
        <f>DATA!A266</f>
        <v/>
      </c>
      <c r="P266">
        <f>DATA!B266</f>
        <v/>
      </c>
      <c r="Q266" s="19">
        <f>Z265</f>
        <v/>
      </c>
      <c r="R266" s="19">
        <f>AA265</f>
        <v/>
      </c>
      <c r="S266" s="19">
        <f>Q266+R266</f>
        <v/>
      </c>
      <c r="T266" s="20">
        <f>DATA!D266</f>
        <v/>
      </c>
      <c r="U266" s="20">
        <f>DATA!G266</f>
        <v/>
      </c>
      <c r="V266" s="19">
        <f>Q266*(1+T266)</f>
        <v/>
      </c>
      <c r="W266" s="19">
        <f>R266*(1+U266)</f>
        <v/>
      </c>
      <c r="X266" s="19">
        <f>V266+W266</f>
        <v/>
      </c>
      <c r="Y266" s="19">
        <f>IF(AND(CONFIG!$B$11="Annual",MONTH(O266)=7),X266*CONFIG!$B$6/12,Y265)</f>
        <v/>
      </c>
      <c r="Z266" s="19">
        <f>IF(X266=0,0,V266-Y266*V266/X266)</f>
        <v/>
      </c>
      <c r="AA266" s="19">
        <f>IF(X266=0,0,W266-Y266*W266/X266)</f>
        <v/>
      </c>
      <c r="AC266" s="18">
        <f>DATA!A266</f>
        <v/>
      </c>
      <c r="AD266">
        <f>DATA!B266</f>
        <v/>
      </c>
      <c r="AE266" s="19">
        <f>AN265</f>
        <v/>
      </c>
      <c r="AF266" s="19">
        <f>AO265</f>
        <v/>
      </c>
      <c r="AG266" s="19">
        <f>AE266+AF266</f>
        <v/>
      </c>
      <c r="AH266" s="20">
        <f>DATA!E266</f>
        <v/>
      </c>
      <c r="AI266" s="20">
        <f>DATA!G266</f>
        <v/>
      </c>
      <c r="AJ266" s="19">
        <f>AE266*(1+AH266)</f>
        <v/>
      </c>
      <c r="AK266" s="19">
        <f>AF266*(1+AI266)</f>
        <v/>
      </c>
      <c r="AL266" s="19">
        <f>AJ266+AK266</f>
        <v/>
      </c>
      <c r="AM266" s="19">
        <f>IF(AND(CONFIG!$B$11="Annual",MONTH(AC266)=7),AL266*CONFIG!$B$6/12,AM265)</f>
        <v/>
      </c>
      <c r="AN266" s="19">
        <f>IF(AL266=0,0,AJ266-AM266*AJ266/AL266)</f>
        <v/>
      </c>
      <c r="AO266" s="19">
        <f>IF(AL266=0,0,AK266-AM266*AK266/AL266)</f>
        <v/>
      </c>
    </row>
    <row r="267">
      <c r="A267" s="18">
        <f>DATA!A267</f>
        <v/>
      </c>
      <c r="B267">
        <f>DATA!B267</f>
        <v/>
      </c>
      <c r="C267" s="19">
        <f>L266</f>
        <v/>
      </c>
      <c r="D267" s="19">
        <f>M266</f>
        <v/>
      </c>
      <c r="E267" s="19">
        <f>C267+D267</f>
        <v/>
      </c>
      <c r="F267" s="20">
        <f>DATA!C267</f>
        <v/>
      </c>
      <c r="G267" s="20">
        <f>DATA!G267</f>
        <v/>
      </c>
      <c r="H267" s="19">
        <f>C267*(1+F267)</f>
        <v/>
      </c>
      <c r="I267" s="19">
        <f>D267*(1+G267)</f>
        <v/>
      </c>
      <c r="J267" s="19">
        <f>H267+I267</f>
        <v/>
      </c>
      <c r="K267" s="19">
        <f>IF(AND(CONFIG!$B$11="Annual",MONTH(A267)=7),J267*CONFIG!$B$6/12,K266)</f>
        <v/>
      </c>
      <c r="L267" s="19">
        <f>IF(J267=0,0,H267-K267*H267/J267)</f>
        <v/>
      </c>
      <c r="M267" s="19">
        <f>IF(J267=0,0,I267-K267*I267/J267)</f>
        <v/>
      </c>
      <c r="O267" s="18">
        <f>DATA!A267</f>
        <v/>
      </c>
      <c r="P267">
        <f>DATA!B267</f>
        <v/>
      </c>
      <c r="Q267" s="19">
        <f>Z266</f>
        <v/>
      </c>
      <c r="R267" s="19">
        <f>AA266</f>
        <v/>
      </c>
      <c r="S267" s="19">
        <f>Q267+R267</f>
        <v/>
      </c>
      <c r="T267" s="20">
        <f>DATA!D267</f>
        <v/>
      </c>
      <c r="U267" s="20">
        <f>DATA!G267</f>
        <v/>
      </c>
      <c r="V267" s="19">
        <f>Q267*(1+T267)</f>
        <v/>
      </c>
      <c r="W267" s="19">
        <f>R267*(1+U267)</f>
        <v/>
      </c>
      <c r="X267" s="19">
        <f>V267+W267</f>
        <v/>
      </c>
      <c r="Y267" s="19">
        <f>IF(AND(CONFIG!$B$11="Annual",MONTH(O267)=7),X267*CONFIG!$B$6/12,Y266)</f>
        <v/>
      </c>
      <c r="Z267" s="19">
        <f>IF(X267=0,0,V267-Y267*V267/X267)</f>
        <v/>
      </c>
      <c r="AA267" s="19">
        <f>IF(X267=0,0,W267-Y267*W267/X267)</f>
        <v/>
      </c>
      <c r="AC267" s="18">
        <f>DATA!A267</f>
        <v/>
      </c>
      <c r="AD267">
        <f>DATA!B267</f>
        <v/>
      </c>
      <c r="AE267" s="19">
        <f>AN266</f>
        <v/>
      </c>
      <c r="AF267" s="19">
        <f>AO266</f>
        <v/>
      </c>
      <c r="AG267" s="19">
        <f>AE267+AF267</f>
        <v/>
      </c>
      <c r="AH267" s="20">
        <f>DATA!E267</f>
        <v/>
      </c>
      <c r="AI267" s="20">
        <f>DATA!G267</f>
        <v/>
      </c>
      <c r="AJ267" s="19">
        <f>AE267*(1+AH267)</f>
        <v/>
      </c>
      <c r="AK267" s="19">
        <f>AF267*(1+AI267)</f>
        <v/>
      </c>
      <c r="AL267" s="19">
        <f>AJ267+AK267</f>
        <v/>
      </c>
      <c r="AM267" s="19">
        <f>IF(AND(CONFIG!$B$11="Annual",MONTH(AC267)=7),AL267*CONFIG!$B$6/12,AM266)</f>
        <v/>
      </c>
      <c r="AN267" s="19">
        <f>IF(AL267=0,0,AJ267-AM267*AJ267/AL267)</f>
        <v/>
      </c>
      <c r="AO267" s="19">
        <f>IF(AL267=0,0,AK267-AM267*AK267/AL267)</f>
        <v/>
      </c>
    </row>
    <row r="268">
      <c r="A268" s="18">
        <f>DATA!A268</f>
        <v/>
      </c>
      <c r="B268">
        <f>DATA!B268</f>
        <v/>
      </c>
      <c r="C268" s="19">
        <f>L267</f>
        <v/>
      </c>
      <c r="D268" s="19">
        <f>M267</f>
        <v/>
      </c>
      <c r="E268" s="19">
        <f>C268+D268</f>
        <v/>
      </c>
      <c r="F268" s="20">
        <f>DATA!C268</f>
        <v/>
      </c>
      <c r="G268" s="20">
        <f>DATA!G268</f>
        <v/>
      </c>
      <c r="H268" s="19">
        <f>C268*(1+F268)</f>
        <v/>
      </c>
      <c r="I268" s="19">
        <f>D268*(1+G268)</f>
        <v/>
      </c>
      <c r="J268" s="19">
        <f>H268+I268</f>
        <v/>
      </c>
      <c r="K268" s="19">
        <f>IF(AND(CONFIG!$B$11="Annual",MONTH(A268)=7),J268*CONFIG!$B$6/12,K267)</f>
        <v/>
      </c>
      <c r="L268" s="19">
        <f>IF(J268=0,0,H268-K268*H268/J268)</f>
        <v/>
      </c>
      <c r="M268" s="19">
        <f>IF(J268=0,0,I268-K268*I268/J268)</f>
        <v/>
      </c>
      <c r="O268" s="18">
        <f>DATA!A268</f>
        <v/>
      </c>
      <c r="P268">
        <f>DATA!B268</f>
        <v/>
      </c>
      <c r="Q268" s="19">
        <f>Z267</f>
        <v/>
      </c>
      <c r="R268" s="19">
        <f>AA267</f>
        <v/>
      </c>
      <c r="S268" s="19">
        <f>Q268+R268</f>
        <v/>
      </c>
      <c r="T268" s="20">
        <f>DATA!D268</f>
        <v/>
      </c>
      <c r="U268" s="20">
        <f>DATA!G268</f>
        <v/>
      </c>
      <c r="V268" s="19">
        <f>Q268*(1+T268)</f>
        <v/>
      </c>
      <c r="W268" s="19">
        <f>R268*(1+U268)</f>
        <v/>
      </c>
      <c r="X268" s="19">
        <f>V268+W268</f>
        <v/>
      </c>
      <c r="Y268" s="19">
        <f>IF(AND(CONFIG!$B$11="Annual",MONTH(O268)=7),X268*CONFIG!$B$6/12,Y267)</f>
        <v/>
      </c>
      <c r="Z268" s="19">
        <f>IF(X268=0,0,V268-Y268*V268/X268)</f>
        <v/>
      </c>
      <c r="AA268" s="19">
        <f>IF(X268=0,0,W268-Y268*W268/X268)</f>
        <v/>
      </c>
      <c r="AC268" s="18">
        <f>DATA!A268</f>
        <v/>
      </c>
      <c r="AD268">
        <f>DATA!B268</f>
        <v/>
      </c>
      <c r="AE268" s="19">
        <f>AN267</f>
        <v/>
      </c>
      <c r="AF268" s="19">
        <f>AO267</f>
        <v/>
      </c>
      <c r="AG268" s="19">
        <f>AE268+AF268</f>
        <v/>
      </c>
      <c r="AH268" s="20">
        <f>DATA!E268</f>
        <v/>
      </c>
      <c r="AI268" s="20">
        <f>DATA!G268</f>
        <v/>
      </c>
      <c r="AJ268" s="19">
        <f>AE268*(1+AH268)</f>
        <v/>
      </c>
      <c r="AK268" s="19">
        <f>AF268*(1+AI268)</f>
        <v/>
      </c>
      <c r="AL268" s="19">
        <f>AJ268+AK268</f>
        <v/>
      </c>
      <c r="AM268" s="19">
        <f>IF(AND(CONFIG!$B$11="Annual",MONTH(AC268)=7),AL268*CONFIG!$B$6/12,AM267)</f>
        <v/>
      </c>
      <c r="AN268" s="19">
        <f>IF(AL268=0,0,AJ268-AM268*AJ268/AL268)</f>
        <v/>
      </c>
      <c r="AO268" s="19">
        <f>IF(AL268=0,0,AK268-AM268*AK268/AL268)</f>
        <v/>
      </c>
    </row>
    <row r="269">
      <c r="A269" s="18">
        <f>DATA!A269</f>
        <v/>
      </c>
      <c r="B269">
        <f>DATA!B269</f>
        <v/>
      </c>
      <c r="C269" s="19">
        <f>L268</f>
        <v/>
      </c>
      <c r="D269" s="19">
        <f>M268</f>
        <v/>
      </c>
      <c r="E269" s="19">
        <f>C269+D269</f>
        <v/>
      </c>
      <c r="F269" s="20">
        <f>DATA!C269</f>
        <v/>
      </c>
      <c r="G269" s="20">
        <f>DATA!G269</f>
        <v/>
      </c>
      <c r="H269" s="19">
        <f>C269*(1+F269)</f>
        <v/>
      </c>
      <c r="I269" s="19">
        <f>D269*(1+G269)</f>
        <v/>
      </c>
      <c r="J269" s="19">
        <f>H269+I269</f>
        <v/>
      </c>
      <c r="K269" s="19">
        <f>IF(AND(CONFIG!$B$11="Annual",MONTH(A269)=7),J269*CONFIG!$B$6/12,K268)</f>
        <v/>
      </c>
      <c r="L269" s="19">
        <f>IF(J269=0,0,H269-K269*H269/J269)</f>
        <v/>
      </c>
      <c r="M269" s="19">
        <f>IF(J269=0,0,I269-K269*I269/J269)</f>
        <v/>
      </c>
      <c r="O269" s="18">
        <f>DATA!A269</f>
        <v/>
      </c>
      <c r="P269">
        <f>DATA!B269</f>
        <v/>
      </c>
      <c r="Q269" s="19">
        <f>Z268</f>
        <v/>
      </c>
      <c r="R269" s="19">
        <f>AA268</f>
        <v/>
      </c>
      <c r="S269" s="19">
        <f>Q269+R269</f>
        <v/>
      </c>
      <c r="T269" s="20">
        <f>DATA!D269</f>
        <v/>
      </c>
      <c r="U269" s="20">
        <f>DATA!G269</f>
        <v/>
      </c>
      <c r="V269" s="19">
        <f>Q269*(1+T269)</f>
        <v/>
      </c>
      <c r="W269" s="19">
        <f>R269*(1+U269)</f>
        <v/>
      </c>
      <c r="X269" s="19">
        <f>V269+W269</f>
        <v/>
      </c>
      <c r="Y269" s="19">
        <f>IF(AND(CONFIG!$B$11="Annual",MONTH(O269)=7),X269*CONFIG!$B$6/12,Y268)</f>
        <v/>
      </c>
      <c r="Z269" s="19">
        <f>IF(X269=0,0,V269-Y269*V269/X269)</f>
        <v/>
      </c>
      <c r="AA269" s="19">
        <f>IF(X269=0,0,W269-Y269*W269/X269)</f>
        <v/>
      </c>
      <c r="AC269" s="18">
        <f>DATA!A269</f>
        <v/>
      </c>
      <c r="AD269">
        <f>DATA!B269</f>
        <v/>
      </c>
      <c r="AE269" s="19">
        <f>AN268</f>
        <v/>
      </c>
      <c r="AF269" s="19">
        <f>AO268</f>
        <v/>
      </c>
      <c r="AG269" s="19">
        <f>AE269+AF269</f>
        <v/>
      </c>
      <c r="AH269" s="20">
        <f>DATA!E269</f>
        <v/>
      </c>
      <c r="AI269" s="20">
        <f>DATA!G269</f>
        <v/>
      </c>
      <c r="AJ269" s="19">
        <f>AE269*(1+AH269)</f>
        <v/>
      </c>
      <c r="AK269" s="19">
        <f>AF269*(1+AI269)</f>
        <v/>
      </c>
      <c r="AL269" s="19">
        <f>AJ269+AK269</f>
        <v/>
      </c>
      <c r="AM269" s="19">
        <f>IF(AND(CONFIG!$B$11="Annual",MONTH(AC269)=7),AL269*CONFIG!$B$6/12,AM268)</f>
        <v/>
      </c>
      <c r="AN269" s="19">
        <f>IF(AL269=0,0,AJ269-AM269*AJ269/AL269)</f>
        <v/>
      </c>
      <c r="AO269" s="19">
        <f>IF(AL269=0,0,AK269-AM269*AK269/AL269)</f>
        <v/>
      </c>
    </row>
    <row r="270">
      <c r="A270" s="18">
        <f>DATA!A270</f>
        <v/>
      </c>
      <c r="B270">
        <f>DATA!B270</f>
        <v/>
      </c>
      <c r="C270" s="19">
        <f>L269</f>
        <v/>
      </c>
      <c r="D270" s="19">
        <f>M269</f>
        <v/>
      </c>
      <c r="E270" s="19">
        <f>C270+D270</f>
        <v/>
      </c>
      <c r="F270" s="20">
        <f>DATA!C270</f>
        <v/>
      </c>
      <c r="G270" s="20">
        <f>DATA!G270</f>
        <v/>
      </c>
      <c r="H270" s="19">
        <f>C270*(1+F270)</f>
        <v/>
      </c>
      <c r="I270" s="19">
        <f>D270*(1+G270)</f>
        <v/>
      </c>
      <c r="J270" s="19">
        <f>H270+I270</f>
        <v/>
      </c>
      <c r="K270" s="19">
        <f>IF(AND(CONFIG!$B$11="Annual",MONTH(A270)=7),J270*CONFIG!$B$6/12,K269)</f>
        <v/>
      </c>
      <c r="L270" s="19">
        <f>IF(J270=0,0,H270-K270*H270/J270)</f>
        <v/>
      </c>
      <c r="M270" s="19">
        <f>IF(J270=0,0,I270-K270*I270/J270)</f>
        <v/>
      </c>
      <c r="O270" s="18">
        <f>DATA!A270</f>
        <v/>
      </c>
      <c r="P270">
        <f>DATA!B270</f>
        <v/>
      </c>
      <c r="Q270" s="19">
        <f>Z269</f>
        <v/>
      </c>
      <c r="R270" s="19">
        <f>AA269</f>
        <v/>
      </c>
      <c r="S270" s="19">
        <f>Q270+R270</f>
        <v/>
      </c>
      <c r="T270" s="20">
        <f>DATA!D270</f>
        <v/>
      </c>
      <c r="U270" s="20">
        <f>DATA!G270</f>
        <v/>
      </c>
      <c r="V270" s="19">
        <f>Q270*(1+T270)</f>
        <v/>
      </c>
      <c r="W270" s="19">
        <f>R270*(1+U270)</f>
        <v/>
      </c>
      <c r="X270" s="19">
        <f>V270+W270</f>
        <v/>
      </c>
      <c r="Y270" s="19">
        <f>IF(AND(CONFIG!$B$11="Annual",MONTH(O270)=7),X270*CONFIG!$B$6/12,Y269)</f>
        <v/>
      </c>
      <c r="Z270" s="19">
        <f>IF(X270=0,0,V270-Y270*V270/X270)</f>
        <v/>
      </c>
      <c r="AA270" s="19">
        <f>IF(X270=0,0,W270-Y270*W270/X270)</f>
        <v/>
      </c>
      <c r="AC270" s="18">
        <f>DATA!A270</f>
        <v/>
      </c>
      <c r="AD270">
        <f>DATA!B270</f>
        <v/>
      </c>
      <c r="AE270" s="19">
        <f>AN269</f>
        <v/>
      </c>
      <c r="AF270" s="19">
        <f>AO269</f>
        <v/>
      </c>
      <c r="AG270" s="19">
        <f>AE270+AF270</f>
        <v/>
      </c>
      <c r="AH270" s="20">
        <f>DATA!E270</f>
        <v/>
      </c>
      <c r="AI270" s="20">
        <f>DATA!G270</f>
        <v/>
      </c>
      <c r="AJ270" s="19">
        <f>AE270*(1+AH270)</f>
        <v/>
      </c>
      <c r="AK270" s="19">
        <f>AF270*(1+AI270)</f>
        <v/>
      </c>
      <c r="AL270" s="19">
        <f>AJ270+AK270</f>
        <v/>
      </c>
      <c r="AM270" s="19">
        <f>IF(AND(CONFIG!$B$11="Annual",MONTH(AC270)=7),AL270*CONFIG!$B$6/12,AM269)</f>
        <v/>
      </c>
      <c r="AN270" s="19">
        <f>IF(AL270=0,0,AJ270-AM270*AJ270/AL270)</f>
        <v/>
      </c>
      <c r="AO270" s="19">
        <f>IF(AL270=0,0,AK270-AM270*AK270/AL270)</f>
        <v/>
      </c>
    </row>
    <row r="271">
      <c r="A271" s="18">
        <f>DATA!A271</f>
        <v/>
      </c>
      <c r="B271">
        <f>DATA!B271</f>
        <v/>
      </c>
      <c r="C271" s="19">
        <f>L270</f>
        <v/>
      </c>
      <c r="D271" s="19">
        <f>M270</f>
        <v/>
      </c>
      <c r="E271" s="19">
        <f>C271+D271</f>
        <v/>
      </c>
      <c r="F271" s="20">
        <f>DATA!C271</f>
        <v/>
      </c>
      <c r="G271" s="20">
        <f>DATA!G271</f>
        <v/>
      </c>
      <c r="H271" s="19">
        <f>C271*(1+F271)</f>
        <v/>
      </c>
      <c r="I271" s="19">
        <f>D271*(1+G271)</f>
        <v/>
      </c>
      <c r="J271" s="19">
        <f>H271+I271</f>
        <v/>
      </c>
      <c r="K271" s="19">
        <f>IF(AND(CONFIG!$B$11="Annual",MONTH(A271)=7),J271*CONFIG!$B$6/12,K270)</f>
        <v/>
      </c>
      <c r="L271" s="19">
        <f>IF(J271=0,0,H271-K271*H271/J271)</f>
        <v/>
      </c>
      <c r="M271" s="19">
        <f>IF(J271=0,0,I271-K271*I271/J271)</f>
        <v/>
      </c>
      <c r="O271" s="18">
        <f>DATA!A271</f>
        <v/>
      </c>
      <c r="P271">
        <f>DATA!B271</f>
        <v/>
      </c>
      <c r="Q271" s="19">
        <f>Z270</f>
        <v/>
      </c>
      <c r="R271" s="19">
        <f>AA270</f>
        <v/>
      </c>
      <c r="S271" s="19">
        <f>Q271+R271</f>
        <v/>
      </c>
      <c r="T271" s="20">
        <f>DATA!D271</f>
        <v/>
      </c>
      <c r="U271" s="20">
        <f>DATA!G271</f>
        <v/>
      </c>
      <c r="V271" s="19">
        <f>Q271*(1+T271)</f>
        <v/>
      </c>
      <c r="W271" s="19">
        <f>R271*(1+U271)</f>
        <v/>
      </c>
      <c r="X271" s="19">
        <f>V271+W271</f>
        <v/>
      </c>
      <c r="Y271" s="19">
        <f>IF(AND(CONFIG!$B$11="Annual",MONTH(O271)=7),X271*CONFIG!$B$6/12,Y270)</f>
        <v/>
      </c>
      <c r="Z271" s="19">
        <f>IF(X271=0,0,V271-Y271*V271/X271)</f>
        <v/>
      </c>
      <c r="AA271" s="19">
        <f>IF(X271=0,0,W271-Y271*W271/X271)</f>
        <v/>
      </c>
      <c r="AC271" s="18">
        <f>DATA!A271</f>
        <v/>
      </c>
      <c r="AD271">
        <f>DATA!B271</f>
        <v/>
      </c>
      <c r="AE271" s="19">
        <f>AN270</f>
        <v/>
      </c>
      <c r="AF271" s="19">
        <f>AO270</f>
        <v/>
      </c>
      <c r="AG271" s="19">
        <f>AE271+AF271</f>
        <v/>
      </c>
      <c r="AH271" s="20">
        <f>DATA!E271</f>
        <v/>
      </c>
      <c r="AI271" s="20">
        <f>DATA!G271</f>
        <v/>
      </c>
      <c r="AJ271" s="19">
        <f>AE271*(1+AH271)</f>
        <v/>
      </c>
      <c r="AK271" s="19">
        <f>AF271*(1+AI271)</f>
        <v/>
      </c>
      <c r="AL271" s="19">
        <f>AJ271+AK271</f>
        <v/>
      </c>
      <c r="AM271" s="19">
        <f>IF(AND(CONFIG!$B$11="Annual",MONTH(AC271)=7),AL271*CONFIG!$B$6/12,AM270)</f>
        <v/>
      </c>
      <c r="AN271" s="19">
        <f>IF(AL271=0,0,AJ271-AM271*AJ271/AL271)</f>
        <v/>
      </c>
      <c r="AO271" s="19">
        <f>IF(AL271=0,0,AK271-AM271*AK271/AL271)</f>
        <v/>
      </c>
    </row>
    <row r="272">
      <c r="A272" s="18">
        <f>DATA!A272</f>
        <v/>
      </c>
      <c r="B272">
        <f>DATA!B272</f>
        <v/>
      </c>
      <c r="C272" s="19">
        <f>L271</f>
        <v/>
      </c>
      <c r="D272" s="19">
        <f>M271</f>
        <v/>
      </c>
      <c r="E272" s="19">
        <f>C272+D272</f>
        <v/>
      </c>
      <c r="F272" s="20">
        <f>DATA!C272</f>
        <v/>
      </c>
      <c r="G272" s="20">
        <f>DATA!G272</f>
        <v/>
      </c>
      <c r="H272" s="19">
        <f>C272*(1+F272)</f>
        <v/>
      </c>
      <c r="I272" s="19">
        <f>D272*(1+G272)</f>
        <v/>
      </c>
      <c r="J272" s="19">
        <f>H272+I272</f>
        <v/>
      </c>
      <c r="K272" s="19">
        <f>IF(AND(CONFIG!$B$11="Annual",MONTH(A272)=7),J272*CONFIG!$B$6/12,K271)</f>
        <v/>
      </c>
      <c r="L272" s="19">
        <f>IF(J272=0,0,H272-K272*H272/J272)</f>
        <v/>
      </c>
      <c r="M272" s="19">
        <f>IF(J272=0,0,I272-K272*I272/J272)</f>
        <v/>
      </c>
      <c r="O272" s="18">
        <f>DATA!A272</f>
        <v/>
      </c>
      <c r="P272">
        <f>DATA!B272</f>
        <v/>
      </c>
      <c r="Q272" s="19">
        <f>Z271</f>
        <v/>
      </c>
      <c r="R272" s="19">
        <f>AA271</f>
        <v/>
      </c>
      <c r="S272" s="19">
        <f>Q272+R272</f>
        <v/>
      </c>
      <c r="T272" s="20">
        <f>DATA!D272</f>
        <v/>
      </c>
      <c r="U272" s="20">
        <f>DATA!G272</f>
        <v/>
      </c>
      <c r="V272" s="19">
        <f>Q272*(1+T272)</f>
        <v/>
      </c>
      <c r="W272" s="19">
        <f>R272*(1+U272)</f>
        <v/>
      </c>
      <c r="X272" s="19">
        <f>V272+W272</f>
        <v/>
      </c>
      <c r="Y272" s="19">
        <f>IF(AND(CONFIG!$B$11="Annual",MONTH(O272)=7),X272*CONFIG!$B$6/12,Y271)</f>
        <v/>
      </c>
      <c r="Z272" s="19">
        <f>IF(X272=0,0,V272-Y272*V272/X272)</f>
        <v/>
      </c>
      <c r="AA272" s="19">
        <f>IF(X272=0,0,W272-Y272*W272/X272)</f>
        <v/>
      </c>
      <c r="AC272" s="18">
        <f>DATA!A272</f>
        <v/>
      </c>
      <c r="AD272">
        <f>DATA!B272</f>
        <v/>
      </c>
      <c r="AE272" s="19">
        <f>AN271</f>
        <v/>
      </c>
      <c r="AF272" s="19">
        <f>AO271</f>
        <v/>
      </c>
      <c r="AG272" s="19">
        <f>AE272+AF272</f>
        <v/>
      </c>
      <c r="AH272" s="20">
        <f>DATA!E272</f>
        <v/>
      </c>
      <c r="AI272" s="20">
        <f>DATA!G272</f>
        <v/>
      </c>
      <c r="AJ272" s="19">
        <f>AE272*(1+AH272)</f>
        <v/>
      </c>
      <c r="AK272" s="19">
        <f>AF272*(1+AI272)</f>
        <v/>
      </c>
      <c r="AL272" s="19">
        <f>AJ272+AK272</f>
        <v/>
      </c>
      <c r="AM272" s="19">
        <f>IF(AND(CONFIG!$B$11="Annual",MONTH(AC272)=7),AL272*CONFIG!$B$6/12,AM271)</f>
        <v/>
      </c>
      <c r="AN272" s="19">
        <f>IF(AL272=0,0,AJ272-AM272*AJ272/AL272)</f>
        <v/>
      </c>
      <c r="AO272" s="19">
        <f>IF(AL272=0,0,AK272-AM272*AK272/AL272)</f>
        <v/>
      </c>
    </row>
    <row r="273">
      <c r="A273" s="18">
        <f>DATA!A273</f>
        <v/>
      </c>
      <c r="B273">
        <f>DATA!B273</f>
        <v/>
      </c>
      <c r="C273" s="19">
        <f>L272</f>
        <v/>
      </c>
      <c r="D273" s="19">
        <f>M272</f>
        <v/>
      </c>
      <c r="E273" s="19">
        <f>C273+D273</f>
        <v/>
      </c>
      <c r="F273" s="20">
        <f>DATA!C273</f>
        <v/>
      </c>
      <c r="G273" s="20">
        <f>DATA!G273</f>
        <v/>
      </c>
      <c r="H273" s="19">
        <f>C273*(1+F273)</f>
        <v/>
      </c>
      <c r="I273" s="19">
        <f>D273*(1+G273)</f>
        <v/>
      </c>
      <c r="J273" s="19">
        <f>H273+I273</f>
        <v/>
      </c>
      <c r="K273" s="19">
        <f>IF(AND(CONFIG!$B$11="Annual",MONTH(A273)=7),J273*CONFIG!$B$6/12,K272)</f>
        <v/>
      </c>
      <c r="L273" s="19">
        <f>IF(J273=0,0,H273-K273*H273/J273)</f>
        <v/>
      </c>
      <c r="M273" s="19">
        <f>IF(J273=0,0,I273-K273*I273/J273)</f>
        <v/>
      </c>
      <c r="O273" s="18">
        <f>DATA!A273</f>
        <v/>
      </c>
      <c r="P273">
        <f>DATA!B273</f>
        <v/>
      </c>
      <c r="Q273" s="19">
        <f>Z272</f>
        <v/>
      </c>
      <c r="R273" s="19">
        <f>AA272</f>
        <v/>
      </c>
      <c r="S273" s="19">
        <f>Q273+R273</f>
        <v/>
      </c>
      <c r="T273" s="20">
        <f>DATA!D273</f>
        <v/>
      </c>
      <c r="U273" s="20">
        <f>DATA!G273</f>
        <v/>
      </c>
      <c r="V273" s="19">
        <f>Q273*(1+T273)</f>
        <v/>
      </c>
      <c r="W273" s="19">
        <f>R273*(1+U273)</f>
        <v/>
      </c>
      <c r="X273" s="19">
        <f>V273+W273</f>
        <v/>
      </c>
      <c r="Y273" s="19">
        <f>IF(AND(CONFIG!$B$11="Annual",MONTH(O273)=7),X273*CONFIG!$B$6/12,Y272)</f>
        <v/>
      </c>
      <c r="Z273" s="19">
        <f>IF(X273=0,0,V273-Y273*V273/X273)</f>
        <v/>
      </c>
      <c r="AA273" s="19">
        <f>IF(X273=0,0,W273-Y273*W273/X273)</f>
        <v/>
      </c>
      <c r="AC273" s="18">
        <f>DATA!A273</f>
        <v/>
      </c>
      <c r="AD273">
        <f>DATA!B273</f>
        <v/>
      </c>
      <c r="AE273" s="19">
        <f>AN272</f>
        <v/>
      </c>
      <c r="AF273" s="19">
        <f>AO272</f>
        <v/>
      </c>
      <c r="AG273" s="19">
        <f>AE273+AF273</f>
        <v/>
      </c>
      <c r="AH273" s="20">
        <f>DATA!E273</f>
        <v/>
      </c>
      <c r="AI273" s="20">
        <f>DATA!G273</f>
        <v/>
      </c>
      <c r="AJ273" s="19">
        <f>AE273*(1+AH273)</f>
        <v/>
      </c>
      <c r="AK273" s="19">
        <f>AF273*(1+AI273)</f>
        <v/>
      </c>
      <c r="AL273" s="19">
        <f>AJ273+AK273</f>
        <v/>
      </c>
      <c r="AM273" s="19">
        <f>IF(AND(CONFIG!$B$11="Annual",MONTH(AC273)=7),AL273*CONFIG!$B$6/12,AM272)</f>
        <v/>
      </c>
      <c r="AN273" s="19">
        <f>IF(AL273=0,0,AJ273-AM273*AJ273/AL273)</f>
        <v/>
      </c>
      <c r="AO273" s="19">
        <f>IF(AL273=0,0,AK273-AM273*AK273/AL273)</f>
        <v/>
      </c>
    </row>
    <row r="274">
      <c r="A274" s="18">
        <f>DATA!A274</f>
        <v/>
      </c>
      <c r="B274">
        <f>DATA!B274</f>
        <v/>
      </c>
      <c r="C274" s="19">
        <f>L273</f>
        <v/>
      </c>
      <c r="D274" s="19">
        <f>M273</f>
        <v/>
      </c>
      <c r="E274" s="19">
        <f>C274+D274</f>
        <v/>
      </c>
      <c r="F274" s="20">
        <f>DATA!C274</f>
        <v/>
      </c>
      <c r="G274" s="20">
        <f>DATA!G274</f>
        <v/>
      </c>
      <c r="H274" s="19">
        <f>C274*(1+F274)</f>
        <v/>
      </c>
      <c r="I274" s="19">
        <f>D274*(1+G274)</f>
        <v/>
      </c>
      <c r="J274" s="19">
        <f>H274+I274</f>
        <v/>
      </c>
      <c r="K274" s="19">
        <f>IF(AND(CONFIG!$B$11="Annual",MONTH(A274)=7),J274*CONFIG!$B$6/12,K273)</f>
        <v/>
      </c>
      <c r="L274" s="19">
        <f>IF(J274=0,0,H274-K274*H274/J274)</f>
        <v/>
      </c>
      <c r="M274" s="19">
        <f>IF(J274=0,0,I274-K274*I274/J274)</f>
        <v/>
      </c>
      <c r="O274" s="18">
        <f>DATA!A274</f>
        <v/>
      </c>
      <c r="P274">
        <f>DATA!B274</f>
        <v/>
      </c>
      <c r="Q274" s="19">
        <f>Z273</f>
        <v/>
      </c>
      <c r="R274" s="19">
        <f>AA273</f>
        <v/>
      </c>
      <c r="S274" s="19">
        <f>Q274+R274</f>
        <v/>
      </c>
      <c r="T274" s="20">
        <f>DATA!D274</f>
        <v/>
      </c>
      <c r="U274" s="20">
        <f>DATA!G274</f>
        <v/>
      </c>
      <c r="V274" s="19">
        <f>Q274*(1+T274)</f>
        <v/>
      </c>
      <c r="W274" s="19">
        <f>R274*(1+U274)</f>
        <v/>
      </c>
      <c r="X274" s="19">
        <f>V274+W274</f>
        <v/>
      </c>
      <c r="Y274" s="19">
        <f>IF(AND(CONFIG!$B$11="Annual",MONTH(O274)=7),X274*CONFIG!$B$6/12,Y273)</f>
        <v/>
      </c>
      <c r="Z274" s="19">
        <f>IF(X274=0,0,V274-Y274*V274/X274)</f>
        <v/>
      </c>
      <c r="AA274" s="19">
        <f>IF(X274=0,0,W274-Y274*W274/X274)</f>
        <v/>
      </c>
      <c r="AC274" s="18">
        <f>DATA!A274</f>
        <v/>
      </c>
      <c r="AD274">
        <f>DATA!B274</f>
        <v/>
      </c>
      <c r="AE274" s="19">
        <f>AN273</f>
        <v/>
      </c>
      <c r="AF274" s="19">
        <f>AO273</f>
        <v/>
      </c>
      <c r="AG274" s="19">
        <f>AE274+AF274</f>
        <v/>
      </c>
      <c r="AH274" s="20">
        <f>DATA!E274</f>
        <v/>
      </c>
      <c r="AI274" s="20">
        <f>DATA!G274</f>
        <v/>
      </c>
      <c r="AJ274" s="19">
        <f>AE274*(1+AH274)</f>
        <v/>
      </c>
      <c r="AK274" s="19">
        <f>AF274*(1+AI274)</f>
        <v/>
      </c>
      <c r="AL274" s="19">
        <f>AJ274+AK274</f>
        <v/>
      </c>
      <c r="AM274" s="19">
        <f>IF(AND(CONFIG!$B$11="Annual",MONTH(AC274)=7),AL274*CONFIG!$B$6/12,AM273)</f>
        <v/>
      </c>
      <c r="AN274" s="19">
        <f>IF(AL274=0,0,AJ274-AM274*AJ274/AL274)</f>
        <v/>
      </c>
      <c r="AO274" s="19">
        <f>IF(AL274=0,0,AK274-AM274*AK274/AL274)</f>
        <v/>
      </c>
    </row>
    <row r="275">
      <c r="A275" s="18">
        <f>DATA!A275</f>
        <v/>
      </c>
      <c r="B275">
        <f>DATA!B275</f>
        <v/>
      </c>
      <c r="C275" s="19">
        <f>L274</f>
        <v/>
      </c>
      <c r="D275" s="19">
        <f>M274</f>
        <v/>
      </c>
      <c r="E275" s="19">
        <f>C275+D275</f>
        <v/>
      </c>
      <c r="F275" s="20">
        <f>DATA!C275</f>
        <v/>
      </c>
      <c r="G275" s="20">
        <f>DATA!G275</f>
        <v/>
      </c>
      <c r="H275" s="19">
        <f>C275*(1+F275)</f>
        <v/>
      </c>
      <c r="I275" s="19">
        <f>D275*(1+G275)</f>
        <v/>
      </c>
      <c r="J275" s="19">
        <f>H275+I275</f>
        <v/>
      </c>
      <c r="K275" s="19">
        <f>IF(AND(CONFIG!$B$11="Annual",MONTH(A275)=7),J275*CONFIG!$B$6/12,K274)</f>
        <v/>
      </c>
      <c r="L275" s="19">
        <f>IF(J275=0,0,H275-K275*H275/J275)</f>
        <v/>
      </c>
      <c r="M275" s="19">
        <f>IF(J275=0,0,I275-K275*I275/J275)</f>
        <v/>
      </c>
      <c r="O275" s="18">
        <f>DATA!A275</f>
        <v/>
      </c>
      <c r="P275">
        <f>DATA!B275</f>
        <v/>
      </c>
      <c r="Q275" s="19">
        <f>Z274</f>
        <v/>
      </c>
      <c r="R275" s="19">
        <f>AA274</f>
        <v/>
      </c>
      <c r="S275" s="19">
        <f>Q275+R275</f>
        <v/>
      </c>
      <c r="T275" s="20">
        <f>DATA!D275</f>
        <v/>
      </c>
      <c r="U275" s="20">
        <f>DATA!G275</f>
        <v/>
      </c>
      <c r="V275" s="19">
        <f>Q275*(1+T275)</f>
        <v/>
      </c>
      <c r="W275" s="19">
        <f>R275*(1+U275)</f>
        <v/>
      </c>
      <c r="X275" s="19">
        <f>V275+W275</f>
        <v/>
      </c>
      <c r="Y275" s="19">
        <f>IF(AND(CONFIG!$B$11="Annual",MONTH(O275)=7),X275*CONFIG!$B$6/12,Y274)</f>
        <v/>
      </c>
      <c r="Z275" s="19">
        <f>IF(X275=0,0,V275-Y275*V275/X275)</f>
        <v/>
      </c>
      <c r="AA275" s="19">
        <f>IF(X275=0,0,W275-Y275*W275/X275)</f>
        <v/>
      </c>
      <c r="AC275" s="18">
        <f>DATA!A275</f>
        <v/>
      </c>
      <c r="AD275">
        <f>DATA!B275</f>
        <v/>
      </c>
      <c r="AE275" s="19">
        <f>AN274</f>
        <v/>
      </c>
      <c r="AF275" s="19">
        <f>AO274</f>
        <v/>
      </c>
      <c r="AG275" s="19">
        <f>AE275+AF275</f>
        <v/>
      </c>
      <c r="AH275" s="20">
        <f>DATA!E275</f>
        <v/>
      </c>
      <c r="AI275" s="20">
        <f>DATA!G275</f>
        <v/>
      </c>
      <c r="AJ275" s="19">
        <f>AE275*(1+AH275)</f>
        <v/>
      </c>
      <c r="AK275" s="19">
        <f>AF275*(1+AI275)</f>
        <v/>
      </c>
      <c r="AL275" s="19">
        <f>AJ275+AK275</f>
        <v/>
      </c>
      <c r="AM275" s="19">
        <f>IF(AND(CONFIG!$B$11="Annual",MONTH(AC275)=7),AL275*CONFIG!$B$6/12,AM274)</f>
        <v/>
      </c>
      <c r="AN275" s="19">
        <f>IF(AL275=0,0,AJ275-AM275*AJ275/AL275)</f>
        <v/>
      </c>
      <c r="AO275" s="19">
        <f>IF(AL275=0,0,AK275-AM275*AK275/AL275)</f>
        <v/>
      </c>
    </row>
    <row r="276">
      <c r="A276" s="18">
        <f>DATA!A276</f>
        <v/>
      </c>
      <c r="B276">
        <f>DATA!B276</f>
        <v/>
      </c>
      <c r="C276" s="19">
        <f>L275</f>
        <v/>
      </c>
      <c r="D276" s="19">
        <f>M275</f>
        <v/>
      </c>
      <c r="E276" s="19">
        <f>C276+D276</f>
        <v/>
      </c>
      <c r="F276" s="20">
        <f>DATA!C276</f>
        <v/>
      </c>
      <c r="G276" s="20">
        <f>DATA!G276</f>
        <v/>
      </c>
      <c r="H276" s="19">
        <f>C276*(1+F276)</f>
        <v/>
      </c>
      <c r="I276" s="19">
        <f>D276*(1+G276)</f>
        <v/>
      </c>
      <c r="J276" s="19">
        <f>H276+I276</f>
        <v/>
      </c>
      <c r="K276" s="19">
        <f>IF(AND(CONFIG!$B$11="Annual",MONTH(A276)=7),J276*CONFIG!$B$6/12,K275)</f>
        <v/>
      </c>
      <c r="L276" s="19">
        <f>IF(J276=0,0,H276-K276*H276/J276)</f>
        <v/>
      </c>
      <c r="M276" s="19">
        <f>IF(J276=0,0,I276-K276*I276/J276)</f>
        <v/>
      </c>
      <c r="O276" s="18">
        <f>DATA!A276</f>
        <v/>
      </c>
      <c r="P276">
        <f>DATA!B276</f>
        <v/>
      </c>
      <c r="Q276" s="19">
        <f>Z275</f>
        <v/>
      </c>
      <c r="R276" s="19">
        <f>AA275</f>
        <v/>
      </c>
      <c r="S276" s="19">
        <f>Q276+R276</f>
        <v/>
      </c>
      <c r="T276" s="20">
        <f>DATA!D276</f>
        <v/>
      </c>
      <c r="U276" s="20">
        <f>DATA!G276</f>
        <v/>
      </c>
      <c r="V276" s="19">
        <f>Q276*(1+T276)</f>
        <v/>
      </c>
      <c r="W276" s="19">
        <f>R276*(1+U276)</f>
        <v/>
      </c>
      <c r="X276" s="19">
        <f>V276+W276</f>
        <v/>
      </c>
      <c r="Y276" s="19">
        <f>IF(AND(CONFIG!$B$11="Annual",MONTH(O276)=7),X276*CONFIG!$B$6/12,Y275)</f>
        <v/>
      </c>
      <c r="Z276" s="19">
        <f>IF(X276=0,0,V276-Y276*V276/X276)</f>
        <v/>
      </c>
      <c r="AA276" s="19">
        <f>IF(X276=0,0,W276-Y276*W276/X276)</f>
        <v/>
      </c>
      <c r="AC276" s="18">
        <f>DATA!A276</f>
        <v/>
      </c>
      <c r="AD276">
        <f>DATA!B276</f>
        <v/>
      </c>
      <c r="AE276" s="19">
        <f>AN275</f>
        <v/>
      </c>
      <c r="AF276" s="19">
        <f>AO275</f>
        <v/>
      </c>
      <c r="AG276" s="19">
        <f>AE276+AF276</f>
        <v/>
      </c>
      <c r="AH276" s="20">
        <f>DATA!E276</f>
        <v/>
      </c>
      <c r="AI276" s="20">
        <f>DATA!G276</f>
        <v/>
      </c>
      <c r="AJ276" s="19">
        <f>AE276*(1+AH276)</f>
        <v/>
      </c>
      <c r="AK276" s="19">
        <f>AF276*(1+AI276)</f>
        <v/>
      </c>
      <c r="AL276" s="19">
        <f>AJ276+AK276</f>
        <v/>
      </c>
      <c r="AM276" s="19">
        <f>IF(AND(CONFIG!$B$11="Annual",MONTH(AC276)=7),AL276*CONFIG!$B$6/12,AM275)</f>
        <v/>
      </c>
      <c r="AN276" s="19">
        <f>IF(AL276=0,0,AJ276-AM276*AJ276/AL276)</f>
        <v/>
      </c>
      <c r="AO276" s="19">
        <f>IF(AL276=0,0,AK276-AM276*AK276/AL276)</f>
        <v/>
      </c>
    </row>
    <row r="277">
      <c r="A277" s="18">
        <f>DATA!A277</f>
        <v/>
      </c>
      <c r="B277">
        <f>DATA!B277</f>
        <v/>
      </c>
      <c r="C277" s="19">
        <f>L276</f>
        <v/>
      </c>
      <c r="D277" s="19">
        <f>M276</f>
        <v/>
      </c>
      <c r="E277" s="19">
        <f>C277+D277</f>
        <v/>
      </c>
      <c r="F277" s="20">
        <f>DATA!C277</f>
        <v/>
      </c>
      <c r="G277" s="20">
        <f>DATA!G277</f>
        <v/>
      </c>
      <c r="H277" s="19">
        <f>C277*(1+F277)</f>
        <v/>
      </c>
      <c r="I277" s="19">
        <f>D277*(1+G277)</f>
        <v/>
      </c>
      <c r="J277" s="19">
        <f>H277+I277</f>
        <v/>
      </c>
      <c r="K277" s="19">
        <f>IF(AND(CONFIG!$B$11="Annual",MONTH(A277)=7),J277*CONFIG!$B$6/12,K276)</f>
        <v/>
      </c>
      <c r="L277" s="19">
        <f>IF(J277=0,0,H277-K277*H277/J277)</f>
        <v/>
      </c>
      <c r="M277" s="19">
        <f>IF(J277=0,0,I277-K277*I277/J277)</f>
        <v/>
      </c>
      <c r="O277" s="18">
        <f>DATA!A277</f>
        <v/>
      </c>
      <c r="P277">
        <f>DATA!B277</f>
        <v/>
      </c>
      <c r="Q277" s="19">
        <f>Z276</f>
        <v/>
      </c>
      <c r="R277" s="19">
        <f>AA276</f>
        <v/>
      </c>
      <c r="S277" s="19">
        <f>Q277+R277</f>
        <v/>
      </c>
      <c r="T277" s="20">
        <f>DATA!D277</f>
        <v/>
      </c>
      <c r="U277" s="20">
        <f>DATA!G277</f>
        <v/>
      </c>
      <c r="V277" s="19">
        <f>Q277*(1+T277)</f>
        <v/>
      </c>
      <c r="W277" s="19">
        <f>R277*(1+U277)</f>
        <v/>
      </c>
      <c r="X277" s="19">
        <f>V277+W277</f>
        <v/>
      </c>
      <c r="Y277" s="19">
        <f>IF(AND(CONFIG!$B$11="Annual",MONTH(O277)=7),X277*CONFIG!$B$6/12,Y276)</f>
        <v/>
      </c>
      <c r="Z277" s="19">
        <f>IF(X277=0,0,V277-Y277*V277/X277)</f>
        <v/>
      </c>
      <c r="AA277" s="19">
        <f>IF(X277=0,0,W277-Y277*W277/X277)</f>
        <v/>
      </c>
      <c r="AC277" s="18">
        <f>DATA!A277</f>
        <v/>
      </c>
      <c r="AD277">
        <f>DATA!B277</f>
        <v/>
      </c>
      <c r="AE277" s="19">
        <f>AN276</f>
        <v/>
      </c>
      <c r="AF277" s="19">
        <f>AO276</f>
        <v/>
      </c>
      <c r="AG277" s="19">
        <f>AE277+AF277</f>
        <v/>
      </c>
      <c r="AH277" s="20">
        <f>DATA!E277</f>
        <v/>
      </c>
      <c r="AI277" s="20">
        <f>DATA!G277</f>
        <v/>
      </c>
      <c r="AJ277" s="19">
        <f>AE277*(1+AH277)</f>
        <v/>
      </c>
      <c r="AK277" s="19">
        <f>AF277*(1+AI277)</f>
        <v/>
      </c>
      <c r="AL277" s="19">
        <f>AJ277+AK277</f>
        <v/>
      </c>
      <c r="AM277" s="19">
        <f>IF(AND(CONFIG!$B$11="Annual",MONTH(AC277)=7),AL277*CONFIG!$B$6/12,AM276)</f>
        <v/>
      </c>
      <c r="AN277" s="19">
        <f>IF(AL277=0,0,AJ277-AM277*AJ277/AL277)</f>
        <v/>
      </c>
      <c r="AO277" s="19">
        <f>IF(AL277=0,0,AK277-AM277*AK277/AL277)</f>
        <v/>
      </c>
    </row>
    <row r="278">
      <c r="A278" s="18">
        <f>DATA!A278</f>
        <v/>
      </c>
      <c r="B278">
        <f>DATA!B278</f>
        <v/>
      </c>
      <c r="C278" s="19">
        <f>L277</f>
        <v/>
      </c>
      <c r="D278" s="19">
        <f>M277</f>
        <v/>
      </c>
      <c r="E278" s="19">
        <f>C278+D278</f>
        <v/>
      </c>
      <c r="F278" s="20">
        <f>DATA!C278</f>
        <v/>
      </c>
      <c r="G278" s="20">
        <f>DATA!G278</f>
        <v/>
      </c>
      <c r="H278" s="19">
        <f>C278*(1+F278)</f>
        <v/>
      </c>
      <c r="I278" s="19">
        <f>D278*(1+G278)</f>
        <v/>
      </c>
      <c r="J278" s="19">
        <f>H278+I278</f>
        <v/>
      </c>
      <c r="K278" s="19">
        <f>IF(AND(CONFIG!$B$11="Annual",MONTH(A278)=7),J278*CONFIG!$B$6/12,K277)</f>
        <v/>
      </c>
      <c r="L278" s="19">
        <f>IF(J278=0,0,H278-K278*H278/J278)</f>
        <v/>
      </c>
      <c r="M278" s="19">
        <f>IF(J278=0,0,I278-K278*I278/J278)</f>
        <v/>
      </c>
      <c r="O278" s="18">
        <f>DATA!A278</f>
        <v/>
      </c>
      <c r="P278">
        <f>DATA!B278</f>
        <v/>
      </c>
      <c r="Q278" s="19">
        <f>Z277</f>
        <v/>
      </c>
      <c r="R278" s="19">
        <f>AA277</f>
        <v/>
      </c>
      <c r="S278" s="19">
        <f>Q278+R278</f>
        <v/>
      </c>
      <c r="T278" s="20">
        <f>DATA!D278</f>
        <v/>
      </c>
      <c r="U278" s="20">
        <f>DATA!G278</f>
        <v/>
      </c>
      <c r="V278" s="19">
        <f>Q278*(1+T278)</f>
        <v/>
      </c>
      <c r="W278" s="19">
        <f>R278*(1+U278)</f>
        <v/>
      </c>
      <c r="X278" s="19">
        <f>V278+W278</f>
        <v/>
      </c>
      <c r="Y278" s="19">
        <f>IF(AND(CONFIG!$B$11="Annual",MONTH(O278)=7),X278*CONFIG!$B$6/12,Y277)</f>
        <v/>
      </c>
      <c r="Z278" s="19">
        <f>IF(X278=0,0,V278-Y278*V278/X278)</f>
        <v/>
      </c>
      <c r="AA278" s="19">
        <f>IF(X278=0,0,W278-Y278*W278/X278)</f>
        <v/>
      </c>
      <c r="AC278" s="18">
        <f>DATA!A278</f>
        <v/>
      </c>
      <c r="AD278">
        <f>DATA!B278</f>
        <v/>
      </c>
      <c r="AE278" s="19">
        <f>AN277</f>
        <v/>
      </c>
      <c r="AF278" s="19">
        <f>AO277</f>
        <v/>
      </c>
      <c r="AG278" s="19">
        <f>AE278+AF278</f>
        <v/>
      </c>
      <c r="AH278" s="20">
        <f>DATA!E278</f>
        <v/>
      </c>
      <c r="AI278" s="20">
        <f>DATA!G278</f>
        <v/>
      </c>
      <c r="AJ278" s="19">
        <f>AE278*(1+AH278)</f>
        <v/>
      </c>
      <c r="AK278" s="19">
        <f>AF278*(1+AI278)</f>
        <v/>
      </c>
      <c r="AL278" s="19">
        <f>AJ278+AK278</f>
        <v/>
      </c>
      <c r="AM278" s="19">
        <f>IF(AND(CONFIG!$B$11="Annual",MONTH(AC278)=7),AL278*CONFIG!$B$6/12,AM277)</f>
        <v/>
      </c>
      <c r="AN278" s="19">
        <f>IF(AL278=0,0,AJ278-AM278*AJ278/AL278)</f>
        <v/>
      </c>
      <c r="AO278" s="19">
        <f>IF(AL278=0,0,AK278-AM278*AK278/AL278)</f>
        <v/>
      </c>
    </row>
    <row r="279">
      <c r="A279" s="18">
        <f>DATA!A279</f>
        <v/>
      </c>
      <c r="B279">
        <f>DATA!B279</f>
        <v/>
      </c>
      <c r="C279" s="19">
        <f>L278</f>
        <v/>
      </c>
      <c r="D279" s="19">
        <f>M278</f>
        <v/>
      </c>
      <c r="E279" s="19">
        <f>C279+D279</f>
        <v/>
      </c>
      <c r="F279" s="20">
        <f>DATA!C279</f>
        <v/>
      </c>
      <c r="G279" s="20">
        <f>DATA!G279</f>
        <v/>
      </c>
      <c r="H279" s="19">
        <f>C279*(1+F279)</f>
        <v/>
      </c>
      <c r="I279" s="19">
        <f>D279*(1+G279)</f>
        <v/>
      </c>
      <c r="J279" s="19">
        <f>H279+I279</f>
        <v/>
      </c>
      <c r="K279" s="19">
        <f>IF(AND(CONFIG!$B$11="Annual",MONTH(A279)=7),J279*CONFIG!$B$6/12,K278)</f>
        <v/>
      </c>
      <c r="L279" s="19">
        <f>IF(J279=0,0,H279-K279*H279/J279)</f>
        <v/>
      </c>
      <c r="M279" s="19">
        <f>IF(J279=0,0,I279-K279*I279/J279)</f>
        <v/>
      </c>
      <c r="O279" s="18">
        <f>DATA!A279</f>
        <v/>
      </c>
      <c r="P279">
        <f>DATA!B279</f>
        <v/>
      </c>
      <c r="Q279" s="19">
        <f>Z278</f>
        <v/>
      </c>
      <c r="R279" s="19">
        <f>AA278</f>
        <v/>
      </c>
      <c r="S279" s="19">
        <f>Q279+R279</f>
        <v/>
      </c>
      <c r="T279" s="20">
        <f>DATA!D279</f>
        <v/>
      </c>
      <c r="U279" s="20">
        <f>DATA!G279</f>
        <v/>
      </c>
      <c r="V279" s="19">
        <f>Q279*(1+T279)</f>
        <v/>
      </c>
      <c r="W279" s="19">
        <f>R279*(1+U279)</f>
        <v/>
      </c>
      <c r="X279" s="19">
        <f>V279+W279</f>
        <v/>
      </c>
      <c r="Y279" s="19">
        <f>IF(AND(CONFIG!$B$11="Annual",MONTH(O279)=7),X279*CONFIG!$B$6/12,Y278)</f>
        <v/>
      </c>
      <c r="Z279" s="19">
        <f>IF(X279=0,0,V279-Y279*V279/X279)</f>
        <v/>
      </c>
      <c r="AA279" s="19">
        <f>IF(X279=0,0,W279-Y279*W279/X279)</f>
        <v/>
      </c>
      <c r="AC279" s="18">
        <f>DATA!A279</f>
        <v/>
      </c>
      <c r="AD279">
        <f>DATA!B279</f>
        <v/>
      </c>
      <c r="AE279" s="19">
        <f>AN278</f>
        <v/>
      </c>
      <c r="AF279" s="19">
        <f>AO278</f>
        <v/>
      </c>
      <c r="AG279" s="19">
        <f>AE279+AF279</f>
        <v/>
      </c>
      <c r="AH279" s="20">
        <f>DATA!E279</f>
        <v/>
      </c>
      <c r="AI279" s="20">
        <f>DATA!G279</f>
        <v/>
      </c>
      <c r="AJ279" s="19">
        <f>AE279*(1+AH279)</f>
        <v/>
      </c>
      <c r="AK279" s="19">
        <f>AF279*(1+AI279)</f>
        <v/>
      </c>
      <c r="AL279" s="19">
        <f>AJ279+AK279</f>
        <v/>
      </c>
      <c r="AM279" s="19">
        <f>IF(AND(CONFIG!$B$11="Annual",MONTH(AC279)=7),AL279*CONFIG!$B$6/12,AM278)</f>
        <v/>
      </c>
      <c r="AN279" s="19">
        <f>IF(AL279=0,0,AJ279-AM279*AJ279/AL279)</f>
        <v/>
      </c>
      <c r="AO279" s="19">
        <f>IF(AL279=0,0,AK279-AM279*AK279/AL279)</f>
        <v/>
      </c>
    </row>
    <row r="280">
      <c r="A280" s="18">
        <f>DATA!A280</f>
        <v/>
      </c>
      <c r="B280">
        <f>DATA!B280</f>
        <v/>
      </c>
      <c r="C280" s="19">
        <f>L279</f>
        <v/>
      </c>
      <c r="D280" s="19">
        <f>M279</f>
        <v/>
      </c>
      <c r="E280" s="19">
        <f>C280+D280</f>
        <v/>
      </c>
      <c r="F280" s="20">
        <f>DATA!C280</f>
        <v/>
      </c>
      <c r="G280" s="20">
        <f>DATA!G280</f>
        <v/>
      </c>
      <c r="H280" s="19">
        <f>C280*(1+F280)</f>
        <v/>
      </c>
      <c r="I280" s="19">
        <f>D280*(1+G280)</f>
        <v/>
      </c>
      <c r="J280" s="19">
        <f>H280+I280</f>
        <v/>
      </c>
      <c r="K280" s="19">
        <f>IF(AND(CONFIG!$B$11="Annual",MONTH(A280)=7),J280*CONFIG!$B$6/12,K279)</f>
        <v/>
      </c>
      <c r="L280" s="19">
        <f>IF(J280=0,0,H280-K280*H280/J280)</f>
        <v/>
      </c>
      <c r="M280" s="19">
        <f>IF(J280=0,0,I280-K280*I280/J280)</f>
        <v/>
      </c>
      <c r="O280" s="18">
        <f>DATA!A280</f>
        <v/>
      </c>
      <c r="P280">
        <f>DATA!B280</f>
        <v/>
      </c>
      <c r="Q280" s="19">
        <f>Z279</f>
        <v/>
      </c>
      <c r="R280" s="19">
        <f>AA279</f>
        <v/>
      </c>
      <c r="S280" s="19">
        <f>Q280+R280</f>
        <v/>
      </c>
      <c r="T280" s="20">
        <f>DATA!D280</f>
        <v/>
      </c>
      <c r="U280" s="20">
        <f>DATA!G280</f>
        <v/>
      </c>
      <c r="V280" s="19">
        <f>Q280*(1+T280)</f>
        <v/>
      </c>
      <c r="W280" s="19">
        <f>R280*(1+U280)</f>
        <v/>
      </c>
      <c r="X280" s="19">
        <f>V280+W280</f>
        <v/>
      </c>
      <c r="Y280" s="19">
        <f>IF(AND(CONFIG!$B$11="Annual",MONTH(O280)=7),X280*CONFIG!$B$6/12,Y279)</f>
        <v/>
      </c>
      <c r="Z280" s="19">
        <f>IF(X280=0,0,V280-Y280*V280/X280)</f>
        <v/>
      </c>
      <c r="AA280" s="19">
        <f>IF(X280=0,0,W280-Y280*W280/X280)</f>
        <v/>
      </c>
      <c r="AC280" s="18">
        <f>DATA!A280</f>
        <v/>
      </c>
      <c r="AD280">
        <f>DATA!B280</f>
        <v/>
      </c>
      <c r="AE280" s="19">
        <f>AN279</f>
        <v/>
      </c>
      <c r="AF280" s="19">
        <f>AO279</f>
        <v/>
      </c>
      <c r="AG280" s="19">
        <f>AE280+AF280</f>
        <v/>
      </c>
      <c r="AH280" s="20">
        <f>DATA!E280</f>
        <v/>
      </c>
      <c r="AI280" s="20">
        <f>DATA!G280</f>
        <v/>
      </c>
      <c r="AJ280" s="19">
        <f>AE280*(1+AH280)</f>
        <v/>
      </c>
      <c r="AK280" s="19">
        <f>AF280*(1+AI280)</f>
        <v/>
      </c>
      <c r="AL280" s="19">
        <f>AJ280+AK280</f>
        <v/>
      </c>
      <c r="AM280" s="19">
        <f>IF(AND(CONFIG!$B$11="Annual",MONTH(AC280)=7),AL280*CONFIG!$B$6/12,AM279)</f>
        <v/>
      </c>
      <c r="AN280" s="19">
        <f>IF(AL280=0,0,AJ280-AM280*AJ280/AL280)</f>
        <v/>
      </c>
      <c r="AO280" s="19">
        <f>IF(AL280=0,0,AK280-AM280*AK280/AL280)</f>
        <v/>
      </c>
    </row>
    <row r="281">
      <c r="A281" s="18">
        <f>DATA!A281</f>
        <v/>
      </c>
      <c r="B281">
        <f>DATA!B281</f>
        <v/>
      </c>
      <c r="C281" s="19">
        <f>L280</f>
        <v/>
      </c>
      <c r="D281" s="19">
        <f>M280</f>
        <v/>
      </c>
      <c r="E281" s="19">
        <f>C281+D281</f>
        <v/>
      </c>
      <c r="F281" s="20">
        <f>DATA!C281</f>
        <v/>
      </c>
      <c r="G281" s="20">
        <f>DATA!G281</f>
        <v/>
      </c>
      <c r="H281" s="19">
        <f>C281*(1+F281)</f>
        <v/>
      </c>
      <c r="I281" s="19">
        <f>D281*(1+G281)</f>
        <v/>
      </c>
      <c r="J281" s="19">
        <f>H281+I281</f>
        <v/>
      </c>
      <c r="K281" s="19">
        <f>IF(AND(CONFIG!$B$11="Annual",MONTH(A281)=7),J281*CONFIG!$B$6/12,K280)</f>
        <v/>
      </c>
      <c r="L281" s="19">
        <f>IF(J281=0,0,H281-K281*H281/J281)</f>
        <v/>
      </c>
      <c r="M281" s="19">
        <f>IF(J281=0,0,I281-K281*I281/J281)</f>
        <v/>
      </c>
      <c r="O281" s="18">
        <f>DATA!A281</f>
        <v/>
      </c>
      <c r="P281">
        <f>DATA!B281</f>
        <v/>
      </c>
      <c r="Q281" s="19">
        <f>Z280</f>
        <v/>
      </c>
      <c r="R281" s="19">
        <f>AA280</f>
        <v/>
      </c>
      <c r="S281" s="19">
        <f>Q281+R281</f>
        <v/>
      </c>
      <c r="T281" s="20">
        <f>DATA!D281</f>
        <v/>
      </c>
      <c r="U281" s="20">
        <f>DATA!G281</f>
        <v/>
      </c>
      <c r="V281" s="19">
        <f>Q281*(1+T281)</f>
        <v/>
      </c>
      <c r="W281" s="19">
        <f>R281*(1+U281)</f>
        <v/>
      </c>
      <c r="X281" s="19">
        <f>V281+W281</f>
        <v/>
      </c>
      <c r="Y281" s="19">
        <f>IF(AND(CONFIG!$B$11="Annual",MONTH(O281)=7),X281*CONFIG!$B$6/12,Y280)</f>
        <v/>
      </c>
      <c r="Z281" s="19">
        <f>IF(X281=0,0,V281-Y281*V281/X281)</f>
        <v/>
      </c>
      <c r="AA281" s="19">
        <f>IF(X281=0,0,W281-Y281*W281/X281)</f>
        <v/>
      </c>
      <c r="AC281" s="18">
        <f>DATA!A281</f>
        <v/>
      </c>
      <c r="AD281">
        <f>DATA!B281</f>
        <v/>
      </c>
      <c r="AE281" s="19">
        <f>AN280</f>
        <v/>
      </c>
      <c r="AF281" s="19">
        <f>AO280</f>
        <v/>
      </c>
      <c r="AG281" s="19">
        <f>AE281+AF281</f>
        <v/>
      </c>
      <c r="AH281" s="20">
        <f>DATA!E281</f>
        <v/>
      </c>
      <c r="AI281" s="20">
        <f>DATA!G281</f>
        <v/>
      </c>
      <c r="AJ281" s="19">
        <f>AE281*(1+AH281)</f>
        <v/>
      </c>
      <c r="AK281" s="19">
        <f>AF281*(1+AI281)</f>
        <v/>
      </c>
      <c r="AL281" s="19">
        <f>AJ281+AK281</f>
        <v/>
      </c>
      <c r="AM281" s="19">
        <f>IF(AND(CONFIG!$B$11="Annual",MONTH(AC281)=7),AL281*CONFIG!$B$6/12,AM280)</f>
        <v/>
      </c>
      <c r="AN281" s="19">
        <f>IF(AL281=0,0,AJ281-AM281*AJ281/AL281)</f>
        <v/>
      </c>
      <c r="AO281" s="19">
        <f>IF(AL281=0,0,AK281-AM281*AK281/AL281)</f>
        <v/>
      </c>
    </row>
    <row r="282">
      <c r="A282" s="18">
        <f>DATA!A282</f>
        <v/>
      </c>
      <c r="B282">
        <f>DATA!B282</f>
        <v/>
      </c>
      <c r="C282" s="19">
        <f>L281</f>
        <v/>
      </c>
      <c r="D282" s="19">
        <f>M281</f>
        <v/>
      </c>
      <c r="E282" s="19">
        <f>C282+D282</f>
        <v/>
      </c>
      <c r="F282" s="20">
        <f>DATA!C282</f>
        <v/>
      </c>
      <c r="G282" s="20">
        <f>DATA!G282</f>
        <v/>
      </c>
      <c r="H282" s="19">
        <f>C282*(1+F282)</f>
        <v/>
      </c>
      <c r="I282" s="19">
        <f>D282*(1+G282)</f>
        <v/>
      </c>
      <c r="J282" s="19">
        <f>H282+I282</f>
        <v/>
      </c>
      <c r="K282" s="19">
        <f>IF(AND(CONFIG!$B$11="Annual",MONTH(A282)=7),J282*CONFIG!$B$6/12,K281)</f>
        <v/>
      </c>
      <c r="L282" s="19">
        <f>IF(J282=0,0,H282-K282*H282/J282)</f>
        <v/>
      </c>
      <c r="M282" s="19">
        <f>IF(J282=0,0,I282-K282*I282/J282)</f>
        <v/>
      </c>
      <c r="O282" s="18">
        <f>DATA!A282</f>
        <v/>
      </c>
      <c r="P282">
        <f>DATA!B282</f>
        <v/>
      </c>
      <c r="Q282" s="19">
        <f>Z281</f>
        <v/>
      </c>
      <c r="R282" s="19">
        <f>AA281</f>
        <v/>
      </c>
      <c r="S282" s="19">
        <f>Q282+R282</f>
        <v/>
      </c>
      <c r="T282" s="20">
        <f>DATA!D282</f>
        <v/>
      </c>
      <c r="U282" s="20">
        <f>DATA!G282</f>
        <v/>
      </c>
      <c r="V282" s="19">
        <f>Q282*(1+T282)</f>
        <v/>
      </c>
      <c r="W282" s="19">
        <f>R282*(1+U282)</f>
        <v/>
      </c>
      <c r="X282" s="19">
        <f>V282+W282</f>
        <v/>
      </c>
      <c r="Y282" s="19">
        <f>IF(AND(CONFIG!$B$11="Annual",MONTH(O282)=7),X282*CONFIG!$B$6/12,Y281)</f>
        <v/>
      </c>
      <c r="Z282" s="19">
        <f>IF(X282=0,0,V282-Y282*V282/X282)</f>
        <v/>
      </c>
      <c r="AA282" s="19">
        <f>IF(X282=0,0,W282-Y282*W282/X282)</f>
        <v/>
      </c>
      <c r="AC282" s="18">
        <f>DATA!A282</f>
        <v/>
      </c>
      <c r="AD282">
        <f>DATA!B282</f>
        <v/>
      </c>
      <c r="AE282" s="19">
        <f>AN281</f>
        <v/>
      </c>
      <c r="AF282" s="19">
        <f>AO281</f>
        <v/>
      </c>
      <c r="AG282" s="19">
        <f>AE282+AF282</f>
        <v/>
      </c>
      <c r="AH282" s="20">
        <f>DATA!E282</f>
        <v/>
      </c>
      <c r="AI282" s="20">
        <f>DATA!G282</f>
        <v/>
      </c>
      <c r="AJ282" s="19">
        <f>AE282*(1+AH282)</f>
        <v/>
      </c>
      <c r="AK282" s="19">
        <f>AF282*(1+AI282)</f>
        <v/>
      </c>
      <c r="AL282" s="19">
        <f>AJ282+AK282</f>
        <v/>
      </c>
      <c r="AM282" s="19">
        <f>IF(AND(CONFIG!$B$11="Annual",MONTH(AC282)=7),AL282*CONFIG!$B$6/12,AM281)</f>
        <v/>
      </c>
      <c r="AN282" s="19">
        <f>IF(AL282=0,0,AJ282-AM282*AJ282/AL282)</f>
        <v/>
      </c>
      <c r="AO282" s="19">
        <f>IF(AL282=0,0,AK282-AM282*AK282/AL282)</f>
        <v/>
      </c>
    </row>
    <row r="283">
      <c r="A283" s="18">
        <f>DATA!A283</f>
        <v/>
      </c>
      <c r="B283">
        <f>DATA!B283</f>
        <v/>
      </c>
      <c r="C283" s="19">
        <f>L282</f>
        <v/>
      </c>
      <c r="D283" s="19">
        <f>M282</f>
        <v/>
      </c>
      <c r="E283" s="19">
        <f>C283+D283</f>
        <v/>
      </c>
      <c r="F283" s="20">
        <f>DATA!C283</f>
        <v/>
      </c>
      <c r="G283" s="20">
        <f>DATA!G283</f>
        <v/>
      </c>
      <c r="H283" s="19">
        <f>C283*(1+F283)</f>
        <v/>
      </c>
      <c r="I283" s="19">
        <f>D283*(1+G283)</f>
        <v/>
      </c>
      <c r="J283" s="19">
        <f>H283+I283</f>
        <v/>
      </c>
      <c r="K283" s="19">
        <f>IF(AND(CONFIG!$B$11="Annual",MONTH(A283)=7),J283*CONFIG!$B$6/12,K282)</f>
        <v/>
      </c>
      <c r="L283" s="19">
        <f>IF(J283=0,0,H283-K283*H283/J283)</f>
        <v/>
      </c>
      <c r="M283" s="19">
        <f>IF(J283=0,0,I283-K283*I283/J283)</f>
        <v/>
      </c>
      <c r="O283" s="18">
        <f>DATA!A283</f>
        <v/>
      </c>
      <c r="P283">
        <f>DATA!B283</f>
        <v/>
      </c>
      <c r="Q283" s="19">
        <f>Z282</f>
        <v/>
      </c>
      <c r="R283" s="19">
        <f>AA282</f>
        <v/>
      </c>
      <c r="S283" s="19">
        <f>Q283+R283</f>
        <v/>
      </c>
      <c r="T283" s="20">
        <f>DATA!D283</f>
        <v/>
      </c>
      <c r="U283" s="20">
        <f>DATA!G283</f>
        <v/>
      </c>
      <c r="V283" s="19">
        <f>Q283*(1+T283)</f>
        <v/>
      </c>
      <c r="W283" s="19">
        <f>R283*(1+U283)</f>
        <v/>
      </c>
      <c r="X283" s="19">
        <f>V283+W283</f>
        <v/>
      </c>
      <c r="Y283" s="19">
        <f>IF(AND(CONFIG!$B$11="Annual",MONTH(O283)=7),X283*CONFIG!$B$6/12,Y282)</f>
        <v/>
      </c>
      <c r="Z283" s="19">
        <f>IF(X283=0,0,V283-Y283*V283/X283)</f>
        <v/>
      </c>
      <c r="AA283" s="19">
        <f>IF(X283=0,0,W283-Y283*W283/X283)</f>
        <v/>
      </c>
      <c r="AC283" s="18">
        <f>DATA!A283</f>
        <v/>
      </c>
      <c r="AD283">
        <f>DATA!B283</f>
        <v/>
      </c>
      <c r="AE283" s="19">
        <f>AN282</f>
        <v/>
      </c>
      <c r="AF283" s="19">
        <f>AO282</f>
        <v/>
      </c>
      <c r="AG283" s="19">
        <f>AE283+AF283</f>
        <v/>
      </c>
      <c r="AH283" s="20">
        <f>DATA!E283</f>
        <v/>
      </c>
      <c r="AI283" s="20">
        <f>DATA!G283</f>
        <v/>
      </c>
      <c r="AJ283" s="19">
        <f>AE283*(1+AH283)</f>
        <v/>
      </c>
      <c r="AK283" s="19">
        <f>AF283*(1+AI283)</f>
        <v/>
      </c>
      <c r="AL283" s="19">
        <f>AJ283+AK283</f>
        <v/>
      </c>
      <c r="AM283" s="19">
        <f>IF(AND(CONFIG!$B$11="Annual",MONTH(AC283)=7),AL283*CONFIG!$B$6/12,AM282)</f>
        <v/>
      </c>
      <c r="AN283" s="19">
        <f>IF(AL283=0,0,AJ283-AM283*AJ283/AL283)</f>
        <v/>
      </c>
      <c r="AO283" s="19">
        <f>IF(AL283=0,0,AK283-AM283*AK283/AL283)</f>
        <v/>
      </c>
    </row>
  </sheetData>
  <mergeCells count="4">
    <mergeCell ref="O2:AA2"/>
    <mergeCell ref="A2:M2"/>
    <mergeCell ref="AC2:AO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FFF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Hostplus Retirement Portfolios — Back-Test Results</t>
        </is>
      </c>
    </row>
    <row r="3">
      <c r="A3" s="24" t="inlineStr">
        <is>
          <t>Summary Metrics</t>
        </is>
      </c>
    </row>
    <row r="4">
      <c r="A4" s="25" t="inlineStr"/>
      <c r="B4" s="3" t="inlineStr">
        <is>
          <t>Growth RP</t>
        </is>
      </c>
      <c r="C4" s="3" t="inlineStr">
        <is>
          <t>Growth Bench</t>
        </is>
      </c>
      <c r="D4" s="3" t="inlineStr">
        <is>
          <t>Balanced RP</t>
        </is>
      </c>
      <c r="E4" s="3" t="inlineStr">
        <is>
          <t>Balanced Bench</t>
        </is>
      </c>
      <c r="F4" s="3" t="inlineStr">
        <is>
          <t>Conservative RP</t>
        </is>
      </c>
      <c r="G4" s="3" t="inlineStr">
        <is>
          <t>Conservative Bench</t>
        </is>
      </c>
    </row>
    <row r="5">
      <c r="A5" s="4" t="inlineStr">
        <is>
          <t>Starting Balance</t>
        </is>
      </c>
      <c r="B5" s="19">
        <f>CONFIG!$B$5</f>
        <v/>
      </c>
      <c r="C5" s="19">
        <f>CONFIG!$B$5</f>
        <v/>
      </c>
      <c r="D5" s="19">
        <f>CONFIG!$B$5</f>
        <v/>
      </c>
      <c r="E5" s="19">
        <f>CONFIG!$B$5</f>
        <v/>
      </c>
      <c r="F5" s="19">
        <f>CONFIG!$B$5</f>
        <v/>
      </c>
      <c r="G5" s="19">
        <f>CONFIG!$B$5</f>
        <v/>
      </c>
    </row>
    <row r="6">
      <c r="A6" s="4" t="inlineStr">
        <is>
          <t>Ending Balance</t>
        </is>
      </c>
      <c r="B6" s="19">
        <f>ENGINE!O283+ENGINE!P283</f>
        <v/>
      </c>
      <c r="C6" s="19">
        <f>COMPARISON!L283+COMPARISON!M283</f>
        <v/>
      </c>
      <c r="D6" s="19">
        <f>ENGINE!AF283+ENGINE!AG283</f>
        <v/>
      </c>
      <c r="E6" s="19">
        <f>COMPARISON!Z283+COMPARISON!AA283</f>
        <v/>
      </c>
      <c r="F6" s="19">
        <f>ENGINE!AW283+ENGINE!AX283</f>
        <v/>
      </c>
      <c r="G6" s="19">
        <f>COMPARISON!AN283+COMPARISON!AO283</f>
        <v/>
      </c>
    </row>
    <row r="7">
      <c r="A7" s="4" t="inlineStr">
        <is>
          <t>Total Return</t>
        </is>
      </c>
      <c r="B7" s="21">
        <f>(ENGINE!O283+ENGINE!P283)/CONFIG!$B$5-1</f>
        <v/>
      </c>
      <c r="C7" s="21">
        <f>(COMPARISON!L283+COMPARISON!M283)/CONFIG!$B$5-1</f>
        <v/>
      </c>
      <c r="D7" s="21">
        <f>(ENGINE!AF283+ENGINE!AG283)/CONFIG!$B$5-1</f>
        <v/>
      </c>
      <c r="E7" s="21">
        <f>(COMPARISON!Z283+COMPARISON!AA283)/CONFIG!$B$5-1</f>
        <v/>
      </c>
      <c r="F7" s="21">
        <f>(ENGINE!AW283+ENGINE!AX283)/CONFIG!$B$5-1</f>
        <v/>
      </c>
      <c r="G7" s="21">
        <f>(COMPARISON!AN283+COMPARISON!AO283)/CONFIG!$B$5-1</f>
        <v/>
      </c>
    </row>
    <row r="8">
      <c r="A8" s="4" t="inlineStr">
        <is>
          <t>Total Income Paid</t>
        </is>
      </c>
      <c r="B8" s="19">
        <f>SUM(ENGINE!J4:J283)</f>
        <v/>
      </c>
      <c r="C8" s="19">
        <f>SUM(COMPARISON!K4:K283)</f>
        <v/>
      </c>
      <c r="D8" s="19">
        <f>SUM(ENGINE!AA4:AA283)</f>
        <v/>
      </c>
      <c r="E8" s="19">
        <f>SUM(COMPARISON!Y4:Y283)</f>
        <v/>
      </c>
      <c r="F8" s="19">
        <f>SUM(ENGINE!AR4:AR283)</f>
        <v/>
      </c>
      <c r="G8" s="19">
        <f>SUM(COMPARISON!AM4:AM283)</f>
        <v/>
      </c>
    </row>
    <row r="9">
      <c r="A9" s="4" t="inlineStr">
        <is>
          <t>Rebalance Events</t>
        </is>
      </c>
      <c r="B9">
        <f>COUNTIF(ENGINE!N4:N283,"Y")</f>
        <v/>
      </c>
      <c r="C9" s="6" t="inlineStr">
        <is>
          <t>N/A</t>
        </is>
      </c>
      <c r="D9">
        <f>COUNTIF(ENGINE!AE4:AE283,"Y")</f>
        <v/>
      </c>
      <c r="E9" s="6" t="inlineStr">
        <is>
          <t>N/A</t>
        </is>
      </c>
      <c r="F9">
        <f>COUNTIF(ENGINE!AV4:AV283,"Y")</f>
        <v/>
      </c>
      <c r="G9" s="6" t="inlineStr">
        <is>
          <t>N/A</t>
        </is>
      </c>
    </row>
    <row r="12">
      <c r="A12" s="24" t="inlineStr">
        <is>
          <t>Portfolio Value Over Time</t>
        </is>
      </c>
    </row>
    <row r="30">
      <c r="A30" s="24" t="inlineStr">
        <is>
          <t>Growth: Retirement Portfolio vs Benchmark</t>
        </is>
      </c>
    </row>
    <row r="48">
      <c r="A48" s="24" t="inlineStr">
        <is>
          <t>CPIplus Weight Over Time (Growth Portfolio)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2026-02-28T06:02:11Z</dcterms:created>
  <dcterms:modified xsi:type="dcterms:W3CDTF">2026-02-28T06:02:12Z</dcterms:modified>
</cp:coreProperties>
</file>